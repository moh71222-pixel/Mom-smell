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طريقة الاستخدام" sheetId="1" state="visible" r:id="rId3"/>
    <sheet name="الملخص" sheetId="2" state="visible" r:id="rId4"/>
    <sheet name="المنتجات" sheetId="3" state="visible" r:id="rId5"/>
    <sheet name="الوصفات" sheetId="4" state="visible" r:id="rId6"/>
    <sheet name="المواد الخام" sheetId="5" state="visible" r:id="rId7"/>
    <sheet name="الإنتاج" sheetId="6" state="visible" r:id="rId8"/>
    <sheet name="المبيعات" sheetId="7" state="visible" r:id="rId9"/>
    <sheet name="حركة المخزون" sheetId="8" state="visible" r:id="rId10"/>
    <sheet name="الجرد" sheetId="9" state="visible" r:id="rId11"/>
    <sheet name="الإعدادات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FreeSans"/>
            <family val="2"/>
          </rPr>
          <t xml:space="preserve">الأسعار من صاحب المشروع (أكتوبر </t>
        </r>
        <r>
          <rPr>
            <sz val="10"/>
            <rFont val="Arial"/>
            <family val="2"/>
          </rPr>
          <t xml:space="preserve">2026).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FreeSans"/>
            <family val="2"/>
          </rPr>
          <t xml:space="preserve">أكواد </t>
        </r>
        <r>
          <rPr>
            <sz val="10"/>
            <rFont val="Arial"/>
            <family val="2"/>
          </rPr>
          <t xml:space="preserve">RM </t>
        </r>
        <r>
          <rPr>
            <sz val="10"/>
            <rFont val="FreeSans"/>
            <family val="2"/>
          </rPr>
          <t xml:space="preserve">للمواد الخام و </t>
        </r>
        <r>
          <rPr>
            <sz val="10"/>
            <rFont val="Arial"/>
            <family val="2"/>
          </rPr>
          <t xml:space="preserve">PK </t>
        </r>
        <r>
          <rPr>
            <sz val="10"/>
            <rFont val="FreeSans"/>
            <family val="2"/>
          </rPr>
          <t xml:space="preserve">للتغليف. لا تغيّر الكود بعد ما تبدأ تسجل عليه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FreeSans"/>
            <family val="2"/>
          </rPr>
          <t xml:space="preserve">التولة الرسمية = </t>
        </r>
        <r>
          <rPr>
            <sz val="10"/>
            <rFont val="Arial"/>
            <family val="2"/>
          </rPr>
          <t xml:space="preserve">11.66 جرام تقريباً. بعض محلات الدهن تعتمد 12 مل. عدّلها حسب المعتمد عندك.</t>
        </r>
      </text>
    </comment>
  </commentList>
</comments>
</file>

<file path=xl/sharedStrings.xml><?xml version="1.0" encoding="utf-8"?>
<sst xmlns="http://schemas.openxmlformats.org/spreadsheetml/2006/main" count="358" uniqueCount="227">
  <si>
    <t xml:space="preserve">رائحة أمي — نظام المخزون والوصفات والإنتاج</t>
  </si>
  <si>
    <t xml:space="preserve">دليل الألوان</t>
  </si>
  <si>
    <t xml:space="preserve">خانة صفراء</t>
  </si>
  <si>
    <t xml:space="preserve">تكتب فيها أنت.</t>
  </si>
  <si>
    <t xml:space="preserve">خانة رمادية</t>
  </si>
  <si>
    <t xml:space="preserve">معادلة تلقائية. لا تكتب فيها.</t>
  </si>
  <si>
    <t xml:space="preserve">نص أزرق</t>
  </si>
  <si>
    <t xml:space="preserve">بيانات مبدئية مدخلة (أسعارك، والوصفة اللي عطيتني). عدّلها براحتك.</t>
  </si>
  <si>
    <t xml:space="preserve">الإعداد لأول مرة (مرة وحدة)</t>
  </si>
  <si>
    <t xml:space="preserve">1. المواد الخام</t>
  </si>
  <si>
    <t xml:space="preserve">عدّل القائمة المبدئية: أضف كل مادة تستخدمها بكود ثابت (RM للخام، PK للتغليف) ووحدتها. اكتب الرصيد الافتتاحي اللي عندك الحين بعد ما توزنه.</t>
  </si>
  <si>
    <t xml:space="preserve">2. المنتجات</t>
  </si>
  <si>
    <t xml:space="preserve">الأسعار مدخلة. اكتب «إنتاج التشغيلة» لكل منتج: كم حبة تطلع من خلطة وحدة. واكتب رصيد افتتاحي للجاهز وحد إعادة الإنتاج.</t>
  </si>
  <si>
    <t xml:space="preserve">3. الوصفات</t>
  </si>
  <si>
    <t xml:space="preserve">لكل منتج اكتب مكوناته سطر سطر. مثال المخصوص مدخل: 10000 جرام بودرة عود + 30 جرام زيت لكل تشغيلة، وعلبة + ملصق لكل حبة.</t>
  </si>
  <si>
    <t xml:space="preserve">الاستخدام اليومي</t>
  </si>
  <si>
    <t xml:space="preserve">اشتريت مواد</t>
  </si>
  <si>
    <t xml:space="preserve">صفحة «حركة المخزون»: النوع «وارد شراء»، الكود، الكمية بالجرام أو المل أو الحبة، والمبلغ المدفوع كامل. مثال: 2026-10-20 | وارد شراء | RM-001 | 10000 | 3500 | مورد فلان.</t>
  </si>
  <si>
    <t xml:space="preserve">خلطت تشغيلة</t>
  </si>
  <si>
    <t xml:space="preserve">صفحة «الإنتاج»: التاريخ، رقم التشغيلة، كود المنتج، عدد التشغيلات، والعدد الفعلي. مثال: 2026-10-21 | MA-02-261021 | MA-02 | 1 | 98. المواد تنخصم تلقائياً والمنتج الجاهز يزيد.</t>
  </si>
  <si>
    <t xml:space="preserve">بعت طلب</t>
  </si>
  <si>
    <t xml:space="preserve">صفحة «المبيعات»: سطر لكل منتج في الطلب. مثال: 2026-10-22 | 1001 | إنستقرام | MA-02 | 2 | خصم 0 | الرياض.</t>
  </si>
  <si>
    <t xml:space="preserve">تالف أو عينة أو هدية</t>
  </si>
  <si>
    <t xml:space="preserve">صفحة «حركة المخزون» بالنوع المناسب، عشان الرصيد يبقى صحيح.</t>
  </si>
  <si>
    <t xml:space="preserve">الجرد الشهري</t>
  </si>
  <si>
    <t xml:space="preserve">آخر كل شهر</t>
  </si>
  <si>
    <t xml:space="preserve">صفحة «الجرد»: اكتب كل كود والوزن أو العدد الفعلي. النظام يطلع الفرق، وتسجله كـ«تسوية زيادة» أو «تسوية نقص» في حركة المخزون.</t>
  </si>
  <si>
    <t xml:space="preserve">قواعد ذهبية</t>
  </si>
  <si>
    <t xml:space="preserve">الوحدة الأساسية</t>
  </si>
  <si>
    <t xml:space="preserve">كل شي بالجرام أو المل أو الحبة. 10 كجم تُكتب 10000. لا تخلط كيلو مع جرام.</t>
  </si>
  <si>
    <t xml:space="preserve">الكود ثابت</t>
  </si>
  <si>
    <t xml:space="preserve">لا تغيّر كود مادة أو منتج بعد ما تبدأ تسجل عليه. إذا وقفت منتج اتركه بدون حذف.</t>
  </si>
  <si>
    <t xml:space="preserve">رقم التشغيلة</t>
  </si>
  <si>
    <t xml:space="preserve">يُطبع على ملصق كل منتج. إذا اشتكى عميل تعرف من أي خلطة طلع المنتج.</t>
  </si>
  <si>
    <t xml:space="preserve">سجّل في نفس اليوم</t>
  </si>
  <si>
    <t xml:space="preserve">التأخير في التسجيل هو أكبر سبب لخراب أي جرد.</t>
  </si>
  <si>
    <t xml:space="preserve">رائحة أمي — لوحة الملخص</t>
  </si>
  <si>
    <t xml:space="preserve">كل الأرقام هنا تلقائية. لا تكتب في هذي الصفحة.</t>
  </si>
  <si>
    <t xml:space="preserve">الفئة</t>
  </si>
  <si>
    <t xml:space="preserve">الكمية المباعة</t>
  </si>
  <si>
    <t xml:space="preserve">المبيعات</t>
  </si>
  <si>
    <t xml:space="preserve">الربح</t>
  </si>
  <si>
    <t xml:space="preserve">هامش الربح</t>
  </si>
  <si>
    <t xml:space="preserve">إجمالي المبيعات</t>
  </si>
  <si>
    <t xml:space="preserve">إجمالي الربح (قبل المصاريف)</t>
  </si>
  <si>
    <t xml:space="preserve">عدد الطلبات</t>
  </si>
  <si>
    <t xml:space="preserve">متوسط قيمة الطلب</t>
  </si>
  <si>
    <t xml:space="preserve">قيمة مخزون المواد والتغليف</t>
  </si>
  <si>
    <t xml:space="preserve">مواد تحتاج طلب</t>
  </si>
  <si>
    <t xml:space="preserve">منتجات تحتاج إنتاج</t>
  </si>
  <si>
    <t xml:space="preserve">المنتجات: الربحية والمخزون</t>
  </si>
  <si>
    <t xml:space="preserve">المنتج</t>
  </si>
  <si>
    <t xml:space="preserve">سعر البيع</t>
  </si>
  <si>
    <t xml:space="preserve">تكلفة الحبة</t>
  </si>
  <si>
    <t xml:space="preserve">المباع</t>
  </si>
  <si>
    <t xml:space="preserve">الرصيد</t>
  </si>
  <si>
    <t xml:space="preserve">الحالة</t>
  </si>
  <si>
    <t xml:space="preserve">المنتجات والأسعار</t>
  </si>
  <si>
    <t xml:space="preserve">كل منتج بكود ثابت. التكلفة تُحسب تلقائياً من صفحة الوصفات، والرصيد من الإنتاج والمبيعات وحركة المخزون. «إنتاج التشغيلة» = كم حبة تطلع من تشغيلة وحدة حسب الوصفة.</t>
  </si>
  <si>
    <t xml:space="preserve">الكود</t>
  </si>
  <si>
    <t xml:space="preserve">اسم المنتج</t>
  </si>
  <si>
    <t xml:space="preserve">الحجم</t>
  </si>
  <si>
    <t xml:space="preserve">الوحدة</t>
  </si>
  <si>
    <t xml:space="preserve">سعر البيع (ر.س)</t>
  </si>
  <si>
    <t xml:space="preserve">إنتاج التشغيلة (حبة)</t>
  </si>
  <si>
    <t xml:space="preserve">الربح للحبة</t>
  </si>
  <si>
    <t xml:space="preserve">السعر لكل جرام / مل</t>
  </si>
  <si>
    <t xml:space="preserve">رصيد افتتاحي</t>
  </si>
  <si>
    <t xml:space="preserve">المُنتَج</t>
  </si>
  <si>
    <t xml:space="preserve">خروج آخر (تالف / عينات / تسوية)</t>
  </si>
  <si>
    <t xml:space="preserve">الرصيد الحالي</t>
  </si>
  <si>
    <t xml:space="preserve">حد إعادة الإنتاج</t>
  </si>
  <si>
    <t xml:space="preserve">ملاحظات</t>
  </si>
  <si>
    <t xml:space="preserve">MA-01</t>
  </si>
  <si>
    <t xml:space="preserve">معمول</t>
  </si>
  <si>
    <t xml:space="preserve">معمول الملكي</t>
  </si>
  <si>
    <t xml:space="preserve">جرام</t>
  </si>
  <si>
    <t xml:space="preserve">MA-02</t>
  </si>
  <si>
    <t xml:space="preserve">معمول المخصوص (الدوسري)</t>
  </si>
  <si>
    <t xml:space="preserve">إنتاج التشغيلة تقديري (10 كجم ÷ 100 جرام). عدّله بعد أول تشغيلة فعلية.</t>
  </si>
  <si>
    <t xml:space="preserve">MA-03</t>
  </si>
  <si>
    <t xml:space="preserve">معمول العرايسي</t>
  </si>
  <si>
    <t xml:space="preserve">OU-01</t>
  </si>
  <si>
    <t xml:space="preserve">عود</t>
  </si>
  <si>
    <t xml:space="preserve">عود مسقى</t>
  </si>
  <si>
    <t xml:space="preserve">OU-02</t>
  </si>
  <si>
    <t xml:space="preserve">عود طبيعي مسقى زيوت</t>
  </si>
  <si>
    <t xml:space="preserve">SP-01</t>
  </si>
  <si>
    <t xml:space="preserve">مرشات</t>
  </si>
  <si>
    <t xml:space="preserve">مرش أسيل</t>
  </si>
  <si>
    <t xml:space="preserve">مل</t>
  </si>
  <si>
    <t xml:space="preserve">SP-02</t>
  </si>
  <si>
    <t xml:space="preserve">مرش شهد</t>
  </si>
  <si>
    <t xml:space="preserve">SP-03</t>
  </si>
  <si>
    <t xml:space="preserve">مرش سديم</t>
  </si>
  <si>
    <t xml:space="preserve">OI-01</t>
  </si>
  <si>
    <t xml:space="preserve">أدهان</t>
  </si>
  <si>
    <t xml:space="preserve">فتشة العروس</t>
  </si>
  <si>
    <t xml:space="preserve">تولة</t>
  </si>
  <si>
    <t xml:space="preserve">OI-02</t>
  </si>
  <si>
    <t xml:space="preserve">خمرية الزعفران</t>
  </si>
  <si>
    <t xml:space="preserve">OI-03</t>
  </si>
  <si>
    <t xml:space="preserve">خمرية المسك</t>
  </si>
  <si>
    <t xml:space="preserve">OI-04</t>
  </si>
  <si>
    <t xml:space="preserve">دهن العود الطبيعي</t>
  </si>
  <si>
    <t xml:space="preserve">الوصفات (التركيبة الثابتة لكل منتج)</t>
  </si>
  <si>
    <t xml:space="preserve">كل سطر = مادة وحدة داخل منتج. «لكل تشغيلة» للمواد اللي تنخلط مرة وحدة (مثل 10 كجم بودرة + 30 جرام زيت)، و«لكل حبة» للتغليف (علبة، ملصق). لما تسجل تشغيلة في صفحة الإنتاج تنخصم الكميات من المواد الخام تلقائياً.</t>
  </si>
  <si>
    <t xml:space="preserve">كود المنتج</t>
  </si>
  <si>
    <t xml:space="preserve">كود المادة</t>
  </si>
  <si>
    <t xml:space="preserve">اسم المادة</t>
  </si>
  <si>
    <t xml:space="preserve">الأساس</t>
  </si>
  <si>
    <t xml:space="preserve">الكمية</t>
  </si>
  <si>
    <t xml:space="preserve">تكلفة الوحدة</t>
  </si>
  <si>
    <t xml:space="preserve">تكلفة السطر</t>
  </si>
  <si>
    <t xml:space="preserve">التكلفة على الحبة</t>
  </si>
  <si>
    <t xml:space="preserve">المستهلك الكلي (من الإنتاج)</t>
  </si>
  <si>
    <t xml:space="preserve">RM-001</t>
  </si>
  <si>
    <t xml:space="preserve">لكل تشغيلة</t>
  </si>
  <si>
    <t xml:space="preserve">من صاحب المشروع: 10 كجم بودرة عود</t>
  </si>
  <si>
    <t xml:space="preserve">RM-002</t>
  </si>
  <si>
    <t xml:space="preserve">من صاحب المشروع: 30 جرام زيت</t>
  </si>
  <si>
    <t xml:space="preserve">PK-001</t>
  </si>
  <si>
    <t xml:space="preserve">لكل حبة</t>
  </si>
  <si>
    <t xml:space="preserve">علبة وحدة لكل حبة</t>
  </si>
  <si>
    <t xml:space="preserve">PK-003</t>
  </si>
  <si>
    <t xml:space="preserve">ملصق واحد لكل حبة</t>
  </si>
  <si>
    <t xml:space="preserve">المواد الخام والتغليف</t>
  </si>
  <si>
    <t xml:space="preserve">كل مادة تُسجل هنا مرة وحدة بكود ثابت. الوحدة الأساسية: جرام للمواد الصلبة، مل للسوائل، حبة للتغليف. التكلفة تُحسب تلقائياً من مشترياتك في صفحة حركة المخزون (متوسط مرجح)، وإذا ما فيه مشتريات تُحسب من السعر اليدوي.</t>
  </si>
  <si>
    <t xml:space="preserve">النوع</t>
  </si>
  <si>
    <t xml:space="preserve">سعر آخر شراء (ر.س)</t>
  </si>
  <si>
    <t xml:space="preserve">الكمية المشتراة (بالوحدة)</t>
  </si>
  <si>
    <t xml:space="preserve">الوارد (مشتريات)</t>
  </si>
  <si>
    <t xml:space="preserve">المستهلك في الإنتاج</t>
  </si>
  <si>
    <t xml:space="preserve">تالف وتسويات (صافي)</t>
  </si>
  <si>
    <t xml:space="preserve">حد الطلب</t>
  </si>
  <si>
    <t xml:space="preserve">قيمة المخزون</t>
  </si>
  <si>
    <t xml:space="preserve">المورد</t>
  </si>
  <si>
    <t xml:space="preserve">بودرة عود</t>
  </si>
  <si>
    <t xml:space="preserve">مادة خام</t>
  </si>
  <si>
    <t xml:space="preserve">قائمة مبدئية — عدّل الاسم أو احذف</t>
  </si>
  <si>
    <t xml:space="preserve">زيت عطري (خلطة المعمول)</t>
  </si>
  <si>
    <t xml:space="preserve">RM-003</t>
  </si>
  <si>
    <t xml:space="preserve">مسك</t>
  </si>
  <si>
    <t xml:space="preserve">RM-004</t>
  </si>
  <si>
    <t xml:space="preserve">عنبر</t>
  </si>
  <si>
    <t xml:space="preserve">RM-005</t>
  </si>
  <si>
    <t xml:space="preserve">عود خام (قطع)</t>
  </si>
  <si>
    <t xml:space="preserve">RM-006</t>
  </si>
  <si>
    <t xml:space="preserve">دهن تسقية العود</t>
  </si>
  <si>
    <t xml:space="preserve">RM-007</t>
  </si>
  <si>
    <t xml:space="preserve">دهن عود طبيعي (خام)</t>
  </si>
  <si>
    <t xml:space="preserve">RM-008</t>
  </si>
  <si>
    <t xml:space="preserve">زعفران</t>
  </si>
  <si>
    <t xml:space="preserve">RM-009</t>
  </si>
  <si>
    <t xml:space="preserve">قاعدة المرش (ماء / كحول)</t>
  </si>
  <si>
    <t xml:space="preserve">RM-010</t>
  </si>
  <si>
    <t xml:space="preserve">زيت عطري للمرشات</t>
  </si>
  <si>
    <t xml:space="preserve">علبة معمول (أسود / ذهبي)</t>
  </si>
  <si>
    <t xml:space="preserve">تغليف</t>
  </si>
  <si>
    <t xml:space="preserve">حبة</t>
  </si>
  <si>
    <t xml:space="preserve">PK-002</t>
  </si>
  <si>
    <t xml:space="preserve">علبة عود (ذهبي)</t>
  </si>
  <si>
    <t xml:space="preserve">ملصق علبة</t>
  </si>
  <si>
    <t xml:space="preserve">PK-004</t>
  </si>
  <si>
    <t xml:space="preserve">قارورة مرش 500 مل + بخاخ</t>
  </si>
  <si>
    <t xml:space="preserve">PK-005</t>
  </si>
  <si>
    <t xml:space="preserve">ملصق مرش</t>
  </si>
  <si>
    <t xml:space="preserve">PK-006</t>
  </si>
  <si>
    <t xml:space="preserve">قارورة دهن (تولة)</t>
  </si>
  <si>
    <t xml:space="preserve">PK-007</t>
  </si>
  <si>
    <t xml:space="preserve">قارورة دهن (ربع تولة)</t>
  </si>
  <si>
    <t xml:space="preserve">PK-008</t>
  </si>
  <si>
    <t xml:space="preserve">كرت شكر</t>
  </si>
  <si>
    <t xml:space="preserve">PK-009</t>
  </si>
  <si>
    <t xml:space="preserve">كرتون / كيس شحن</t>
  </si>
  <si>
    <t xml:space="preserve">سجل الإنتاج (التشغيلات)</t>
  </si>
  <si>
    <t xml:space="preserve">سطر لكل تشغيلة. اكتب عدد التشغيلات (1 أو 0.5 لنصف خلطة) والعدد الفعلي اللي طلع من الحبات. رقم التشغيلة المقترح: كود المنتج-السنة الشهر اليوم، مثل MA-02-261017، ويُطبع على الملصق.</t>
  </si>
  <si>
    <t xml:space="preserve">التاريخ</t>
  </si>
  <si>
    <t xml:space="preserve">عدد التشغيلات</t>
  </si>
  <si>
    <t xml:space="preserve">المتوقع (حبة)</t>
  </si>
  <si>
    <t xml:space="preserve">الفعلي (حبة)</t>
  </si>
  <si>
    <t xml:space="preserve">الفرق</t>
  </si>
  <si>
    <t xml:space="preserve">تاريخ الانتهاء</t>
  </si>
  <si>
    <t xml:space="preserve">المسؤول</t>
  </si>
  <si>
    <t xml:space="preserve">سجل المبيعات</t>
  </si>
  <si>
    <t xml:space="preserve">سطر لكل منتج في الطلب (الطلب اللي فيه منتجين = سطرين بنفس رقم الطلب). السعر والتكلفة يُسحبون تلقائياً من صفحة المنتجات.</t>
  </si>
  <si>
    <t xml:space="preserve">رقم الطلب</t>
  </si>
  <si>
    <t xml:space="preserve">القناة</t>
  </si>
  <si>
    <t xml:space="preserve">سعر الحبة</t>
  </si>
  <si>
    <t xml:space="preserve">الخصم (ر.س)</t>
  </si>
  <si>
    <t xml:space="preserve">الإجمالي</t>
  </si>
  <si>
    <t xml:space="preserve">تكلفة البضاعة</t>
  </si>
  <si>
    <t xml:space="preserve">المدينة</t>
  </si>
  <si>
    <t xml:space="preserve">حركة المخزون (مشتريات، تالف، عينات، تسويات)</t>
  </si>
  <si>
    <t xml:space="preserve">المشتريات تُسجل هنا بالوحدة الأساسية (10 كجم = 10000 جرام) مع المبلغ المدفوع كامل. الإنتاج والمبيعات ما تُسجل هنا، لهم صفحاتهم. التسوية تُستخدم بعد الجرد الفعلي لتصحيح الفرق.</t>
  </si>
  <si>
    <t xml:space="preserve">نوع الحركة</t>
  </si>
  <si>
    <t xml:space="preserve">الاسم</t>
  </si>
  <si>
    <t xml:space="preserve">التكلفة الإجمالية (ر.س)</t>
  </si>
  <si>
    <t xml:space="preserve">المورد / المرجع</t>
  </si>
  <si>
    <t xml:space="preserve">الجرد الفعلي (شهري)</t>
  </si>
  <si>
    <t xml:space="preserve">آخر كل شهر: اوزن واعدّ كل شي فعلياً واكتبه في العمود الأصفر. إذا طلع فرق سجّله كتسوية زيادة أو نقص في صفحة حركة المخزون، وبعدها يتطابق النظام مع الواقع. الفرق المتكرر = هدر أو خطأ تسجيل لازم يُعرف سببه.</t>
  </si>
  <si>
    <t xml:space="preserve">تاريخ الجرد</t>
  </si>
  <si>
    <t xml:space="preserve">الرصيد في النظام</t>
  </si>
  <si>
    <t xml:space="preserve">العدد / الوزن الفعلي</t>
  </si>
  <si>
    <t xml:space="preserve">الإجراء</t>
  </si>
  <si>
    <t xml:space="preserve">الإعدادات والقوائم</t>
  </si>
  <si>
    <t xml:space="preserve">القوائم هنا تغذي القوائم المنسدلة في باقي الصفحات. تقدر تضيف عناصر في الخانات الفاضية تحت كل قائمة.</t>
  </si>
  <si>
    <t xml:space="preserve">الفئات</t>
  </si>
  <si>
    <t xml:space="preserve">وحدات القياس</t>
  </si>
  <si>
    <t xml:space="preserve">أنواع الحركة</t>
  </si>
  <si>
    <t xml:space="preserve">أساس الكمية في الوصفة</t>
  </si>
  <si>
    <t xml:space="preserve">قنوات البيع</t>
  </si>
  <si>
    <t xml:space="preserve">نوع المادة</t>
  </si>
  <si>
    <t xml:space="preserve">كل الأكواد (تلقائي)</t>
  </si>
  <si>
    <t xml:space="preserve">وزن التولة (جرام)</t>
  </si>
  <si>
    <t xml:space="preserve">وارد شراء</t>
  </si>
  <si>
    <t xml:space="preserve">إنستقرام</t>
  </si>
  <si>
    <t xml:space="preserve">تالف</t>
  </si>
  <si>
    <t xml:space="preserve">سناب شات</t>
  </si>
  <si>
    <t xml:space="preserve">عينة / هدية</t>
  </si>
  <si>
    <t xml:space="preserve">تيك توك</t>
  </si>
  <si>
    <t xml:space="preserve">تسوية زيادة</t>
  </si>
  <si>
    <t xml:space="preserve">واتساب</t>
  </si>
  <si>
    <t xml:space="preserve">تسوية نقص</t>
  </si>
  <si>
    <t xml:space="preserve">الموقع</t>
  </si>
  <si>
    <t xml:space="preserve">معرض / بازار</t>
  </si>
  <si>
    <t xml:space="preserve">مباشر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</si>
</sst>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ر.س&quot;"/>
    <numFmt numFmtId="166" formatCode="#,##0.##"/>
    <numFmt numFmtId="167" formatCode="0.0%"/>
    <numFmt numFmtId="168" formatCode="#,##0"/>
    <numFmt numFmtId="169" formatCode="#,##0.0000&quot; ر.س&quot;"/>
    <numFmt numFmtId="170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5B5A2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5B5A2E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6"/>
      <color rgb="FF5B5A2E"/>
      <name val="Arial"/>
      <family val="0"/>
      <charset val="1"/>
    </font>
    <font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5A2E"/>
        <bgColor rgb="FF5A5A5A"/>
      </patternFill>
    </fill>
    <fill>
      <patternFill patternType="solid">
        <fgColor rgb="FFFFF7CC"/>
        <bgColor rgb="FFF7F3E6"/>
      </patternFill>
    </fill>
    <fill>
      <patternFill patternType="solid">
        <fgColor rgb="FFEFEFEF"/>
        <bgColor rgb="FFF7F3E6"/>
      </patternFill>
    </fill>
    <fill>
      <patternFill patternType="solid">
        <fgColor rgb="FFB08D3C"/>
        <bgColor rgb="FF808080"/>
      </patternFill>
    </fill>
    <fill>
      <patternFill patternType="solid">
        <fgColor rgb="FFF7F3E6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A8"/>
      </left>
      <right style="thin">
        <color rgb="FFC9C2A8"/>
      </right>
      <top style="thin">
        <color rgb="FFC9C2A8"/>
      </top>
      <bottom style="thin">
        <color rgb="FFC9C2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7F4F00"/>
      </font>
      <fill>
        <patternFill>
          <bgColor rgb="FFFCE4B6"/>
        </patternFill>
      </fill>
    </dxf>
    <dxf>
      <font>
        <name val="Arial"/>
        <charset val="1"/>
        <family val="0"/>
        <color rgb="FF1E5631"/>
      </font>
      <fill>
        <patternFill>
          <bgColor rgb="FFD5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B5A2E"/>
      <rgbColor rgb="FF800080"/>
      <rgbColor rgb="FF008080"/>
      <rgbColor rgb="FFC9C2A8"/>
      <rgbColor rgb="FF808080"/>
      <rgbColor rgb="FF9999FF"/>
      <rgbColor rgb="FF993366"/>
      <rgbColor rgb="FFFFF7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3E6"/>
      <rgbColor rgb="FFD5EBD0"/>
      <rgbColor rgb="FFFCE4B6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A5A5A"/>
      <rgbColor rgb="FFB08D3C"/>
      <rgbColor rgb="FF003366"/>
      <rgbColor rgb="FF339966"/>
      <rgbColor rgb="FF003300"/>
      <rgbColor rgb="FF333300"/>
      <rgbColor rgb="FF7F4F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37.5" hidden="false" customHeight="true" outlineLevel="0" collapsed="false">
      <c r="B1" s="1" t="s">
        <v>0</v>
      </c>
      <c r="C1" s="1"/>
    </row>
    <row r="4" customFormat="false" ht="16.15" hidden="false" customHeight="false" outlineLevel="0" collapsed="false">
      <c r="B4" s="2" t="s">
        <v>1</v>
      </c>
      <c r="C4" s="2"/>
    </row>
    <row r="5" customFormat="false" ht="21.75" hidden="false" customHeight="true" outlineLevel="0" collapsed="false">
      <c r="B5" s="3" t="s">
        <v>2</v>
      </c>
      <c r="C5" s="4" t="s">
        <v>3</v>
      </c>
    </row>
    <row r="6" customFormat="false" ht="21.75" hidden="false" customHeight="true" outlineLevel="0" collapsed="false">
      <c r="B6" s="5" t="s">
        <v>4</v>
      </c>
      <c r="C6" s="4" t="s">
        <v>5</v>
      </c>
    </row>
    <row r="7" customFormat="false" ht="21.75" hidden="false" customHeight="true" outlineLevel="0" collapsed="false">
      <c r="B7" s="6" t="s">
        <v>6</v>
      </c>
      <c r="C7" s="4" t="s">
        <v>7</v>
      </c>
    </row>
    <row r="9" customFormat="false" ht="15" hidden="false" customHeight="false" outlineLevel="0" collapsed="false">
      <c r="B9" s="2" t="s">
        <v>8</v>
      </c>
      <c r="C9" s="2"/>
    </row>
    <row r="10" customFormat="false" ht="36" hidden="false" customHeight="true" outlineLevel="0" collapsed="false">
      <c r="B10" s="7" t="s">
        <v>9</v>
      </c>
      <c r="C10" s="4" t="s">
        <v>10</v>
      </c>
    </row>
    <row r="11" customFormat="false" ht="36" hidden="false" customHeight="true" outlineLevel="0" collapsed="false">
      <c r="B11" s="7" t="s">
        <v>11</v>
      </c>
      <c r="C11" s="4" t="s">
        <v>12</v>
      </c>
    </row>
    <row r="12" customFormat="false" ht="36" hidden="false" customHeight="true" outlineLevel="0" collapsed="false">
      <c r="B12" s="7" t="s">
        <v>13</v>
      </c>
      <c r="C12" s="4" t="s">
        <v>14</v>
      </c>
    </row>
    <row r="14" customFormat="false" ht="16.15" hidden="false" customHeight="false" outlineLevel="0" collapsed="false">
      <c r="B14" s="2" t="s">
        <v>15</v>
      </c>
      <c r="C14" s="2"/>
    </row>
    <row r="15" customFormat="false" ht="36" hidden="false" customHeight="true" outlineLevel="0" collapsed="false">
      <c r="B15" s="7" t="s">
        <v>16</v>
      </c>
      <c r="C15" s="4" t="s">
        <v>17</v>
      </c>
    </row>
    <row r="16" customFormat="false" ht="36" hidden="false" customHeight="true" outlineLevel="0" collapsed="false">
      <c r="B16" s="7" t="s">
        <v>18</v>
      </c>
      <c r="C16" s="4" t="s">
        <v>19</v>
      </c>
    </row>
    <row r="17" customFormat="false" ht="36" hidden="false" customHeight="true" outlineLevel="0" collapsed="false">
      <c r="B17" s="7" t="s">
        <v>20</v>
      </c>
      <c r="C17" s="4" t="s">
        <v>21</v>
      </c>
    </row>
    <row r="18" customFormat="false" ht="21.75" hidden="false" customHeight="true" outlineLevel="0" collapsed="false">
      <c r="B18" s="7" t="s">
        <v>22</v>
      </c>
      <c r="C18" s="4" t="s">
        <v>23</v>
      </c>
    </row>
    <row r="20" customFormat="false" ht="16.15" hidden="false" customHeight="false" outlineLevel="0" collapsed="false">
      <c r="B20" s="2" t="s">
        <v>24</v>
      </c>
      <c r="C20" s="2"/>
    </row>
    <row r="21" customFormat="false" ht="36" hidden="false" customHeight="true" outlineLevel="0" collapsed="false">
      <c r="B21" s="7" t="s">
        <v>25</v>
      </c>
      <c r="C21" s="4" t="s">
        <v>26</v>
      </c>
    </row>
    <row r="23" customFormat="false" ht="16.15" hidden="false" customHeight="false" outlineLevel="0" collapsed="false">
      <c r="B23" s="2" t="s">
        <v>27</v>
      </c>
      <c r="C23" s="2"/>
    </row>
    <row r="24" customFormat="false" ht="21.75" hidden="false" customHeight="true" outlineLevel="0" collapsed="false">
      <c r="B24" s="7" t="s">
        <v>28</v>
      </c>
      <c r="C24" s="4" t="s">
        <v>29</v>
      </c>
    </row>
    <row r="25" customFormat="false" ht="21.75" hidden="false" customHeight="true" outlineLevel="0" collapsed="false">
      <c r="B25" s="7" t="s">
        <v>30</v>
      </c>
      <c r="C25" s="4" t="s">
        <v>31</v>
      </c>
    </row>
    <row r="26" customFormat="false" ht="21.75" hidden="false" customHeight="true" outlineLevel="0" collapsed="false">
      <c r="B26" s="7" t="s">
        <v>32</v>
      </c>
      <c r="C26" s="4" t="s">
        <v>33</v>
      </c>
    </row>
    <row r="27" customFormat="false" ht="21.75" hidden="false" customHeight="true" outlineLevel="0" collapsed="false">
      <c r="B27" s="7" t="s">
        <v>34</v>
      </c>
      <c r="C27" s="4" t="s">
        <v>35</v>
      </c>
    </row>
  </sheetData>
  <mergeCells count="6">
    <mergeCell ref="B1:C1"/>
    <mergeCell ref="B4:C4"/>
    <mergeCell ref="B9:C9"/>
    <mergeCell ref="B14:C14"/>
    <mergeCell ref="B20:C20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8" min="5" style="0" width="14"/>
  </cols>
  <sheetData>
    <row r="1" customFormat="false" ht="36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8" t="s">
        <v>37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</row>
    <row r="4" customFormat="false" ht="21.75" hidden="false" customHeight="true" outlineLevel="0" collapsed="false">
      <c r="A4" s="10" t="s">
        <v>43</v>
      </c>
      <c r="B4" s="11" t="n">
        <f aca="false">SUM(المبيعات!$J$5:$J$1004)</f>
        <v>0</v>
      </c>
      <c r="D4" s="12" t="str">
        <f aca="false">الإعدادات!E5</f>
        <v>معمول</v>
      </c>
      <c r="E4" s="13" t="n">
        <f aca="false">SUMIFS(المبيعات!$G$5:$G$1004,المبيعات!$F$5:$F$1004,D4)</f>
        <v>0</v>
      </c>
      <c r="F4" s="14" t="n">
        <f aca="false">SUMIFS(المبيعات!$J$5:$J$1004,المبيعات!$F$5:$F$1004,D4)</f>
        <v>0</v>
      </c>
      <c r="G4" s="14" t="n">
        <f aca="false">SUMIFS(المبيعات!$L$5:$L$1004,المبيعات!$F$5:$F$1004,D4)</f>
        <v>0</v>
      </c>
      <c r="H4" s="15" t="n">
        <f aca="false">IFERROR(G4/F4,0)</f>
        <v>0</v>
      </c>
    </row>
    <row r="5" customFormat="false" ht="21.75" hidden="false" customHeight="true" outlineLevel="0" collapsed="false">
      <c r="A5" s="10" t="s">
        <v>44</v>
      </c>
      <c r="B5" s="11" t="n">
        <f aca="false">SUM(المبيعات!$L$5:$L$1004)</f>
        <v>0</v>
      </c>
      <c r="D5" s="12" t="str">
        <f aca="false">الإعدادات!E6</f>
        <v>عود</v>
      </c>
      <c r="E5" s="13" t="n">
        <f aca="false">SUMIFS(المبيعات!$G$5:$G$1004,المبيعات!$F$5:$F$1004,D5)</f>
        <v>0</v>
      </c>
      <c r="F5" s="14" t="n">
        <f aca="false">SUMIFS(المبيعات!$J$5:$J$1004,المبيعات!$F$5:$F$1004,D5)</f>
        <v>0</v>
      </c>
      <c r="G5" s="14" t="n">
        <f aca="false">SUMIFS(المبيعات!$L$5:$L$1004,المبيعات!$F$5:$F$1004,D5)</f>
        <v>0</v>
      </c>
      <c r="H5" s="15" t="n">
        <f aca="false">IFERROR(G5/F5,0)</f>
        <v>0</v>
      </c>
    </row>
    <row r="6" customFormat="false" ht="21.75" hidden="false" customHeight="true" outlineLevel="0" collapsed="false">
      <c r="A6" s="10" t="s">
        <v>42</v>
      </c>
      <c r="B6" s="16" t="n">
        <f aca="false">IFERROR(B5/B4,0)</f>
        <v>0</v>
      </c>
      <c r="D6" s="12" t="str">
        <f aca="false">الإعدادات!E7</f>
        <v>مرشات</v>
      </c>
      <c r="E6" s="13" t="n">
        <f aca="false">SUMIFS(المبيعات!$G$5:$G$1004,المبيعات!$F$5:$F$1004,D6)</f>
        <v>0</v>
      </c>
      <c r="F6" s="14" t="n">
        <f aca="false">SUMIFS(المبيعات!$J$5:$J$1004,المبيعات!$F$5:$F$1004,D6)</f>
        <v>0</v>
      </c>
      <c r="G6" s="14" t="n">
        <f aca="false">SUMIFS(المبيعات!$L$5:$L$1004,المبيعات!$F$5:$F$1004,D6)</f>
        <v>0</v>
      </c>
      <c r="H6" s="15" t="n">
        <f aca="false">IFERROR(G6/F6,0)</f>
        <v>0</v>
      </c>
    </row>
    <row r="7" customFormat="false" ht="21.75" hidden="false" customHeight="true" outlineLevel="0" collapsed="false">
      <c r="A7" s="10" t="s">
        <v>45</v>
      </c>
      <c r="B7" s="17" t="n">
        <f aca="false">SUMPRODUCT((المبيعات!$B$5:$B$1004&lt;&gt;"")/COUNTIF(المبيعات!$B$5:$B$1004,المبيعات!$B$5:$B$1004&amp;""))</f>
        <v>0</v>
      </c>
      <c r="D7" s="12" t="str">
        <f aca="false">الإعدادات!E8</f>
        <v>أدهان</v>
      </c>
      <c r="E7" s="13" t="n">
        <f aca="false">SUMIFS(المبيعات!$G$5:$G$1004,المبيعات!$F$5:$F$1004,D7)</f>
        <v>0</v>
      </c>
      <c r="F7" s="14" t="n">
        <f aca="false">SUMIFS(المبيعات!$J$5:$J$1004,المبيعات!$F$5:$F$1004,D7)</f>
        <v>0</v>
      </c>
      <c r="G7" s="14" t="n">
        <f aca="false">SUMIFS(المبيعات!$L$5:$L$1004,المبيعات!$F$5:$F$1004,D7)</f>
        <v>0</v>
      </c>
      <c r="H7" s="15" t="n">
        <f aca="false">IFERROR(G7/F7,0)</f>
        <v>0</v>
      </c>
    </row>
    <row r="8" customFormat="false" ht="21.75" hidden="false" customHeight="true" outlineLevel="0" collapsed="false">
      <c r="A8" s="10" t="s">
        <v>46</v>
      </c>
      <c r="B8" s="11" t="n">
        <f aca="false">IFERROR(B4/B7,0)</f>
        <v>0</v>
      </c>
    </row>
    <row r="9" customFormat="false" ht="21.75" hidden="false" customHeight="true" outlineLevel="0" collapsed="false">
      <c r="A9" s="10" t="s">
        <v>47</v>
      </c>
      <c r="B9" s="11" t="n">
        <f aca="false">SUM('المواد الخام'!$O$5:$O$104)</f>
        <v>0</v>
      </c>
    </row>
    <row r="10" customFormat="false" ht="21.75" hidden="false" customHeight="true" outlineLevel="0" collapsed="false">
      <c r="A10" s="10" t="s">
        <v>48</v>
      </c>
      <c r="B10" s="17" t="n">
        <f aca="false">COUNTIF('المواد الخام'!$N$5:$N$104,"اطلب الآن")+COUNTIF('المواد الخام'!$N$5:$N$104,"نفد")</f>
        <v>0</v>
      </c>
    </row>
    <row r="11" customFormat="false" ht="21.75" hidden="false" customHeight="true" outlineLevel="0" collapsed="false">
      <c r="A11" s="10" t="s">
        <v>49</v>
      </c>
      <c r="B11" s="17" t="n">
        <f aca="false">COUNTIF(المنتجات!$R$5:$R$24,"أعد الإنتاج")+COUNTIF(المنتجات!$R$5:$R$24,"نفد")</f>
        <v>0</v>
      </c>
    </row>
    <row r="14" customFormat="false" ht="15" hidden="false" customHeight="false" outlineLevel="0" collapsed="false">
      <c r="A14" s="2" t="s">
        <v>50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9" t="s">
        <v>51</v>
      </c>
      <c r="B15" s="9" t="s">
        <v>52</v>
      </c>
      <c r="D15" s="9" t="s">
        <v>53</v>
      </c>
      <c r="E15" s="9" t="s">
        <v>42</v>
      </c>
      <c r="F15" s="9" t="s">
        <v>54</v>
      </c>
      <c r="G15" s="9" t="s">
        <v>55</v>
      </c>
      <c r="H15" s="9" t="s">
        <v>56</v>
      </c>
    </row>
    <row r="16" customFormat="false" ht="15" hidden="false" customHeight="false" outlineLevel="0" collapsed="false">
      <c r="A16" s="12" t="str">
        <f aca="false">IF(المنتجات!$A5="","",المنتجات!C5)</f>
        <v>معمول الملكي</v>
      </c>
      <c r="B16" s="14" t="n">
        <f aca="false">IF(المنتجات!$A5="","",المنتجات!F5)</f>
        <v>130</v>
      </c>
      <c r="D16" s="14" t="n">
        <f aca="false">IF(المنتجات!$A5="","",المنتجات!H5)</f>
        <v>0</v>
      </c>
      <c r="E16" s="15" t="n">
        <f aca="false">IF(المنتجات!$A5="","",المنتجات!J5)</f>
        <v>1</v>
      </c>
      <c r="F16" s="13" t="n">
        <f aca="false">IF(المنتجات!$A5="","",المنتجات!N5)</f>
        <v>0</v>
      </c>
      <c r="G16" s="13" t="n">
        <f aca="false">IF(المنتجات!$A5="","",المنتجات!P5)</f>
        <v>0</v>
      </c>
      <c r="H16" s="12" t="str">
        <f aca="false">IF(المنتجات!$A5="","",المنتجات!R5)</f>
        <v>لم يُسجل رصيد</v>
      </c>
    </row>
    <row r="17" customFormat="false" ht="15" hidden="false" customHeight="false" outlineLevel="0" collapsed="false">
      <c r="A17" s="12" t="str">
        <f aca="false">IF(المنتجات!$A6="","",المنتجات!C6)</f>
        <v>معمول المخصوص (الدوسري)</v>
      </c>
      <c r="B17" s="14" t="n">
        <f aca="false">IF(المنتجات!$A6="","",المنتجات!F6)</f>
        <v>250</v>
      </c>
      <c r="D17" s="14" t="n">
        <f aca="false">IF(المنتجات!$A6="","",المنتجات!H6)</f>
        <v>0</v>
      </c>
      <c r="E17" s="15" t="n">
        <f aca="false">IF(المنتجات!$A6="","",المنتجات!J6)</f>
        <v>1</v>
      </c>
      <c r="F17" s="13" t="n">
        <f aca="false">IF(المنتجات!$A6="","",المنتجات!N6)</f>
        <v>0</v>
      </c>
      <c r="G17" s="13" t="n">
        <f aca="false">IF(المنتجات!$A6="","",المنتجات!P6)</f>
        <v>0</v>
      </c>
      <c r="H17" s="12" t="str">
        <f aca="false">IF(المنتجات!$A6="","",المنتجات!R6)</f>
        <v>لم يُسجل رصيد</v>
      </c>
    </row>
    <row r="18" customFormat="false" ht="15" hidden="false" customHeight="false" outlineLevel="0" collapsed="false">
      <c r="A18" s="12" t="str">
        <f aca="false">IF(المنتجات!$A7="","",المنتجات!C7)</f>
        <v>معمول العرايسي</v>
      </c>
      <c r="B18" s="14" t="n">
        <f aca="false">IF(المنتجات!$A7="","",المنتجات!F7)</f>
        <v>120</v>
      </c>
      <c r="D18" s="14" t="n">
        <f aca="false">IF(المنتجات!$A7="","",المنتجات!H7)</f>
        <v>0</v>
      </c>
      <c r="E18" s="15" t="n">
        <f aca="false">IF(المنتجات!$A7="","",المنتجات!J7)</f>
        <v>1</v>
      </c>
      <c r="F18" s="13" t="n">
        <f aca="false">IF(المنتجات!$A7="","",المنتجات!N7)</f>
        <v>0</v>
      </c>
      <c r="G18" s="13" t="n">
        <f aca="false">IF(المنتجات!$A7="","",المنتجات!P7)</f>
        <v>0</v>
      </c>
      <c r="H18" s="12" t="str">
        <f aca="false">IF(المنتجات!$A7="","",المنتجات!R7)</f>
        <v>لم يُسجل رصيد</v>
      </c>
    </row>
    <row r="19" customFormat="false" ht="15" hidden="false" customHeight="false" outlineLevel="0" collapsed="false">
      <c r="A19" s="12" t="str">
        <f aca="false">IF(المنتجات!$A8="","",المنتجات!C8)</f>
        <v>عود مسقى</v>
      </c>
      <c r="B19" s="14" t="n">
        <f aca="false">IF(المنتجات!$A8="","",المنتجات!F8)</f>
        <v>95</v>
      </c>
      <c r="D19" s="14" t="n">
        <f aca="false">IF(المنتجات!$A8="","",المنتجات!H8)</f>
        <v>0</v>
      </c>
      <c r="E19" s="15" t="n">
        <f aca="false">IF(المنتجات!$A8="","",المنتجات!J8)</f>
        <v>1</v>
      </c>
      <c r="F19" s="13" t="n">
        <f aca="false">IF(المنتجات!$A8="","",المنتجات!N8)</f>
        <v>0</v>
      </c>
      <c r="G19" s="13" t="n">
        <f aca="false">IF(المنتجات!$A8="","",المنتجات!P8)</f>
        <v>0</v>
      </c>
      <c r="H19" s="12" t="str">
        <f aca="false">IF(المنتجات!$A8="","",المنتجات!R8)</f>
        <v>لم يُسجل رصيد</v>
      </c>
    </row>
    <row r="20" customFormat="false" ht="15" hidden="false" customHeight="false" outlineLevel="0" collapsed="false">
      <c r="A20" s="12" t="str">
        <f aca="false">IF(المنتجات!$A9="","",المنتجات!C9)</f>
        <v>عود طبيعي مسقى زيوت</v>
      </c>
      <c r="B20" s="14" t="n">
        <f aca="false">IF(المنتجات!$A9="","",المنتجات!F9)</f>
        <v>250</v>
      </c>
      <c r="D20" s="14" t="n">
        <f aca="false">IF(المنتجات!$A9="","",المنتجات!H9)</f>
        <v>0</v>
      </c>
      <c r="E20" s="15" t="n">
        <f aca="false">IF(المنتجات!$A9="","",المنتجات!J9)</f>
        <v>1</v>
      </c>
      <c r="F20" s="13" t="n">
        <f aca="false">IF(المنتجات!$A9="","",المنتجات!N9)</f>
        <v>0</v>
      </c>
      <c r="G20" s="13" t="n">
        <f aca="false">IF(المنتجات!$A9="","",المنتجات!P9)</f>
        <v>0</v>
      </c>
      <c r="H20" s="12" t="str">
        <f aca="false">IF(المنتجات!$A9="","",المنتجات!R9)</f>
        <v>لم يُسجل رصيد</v>
      </c>
    </row>
    <row r="21" customFormat="false" ht="15" hidden="false" customHeight="false" outlineLevel="0" collapsed="false">
      <c r="A21" s="12" t="str">
        <f aca="false">IF(المنتجات!$A10="","",المنتجات!C10)</f>
        <v>مرش أسيل</v>
      </c>
      <c r="B21" s="14" t="n">
        <f aca="false">IF(المنتجات!$A10="","",المنتجات!F10)</f>
        <v>80</v>
      </c>
      <c r="D21" s="14" t="n">
        <f aca="false">IF(المنتجات!$A10="","",المنتجات!H10)</f>
        <v>0</v>
      </c>
      <c r="E21" s="15" t="n">
        <f aca="false">IF(المنتجات!$A10="","",المنتجات!J10)</f>
        <v>1</v>
      </c>
      <c r="F21" s="13" t="n">
        <f aca="false">IF(المنتجات!$A10="","",المنتجات!N10)</f>
        <v>0</v>
      </c>
      <c r="G21" s="13" t="n">
        <f aca="false">IF(المنتجات!$A10="","",المنتجات!P10)</f>
        <v>0</v>
      </c>
      <c r="H21" s="12" t="str">
        <f aca="false">IF(المنتجات!$A10="","",المنتجات!R10)</f>
        <v>لم يُسجل رصيد</v>
      </c>
    </row>
    <row r="22" customFormat="false" ht="15" hidden="false" customHeight="false" outlineLevel="0" collapsed="false">
      <c r="A22" s="12" t="str">
        <f aca="false">IF(المنتجات!$A11="","",المنتجات!C11)</f>
        <v>مرش شهد</v>
      </c>
      <c r="B22" s="14" t="n">
        <f aca="false">IF(المنتجات!$A11="","",المنتجات!F11)</f>
        <v>80</v>
      </c>
      <c r="D22" s="14" t="n">
        <f aca="false">IF(المنتجات!$A11="","",المنتجات!H11)</f>
        <v>0</v>
      </c>
      <c r="E22" s="15" t="n">
        <f aca="false">IF(المنتجات!$A11="","",المنتجات!J11)</f>
        <v>1</v>
      </c>
      <c r="F22" s="13" t="n">
        <f aca="false">IF(المنتجات!$A11="","",المنتجات!N11)</f>
        <v>0</v>
      </c>
      <c r="G22" s="13" t="n">
        <f aca="false">IF(المنتجات!$A11="","",المنتجات!P11)</f>
        <v>0</v>
      </c>
      <c r="H22" s="12" t="str">
        <f aca="false">IF(المنتجات!$A11="","",المنتجات!R11)</f>
        <v>لم يُسجل رصيد</v>
      </c>
    </row>
    <row r="23" customFormat="false" ht="15" hidden="false" customHeight="false" outlineLevel="0" collapsed="false">
      <c r="A23" s="12" t="str">
        <f aca="false">IF(المنتجات!$A12="","",المنتجات!C12)</f>
        <v>مرش سديم</v>
      </c>
      <c r="B23" s="14" t="n">
        <f aca="false">IF(المنتجات!$A12="","",المنتجات!F12)</f>
        <v>80</v>
      </c>
      <c r="D23" s="14" t="n">
        <f aca="false">IF(المنتجات!$A12="","",المنتجات!H12)</f>
        <v>0</v>
      </c>
      <c r="E23" s="15" t="n">
        <f aca="false">IF(المنتجات!$A12="","",المنتجات!J12)</f>
        <v>1</v>
      </c>
      <c r="F23" s="13" t="n">
        <f aca="false">IF(المنتجات!$A12="","",المنتجات!N12)</f>
        <v>0</v>
      </c>
      <c r="G23" s="13" t="n">
        <f aca="false">IF(المنتجات!$A12="","",المنتجات!P12)</f>
        <v>0</v>
      </c>
      <c r="H23" s="12" t="str">
        <f aca="false">IF(المنتجات!$A12="","",المنتجات!R12)</f>
        <v>لم يُسجل رصيد</v>
      </c>
    </row>
    <row r="24" customFormat="false" ht="15" hidden="false" customHeight="false" outlineLevel="0" collapsed="false">
      <c r="A24" s="12" t="str">
        <f aca="false">IF(المنتجات!$A13="","",المنتجات!C13)</f>
        <v>فتشة العروس</v>
      </c>
      <c r="B24" s="14" t="n">
        <f aca="false">IF(المنتجات!$A13="","",المنتجات!F13)</f>
        <v>70</v>
      </c>
      <c r="D24" s="14" t="n">
        <f aca="false">IF(المنتجات!$A13="","",المنتجات!H13)</f>
        <v>0</v>
      </c>
      <c r="E24" s="15" t="n">
        <f aca="false">IF(المنتجات!$A13="","",المنتجات!J13)</f>
        <v>1</v>
      </c>
      <c r="F24" s="13" t="n">
        <f aca="false">IF(المنتجات!$A13="","",المنتجات!N13)</f>
        <v>0</v>
      </c>
      <c r="G24" s="13" t="n">
        <f aca="false">IF(المنتجات!$A13="","",المنتجات!P13)</f>
        <v>0</v>
      </c>
      <c r="H24" s="12" t="str">
        <f aca="false">IF(المنتجات!$A13="","",المنتجات!R13)</f>
        <v>لم يُسجل رصيد</v>
      </c>
    </row>
    <row r="25" customFormat="false" ht="15" hidden="false" customHeight="false" outlineLevel="0" collapsed="false">
      <c r="A25" s="12" t="str">
        <f aca="false">IF(المنتجات!$A14="","",المنتجات!C14)</f>
        <v>خمرية الزعفران</v>
      </c>
      <c r="B25" s="14" t="n">
        <f aca="false">IF(المنتجات!$A14="","",المنتجات!F14)</f>
        <v>60</v>
      </c>
      <c r="D25" s="14" t="n">
        <f aca="false">IF(المنتجات!$A14="","",المنتجات!H14)</f>
        <v>0</v>
      </c>
      <c r="E25" s="15" t="n">
        <f aca="false">IF(المنتجات!$A14="","",المنتجات!J14)</f>
        <v>1</v>
      </c>
      <c r="F25" s="13" t="n">
        <f aca="false">IF(المنتجات!$A14="","",المنتجات!N14)</f>
        <v>0</v>
      </c>
      <c r="G25" s="13" t="n">
        <f aca="false">IF(المنتجات!$A14="","",المنتجات!P14)</f>
        <v>0</v>
      </c>
      <c r="H25" s="12" t="str">
        <f aca="false">IF(المنتجات!$A14="","",المنتجات!R14)</f>
        <v>لم يُسجل رصيد</v>
      </c>
    </row>
    <row r="26" customFormat="false" ht="15" hidden="false" customHeight="false" outlineLevel="0" collapsed="false">
      <c r="A26" s="12" t="str">
        <f aca="false">IF(المنتجات!$A15="","",المنتجات!C15)</f>
        <v>خمرية المسك</v>
      </c>
      <c r="B26" s="14" t="n">
        <f aca="false">IF(المنتجات!$A15="","",المنتجات!F15)</f>
        <v>60</v>
      </c>
      <c r="D26" s="14" t="n">
        <f aca="false">IF(المنتجات!$A15="","",المنتجات!H15)</f>
        <v>0</v>
      </c>
      <c r="E26" s="15" t="n">
        <f aca="false">IF(المنتجات!$A15="","",المنتجات!J15)</f>
        <v>1</v>
      </c>
      <c r="F26" s="13" t="n">
        <f aca="false">IF(المنتجات!$A15="","",المنتجات!N15)</f>
        <v>0</v>
      </c>
      <c r="G26" s="13" t="n">
        <f aca="false">IF(المنتجات!$A15="","",المنتجات!P15)</f>
        <v>0</v>
      </c>
      <c r="H26" s="12" t="str">
        <f aca="false">IF(المنتجات!$A15="","",المنتجات!R15)</f>
        <v>لم يُسجل رصيد</v>
      </c>
    </row>
    <row r="27" customFormat="false" ht="15" hidden="false" customHeight="false" outlineLevel="0" collapsed="false">
      <c r="A27" s="12" t="str">
        <f aca="false">IF(المنتجات!$A16="","",المنتجات!C16)</f>
        <v>دهن العود الطبيعي</v>
      </c>
      <c r="B27" s="14" t="n">
        <f aca="false">IF(المنتجات!$A16="","",المنتجات!F16)</f>
        <v>120</v>
      </c>
      <c r="D27" s="14" t="n">
        <f aca="false">IF(المنتجات!$A16="","",المنتجات!H16)</f>
        <v>0</v>
      </c>
      <c r="E27" s="15" t="n">
        <f aca="false">IF(المنتجات!$A16="","",المنتجات!J16)</f>
        <v>1</v>
      </c>
      <c r="F27" s="13" t="n">
        <f aca="false">IF(المنتجات!$A16="","",المنتجات!N16)</f>
        <v>0</v>
      </c>
      <c r="G27" s="13" t="n">
        <f aca="false">IF(المنتجات!$A16="","",المنتجات!P16)</f>
        <v>0</v>
      </c>
      <c r="H27" s="12" t="str">
        <f aca="false">IF(المنتجات!$A16="","",المنتجات!R16)</f>
        <v>لم يُسجل رصيد</v>
      </c>
    </row>
    <row r="28" customFormat="false" ht="15" hidden="false" customHeight="false" outlineLevel="0" collapsed="false">
      <c r="A28" s="12" t="str">
        <f aca="false">IF(المنتجات!$A17="","",المنتجات!C17)</f>
        <v/>
      </c>
      <c r="B28" s="14" t="str">
        <f aca="false">IF(المنتجات!$A17="","",المنتجات!F17)</f>
        <v/>
      </c>
      <c r="D28" s="14" t="str">
        <f aca="false">IF(المنتجات!$A17="","",المنتجات!H17)</f>
        <v/>
      </c>
      <c r="E28" s="15" t="str">
        <f aca="false">IF(المنتجات!$A17="","",المنتجات!J17)</f>
        <v/>
      </c>
      <c r="F28" s="13" t="str">
        <f aca="false">IF(المنتجات!$A17="","",المنتجات!N17)</f>
        <v/>
      </c>
      <c r="G28" s="13" t="str">
        <f aca="false">IF(المنتجات!$A17="","",المنتجات!P17)</f>
        <v/>
      </c>
      <c r="H28" s="12" t="str">
        <f aca="false">IF(المنتجات!$A17="","",المنتجات!R17)</f>
        <v/>
      </c>
    </row>
    <row r="29" customFormat="false" ht="15" hidden="false" customHeight="false" outlineLevel="0" collapsed="false">
      <c r="A29" s="12" t="str">
        <f aca="false">IF(المنتجات!$A18="","",المنتجات!C18)</f>
        <v/>
      </c>
      <c r="B29" s="14" t="str">
        <f aca="false">IF(المنتجات!$A18="","",المنتجات!F18)</f>
        <v/>
      </c>
      <c r="D29" s="14" t="str">
        <f aca="false">IF(المنتجات!$A18="","",المنتجات!H18)</f>
        <v/>
      </c>
      <c r="E29" s="15" t="str">
        <f aca="false">IF(المنتجات!$A18="","",المنتجات!J18)</f>
        <v/>
      </c>
      <c r="F29" s="13" t="str">
        <f aca="false">IF(المنتجات!$A18="","",المنتجات!N18)</f>
        <v/>
      </c>
      <c r="G29" s="13" t="str">
        <f aca="false">IF(المنتجات!$A18="","",المنتجات!P18)</f>
        <v/>
      </c>
      <c r="H29" s="12" t="str">
        <f aca="false">IF(المنتجات!$A18="","",المنتجات!R18)</f>
        <v/>
      </c>
    </row>
    <row r="30" customFormat="false" ht="15" hidden="false" customHeight="false" outlineLevel="0" collapsed="false">
      <c r="A30" s="12" t="str">
        <f aca="false">IF(المنتجات!$A19="","",المنتجات!C19)</f>
        <v/>
      </c>
      <c r="B30" s="14" t="str">
        <f aca="false">IF(المنتجات!$A19="","",المنتجات!F19)</f>
        <v/>
      </c>
      <c r="D30" s="14" t="str">
        <f aca="false">IF(المنتجات!$A19="","",المنتجات!H19)</f>
        <v/>
      </c>
      <c r="E30" s="15" t="str">
        <f aca="false">IF(المنتجات!$A19="","",المنتجات!J19)</f>
        <v/>
      </c>
      <c r="F30" s="13" t="str">
        <f aca="false">IF(المنتجات!$A19="","",المنتجات!N19)</f>
        <v/>
      </c>
      <c r="G30" s="13" t="str">
        <f aca="false">IF(المنتجات!$A19="","",المنتجات!P19)</f>
        <v/>
      </c>
      <c r="H30" s="12" t="str">
        <f aca="false">IF(المنتجات!$A19="","",المنتجات!R19)</f>
        <v/>
      </c>
    </row>
    <row r="31" customFormat="false" ht="15" hidden="false" customHeight="false" outlineLevel="0" collapsed="false">
      <c r="A31" s="12" t="str">
        <f aca="false">IF(المنتجات!$A20="","",المنتجات!C20)</f>
        <v/>
      </c>
      <c r="B31" s="14" t="str">
        <f aca="false">IF(المنتجات!$A20="","",المنتجات!F20)</f>
        <v/>
      </c>
      <c r="D31" s="14" t="str">
        <f aca="false">IF(المنتجات!$A20="","",المنتجات!H20)</f>
        <v/>
      </c>
      <c r="E31" s="15" t="str">
        <f aca="false">IF(المنتجات!$A20="","",المنتجات!J20)</f>
        <v/>
      </c>
      <c r="F31" s="13" t="str">
        <f aca="false">IF(المنتجات!$A20="","",المنتجات!N20)</f>
        <v/>
      </c>
      <c r="G31" s="13" t="str">
        <f aca="false">IF(المنتجات!$A20="","",المنتجات!P20)</f>
        <v/>
      </c>
      <c r="H31" s="12" t="str">
        <f aca="false">IF(المنتجات!$A20="","",المنتجات!R20)</f>
        <v/>
      </c>
    </row>
    <row r="32" customFormat="false" ht="15" hidden="false" customHeight="false" outlineLevel="0" collapsed="false">
      <c r="A32" s="12" t="str">
        <f aca="false">IF(المنتجات!$A21="","",المنتجات!C21)</f>
        <v/>
      </c>
      <c r="B32" s="14" t="str">
        <f aca="false">IF(المنتجات!$A21="","",المنتجات!F21)</f>
        <v/>
      </c>
      <c r="D32" s="14" t="str">
        <f aca="false">IF(المنتجات!$A21="","",المنتجات!H21)</f>
        <v/>
      </c>
      <c r="E32" s="15" t="str">
        <f aca="false">IF(المنتجات!$A21="","",المنتجات!J21)</f>
        <v/>
      </c>
      <c r="F32" s="13" t="str">
        <f aca="false">IF(المنتجات!$A21="","",المنتجات!N21)</f>
        <v/>
      </c>
      <c r="G32" s="13" t="str">
        <f aca="false">IF(المنتجات!$A21="","",المنتجات!P21)</f>
        <v/>
      </c>
      <c r="H32" s="12" t="str">
        <f aca="false">IF(المنتجات!$A21="","",المنتجات!R21)</f>
        <v/>
      </c>
    </row>
    <row r="33" customFormat="false" ht="15" hidden="false" customHeight="false" outlineLevel="0" collapsed="false">
      <c r="A33" s="12" t="str">
        <f aca="false">IF(المنتجات!$A22="","",المنتجات!C22)</f>
        <v/>
      </c>
      <c r="B33" s="14" t="str">
        <f aca="false">IF(المنتجات!$A22="","",المنتجات!F22)</f>
        <v/>
      </c>
      <c r="D33" s="14" t="str">
        <f aca="false">IF(المنتجات!$A22="","",المنتجات!H22)</f>
        <v/>
      </c>
      <c r="E33" s="15" t="str">
        <f aca="false">IF(المنتجات!$A22="","",المنتجات!J22)</f>
        <v/>
      </c>
      <c r="F33" s="13" t="str">
        <f aca="false">IF(المنتجات!$A22="","",المنتجات!N22)</f>
        <v/>
      </c>
      <c r="G33" s="13" t="str">
        <f aca="false">IF(المنتجات!$A22="","",المنتجات!P22)</f>
        <v/>
      </c>
      <c r="H33" s="12" t="str">
        <f aca="false">IF(المنتجات!$A22="","",المنتجات!R22)</f>
        <v/>
      </c>
    </row>
    <row r="34" customFormat="false" ht="15" hidden="false" customHeight="false" outlineLevel="0" collapsed="false">
      <c r="A34" s="12" t="str">
        <f aca="false">IF(المنتجات!$A23="","",المنتجات!C23)</f>
        <v/>
      </c>
      <c r="B34" s="14" t="str">
        <f aca="false">IF(المنتجات!$A23="","",المنتجات!F23)</f>
        <v/>
      </c>
      <c r="D34" s="14" t="str">
        <f aca="false">IF(المنتجات!$A23="","",المنتجات!H23)</f>
        <v/>
      </c>
      <c r="E34" s="15" t="str">
        <f aca="false">IF(المنتجات!$A23="","",المنتجات!J23)</f>
        <v/>
      </c>
      <c r="F34" s="13" t="str">
        <f aca="false">IF(المنتجات!$A23="","",المنتجات!N23)</f>
        <v/>
      </c>
      <c r="G34" s="13" t="str">
        <f aca="false">IF(المنتجات!$A23="","",المنتجات!P23)</f>
        <v/>
      </c>
      <c r="H34" s="12" t="str">
        <f aca="false">IF(المنتجات!$A23="","",المنتجات!R23)</f>
        <v/>
      </c>
    </row>
    <row r="35" customFormat="false" ht="15" hidden="false" customHeight="false" outlineLevel="0" collapsed="false">
      <c r="A35" s="12" t="str">
        <f aca="false">IF(المنتجات!$A24="","",المنتجات!C24)</f>
        <v/>
      </c>
      <c r="B35" s="14" t="str">
        <f aca="false">IF(المنتجات!$A24="","",المنتجات!F24)</f>
        <v/>
      </c>
      <c r="D35" s="14" t="str">
        <f aca="false">IF(المنتجات!$A24="","",المنتجات!H24)</f>
        <v/>
      </c>
      <c r="E35" s="15" t="str">
        <f aca="false">IF(المنتجات!$A24="","",المنتجات!J24)</f>
        <v/>
      </c>
      <c r="F35" s="13" t="str">
        <f aca="false">IF(المنتجات!$A24="","",المنتجات!N24)</f>
        <v/>
      </c>
      <c r="G35" s="13" t="str">
        <f aca="false">IF(المنتجات!$A24="","",المنتجات!P24)</f>
        <v/>
      </c>
      <c r="H35" s="12" t="str">
        <f aca="false">IF(المنتجات!$A24="","",المنتجات!R24)</f>
        <v/>
      </c>
    </row>
  </sheetData>
  <mergeCells count="3">
    <mergeCell ref="A1:H1"/>
    <mergeCell ref="A2:H2"/>
    <mergeCell ref="A14:H14"/>
  </mergeCells>
  <conditionalFormatting sqref="H16:H35">
    <cfRule type="expression" priority="2" aboveAverage="0" equalAverage="0" bottom="0" percent="0" rank="0" text="" dxfId="0">
      <formula>H16="نفد"</formula>
    </cfRule>
    <cfRule type="expression" priority="3" aboveAverage="0" equalAverage="0" bottom="0" percent="0" rank="0" text="" dxfId="1">
      <formula>OR(H16="اطلب الآن",H16="أعد الإنتاج")</formula>
    </cfRule>
    <cfRule type="expression" priority="4" aboveAverage="0" equalAverage="0" bottom="0" percent="0" rank="0" text="" dxfId="2">
      <formula>H16="متوفر"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5"/>
    <col collapsed="false" customWidth="true" hidden="false" outlineLevel="0" max="17" min="16" style="0" width="12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30"/>
  </cols>
  <sheetData>
    <row r="1" customFormat="false" ht="30" hidden="false" customHeight="true" outlineLevel="0" collapsed="false">
      <c r="A1" s="18" t="s">
        <v>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customFormat="false" ht="31.5" hidden="false" customHeight="true" outlineLevel="0" collapsed="false">
      <c r="A2" s="19" t="s">
        <v>58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4" customFormat="false" ht="33.75" hidden="false" customHeight="true" outlineLevel="0" collapsed="false">
      <c r="A4" s="20" t="s">
        <v>59</v>
      </c>
      <c r="B4" s="20" t="s">
        <v>38</v>
      </c>
      <c r="C4" s="20" t="s">
        <v>60</v>
      </c>
      <c r="D4" s="20" t="s">
        <v>61</v>
      </c>
      <c r="E4" s="20" t="s">
        <v>62</v>
      </c>
      <c r="F4" s="20" t="s">
        <v>63</v>
      </c>
      <c r="G4" s="20" t="s">
        <v>64</v>
      </c>
      <c r="H4" s="20" t="s">
        <v>53</v>
      </c>
      <c r="I4" s="20" t="s">
        <v>65</v>
      </c>
      <c r="J4" s="20" t="s">
        <v>42</v>
      </c>
      <c r="K4" s="20" t="s">
        <v>66</v>
      </c>
      <c r="L4" s="20" t="s">
        <v>67</v>
      </c>
      <c r="M4" s="20" t="s">
        <v>68</v>
      </c>
      <c r="N4" s="20" t="s">
        <v>54</v>
      </c>
      <c r="O4" s="20" t="s">
        <v>69</v>
      </c>
      <c r="P4" s="20" t="s">
        <v>70</v>
      </c>
      <c r="Q4" s="20" t="s">
        <v>71</v>
      </c>
      <c r="R4" s="20" t="s">
        <v>56</v>
      </c>
      <c r="S4" s="20" t="s">
        <v>43</v>
      </c>
      <c r="T4" s="20" t="s">
        <v>72</v>
      </c>
    </row>
    <row r="5" customFormat="false" ht="15" hidden="false" customHeight="false" outlineLevel="0" collapsed="false">
      <c r="A5" s="21" t="s">
        <v>73</v>
      </c>
      <c r="B5" s="21" t="s">
        <v>74</v>
      </c>
      <c r="C5" s="21" t="s">
        <v>75</v>
      </c>
      <c r="D5" s="22" t="n">
        <v>80</v>
      </c>
      <c r="E5" s="21" t="s">
        <v>76</v>
      </c>
      <c r="F5" s="23" t="n">
        <v>130</v>
      </c>
      <c r="G5" s="24"/>
      <c r="H5" s="25" t="n">
        <f aca="false">IF($A5="","",SUMIFS(الوصفات!$J$5:$J$304,الوصفات!$A$5:$A$304,$A5))</f>
        <v>0</v>
      </c>
      <c r="I5" s="25" t="n">
        <f aca="false">IF($A5="","",F5-H5)</f>
        <v>130</v>
      </c>
      <c r="J5" s="26" t="n">
        <f aca="false">IF($A5="","",IFERROR(I5/F5,0))</f>
        <v>1</v>
      </c>
      <c r="K5" s="25" t="n">
        <f aca="false">IF($A5="","",IFERROR(F5/(D5*IF(E5="تولة",الإعدادات!$C$5,1)),0))</f>
        <v>1.625</v>
      </c>
      <c r="L5" s="24"/>
      <c r="M5" s="27" t="n">
        <f aca="false">IF($A5="","",SUMIFS(الإنتاج!$G$5:$G$504,الإنتاج!$C$5:$C$504,$A5))</f>
        <v>0</v>
      </c>
      <c r="N5" s="27" t="n">
        <f aca="false">IF($A5="","",SUMIFS(المبيعات!$G$5:$G$1004,المبيعات!$D$5:$D$1004,$A5))</f>
        <v>0</v>
      </c>
      <c r="O5" s="27" t="n">
        <f aca="false">IF($A5="","",SUMIFS('حركة المخزون'!$E$5:$E$1004,'حركة المخزون'!$C$5:$C$1004,$A5,'حركة المخزون'!$B$5:$B$1004,"تالف")+SUMIFS('حركة المخزون'!$E$5:$E$1004,'حركة المخزون'!$C$5:$C$1004,$A5,'حركة المخزون'!$B$5:$B$1004,"عينة / هدية")+SUMIFS('حركة المخزون'!$E$5:$E$1004,'حركة المخزون'!$C$5:$C$1004,$A5,'حركة المخزون'!$B$5:$B$1004,"تسوية نقص")-SUMIFS('حركة المخزون'!$E$5:$E$1004,'حركة المخزون'!$C$5:$C$1004,$A5,'حركة المخزون'!$B$5:$B$1004,"تسوية زيادة"))</f>
        <v>0</v>
      </c>
      <c r="P5" s="27" t="n">
        <f aca="false">IF($A5="","",N(L5)+M5-N5-O5)</f>
        <v>0</v>
      </c>
      <c r="Q5" s="24"/>
      <c r="R5" s="28" t="str">
        <f aca="false">IF($A5="","",IF(AND(L5="",M5=0,N5=0),"لم يُسجل رصيد",IF(P5&lt;=0,"نفد",IF(P5&lt;=N(Q5),"أعد الإنتاج","متوفر"))))</f>
        <v>لم يُسجل رصيد</v>
      </c>
      <c r="S5" s="25" t="n">
        <f aca="false">IF($A5="","",SUMIFS(المبيعات!$J$5:$J$1004,المبيعات!$D$5:$D$1004,$A5))</f>
        <v>0</v>
      </c>
      <c r="T5" s="29"/>
    </row>
    <row r="6" customFormat="false" ht="15" hidden="false" customHeight="false" outlineLevel="0" collapsed="false">
      <c r="A6" s="21" t="s">
        <v>77</v>
      </c>
      <c r="B6" s="21" t="s">
        <v>74</v>
      </c>
      <c r="C6" s="21" t="s">
        <v>78</v>
      </c>
      <c r="D6" s="22" t="n">
        <v>100</v>
      </c>
      <c r="E6" s="21" t="s">
        <v>76</v>
      </c>
      <c r="F6" s="23" t="n">
        <v>250</v>
      </c>
      <c r="G6" s="22" t="n">
        <v>100</v>
      </c>
      <c r="H6" s="25" t="n">
        <f aca="false">IF($A6="","",SUMIFS(الوصفات!$J$5:$J$304,الوصفات!$A$5:$A$304,$A6))</f>
        <v>0</v>
      </c>
      <c r="I6" s="25" t="n">
        <f aca="false">IF($A6="","",F6-H6)</f>
        <v>250</v>
      </c>
      <c r="J6" s="26" t="n">
        <f aca="false">IF($A6="","",IFERROR(I6/F6,0))</f>
        <v>1</v>
      </c>
      <c r="K6" s="25" t="n">
        <f aca="false">IF($A6="","",IFERROR(F6/(D6*IF(E6="تولة",الإعدادات!$C$5,1)),0))</f>
        <v>2.5</v>
      </c>
      <c r="L6" s="24"/>
      <c r="M6" s="27" t="n">
        <f aca="false">IF($A6="","",SUMIFS(الإنتاج!$G$5:$G$504,الإنتاج!$C$5:$C$504,$A6))</f>
        <v>0</v>
      </c>
      <c r="N6" s="27" t="n">
        <f aca="false">IF($A6="","",SUMIFS(المبيعات!$G$5:$G$1004,المبيعات!$D$5:$D$1004,$A6))</f>
        <v>0</v>
      </c>
      <c r="O6" s="27" t="n">
        <f aca="false">IF($A6="","",SUMIFS('حركة المخزون'!$E$5:$E$1004,'حركة المخزون'!$C$5:$C$1004,$A6,'حركة المخزون'!$B$5:$B$1004,"تالف")+SUMIFS('حركة المخزون'!$E$5:$E$1004,'حركة المخزون'!$C$5:$C$1004,$A6,'حركة المخزون'!$B$5:$B$1004,"عينة / هدية")+SUMIFS('حركة المخزون'!$E$5:$E$1004,'حركة المخزون'!$C$5:$C$1004,$A6,'حركة المخزون'!$B$5:$B$1004,"تسوية نقص")-SUMIFS('حركة المخزون'!$E$5:$E$1004,'حركة المخزون'!$C$5:$C$1004,$A6,'حركة المخزون'!$B$5:$B$1004,"تسوية زيادة"))</f>
        <v>0</v>
      </c>
      <c r="P6" s="27" t="n">
        <f aca="false">IF($A6="","",N(L6)+M6-N6-O6)</f>
        <v>0</v>
      </c>
      <c r="Q6" s="24"/>
      <c r="R6" s="28" t="str">
        <f aca="false">IF($A6="","",IF(AND(L6="",M6=0,N6=0),"لم يُسجل رصيد",IF(P6&lt;=0,"نفد",IF(P6&lt;=N(Q6),"أعد الإنتاج","متوفر"))))</f>
        <v>لم يُسجل رصيد</v>
      </c>
      <c r="S6" s="25" t="n">
        <f aca="false">IF($A6="","",SUMIFS(المبيعات!$J$5:$J$1004,المبيعات!$D$5:$D$1004,$A6))</f>
        <v>0</v>
      </c>
      <c r="T6" s="29" t="s">
        <v>79</v>
      </c>
    </row>
    <row r="7" customFormat="false" ht="15" hidden="false" customHeight="false" outlineLevel="0" collapsed="false">
      <c r="A7" s="21" t="s">
        <v>80</v>
      </c>
      <c r="B7" s="21" t="s">
        <v>74</v>
      </c>
      <c r="C7" s="21" t="s">
        <v>81</v>
      </c>
      <c r="D7" s="22" t="n">
        <v>80</v>
      </c>
      <c r="E7" s="21" t="s">
        <v>76</v>
      </c>
      <c r="F7" s="23" t="n">
        <v>120</v>
      </c>
      <c r="G7" s="24"/>
      <c r="H7" s="25" t="n">
        <f aca="false">IF($A7="","",SUMIFS(الوصفات!$J$5:$J$304,الوصفات!$A$5:$A$304,$A7))</f>
        <v>0</v>
      </c>
      <c r="I7" s="25" t="n">
        <f aca="false">IF($A7="","",F7-H7)</f>
        <v>120</v>
      </c>
      <c r="J7" s="26" t="n">
        <f aca="false">IF($A7="","",IFERROR(I7/F7,0))</f>
        <v>1</v>
      </c>
      <c r="K7" s="25" t="n">
        <f aca="false">IF($A7="","",IFERROR(F7/(D7*IF(E7="تولة",الإعدادات!$C$5,1)),0))</f>
        <v>1.5</v>
      </c>
      <c r="L7" s="24"/>
      <c r="M7" s="27" t="n">
        <f aca="false">IF($A7="","",SUMIFS(الإنتاج!$G$5:$G$504,الإنتاج!$C$5:$C$504,$A7))</f>
        <v>0</v>
      </c>
      <c r="N7" s="27" t="n">
        <f aca="false">IF($A7="","",SUMIFS(المبيعات!$G$5:$G$1004,المبيعات!$D$5:$D$1004,$A7))</f>
        <v>0</v>
      </c>
      <c r="O7" s="27" t="n">
        <f aca="false">IF($A7="","",SUMIFS('حركة المخزون'!$E$5:$E$1004,'حركة المخزون'!$C$5:$C$1004,$A7,'حركة المخزون'!$B$5:$B$1004,"تالف")+SUMIFS('حركة المخزون'!$E$5:$E$1004,'حركة المخزون'!$C$5:$C$1004,$A7,'حركة المخزون'!$B$5:$B$1004,"عينة / هدية")+SUMIFS('حركة المخزون'!$E$5:$E$1004,'حركة المخزون'!$C$5:$C$1004,$A7,'حركة المخزون'!$B$5:$B$1004,"تسوية نقص")-SUMIFS('حركة المخزون'!$E$5:$E$1004,'حركة المخزون'!$C$5:$C$1004,$A7,'حركة المخزون'!$B$5:$B$1004,"تسوية زيادة"))</f>
        <v>0</v>
      </c>
      <c r="P7" s="27" t="n">
        <f aca="false">IF($A7="","",N(L7)+M7-N7-O7)</f>
        <v>0</v>
      </c>
      <c r="Q7" s="24"/>
      <c r="R7" s="28" t="str">
        <f aca="false">IF($A7="","",IF(AND(L7="",M7=0,N7=0),"لم يُسجل رصيد",IF(P7&lt;=0,"نفد",IF(P7&lt;=N(Q7),"أعد الإنتاج","متوفر"))))</f>
        <v>لم يُسجل رصيد</v>
      </c>
      <c r="S7" s="25" t="n">
        <f aca="false">IF($A7="","",SUMIFS(المبيعات!$J$5:$J$1004,المبيعات!$D$5:$D$1004,$A7))</f>
        <v>0</v>
      </c>
      <c r="T7" s="29"/>
    </row>
    <row r="8" customFormat="false" ht="15" hidden="false" customHeight="false" outlineLevel="0" collapsed="false">
      <c r="A8" s="21" t="s">
        <v>82</v>
      </c>
      <c r="B8" s="21" t="s">
        <v>83</v>
      </c>
      <c r="C8" s="21" t="s">
        <v>84</v>
      </c>
      <c r="D8" s="22" t="n">
        <v>80</v>
      </c>
      <c r="E8" s="21" t="s">
        <v>76</v>
      </c>
      <c r="F8" s="23" t="n">
        <v>95</v>
      </c>
      <c r="G8" s="24"/>
      <c r="H8" s="25" t="n">
        <f aca="false">IF($A8="","",SUMIFS(الوصفات!$J$5:$J$304,الوصفات!$A$5:$A$304,$A8))</f>
        <v>0</v>
      </c>
      <c r="I8" s="25" t="n">
        <f aca="false">IF($A8="","",F8-H8)</f>
        <v>95</v>
      </c>
      <c r="J8" s="26" t="n">
        <f aca="false">IF($A8="","",IFERROR(I8/F8,0))</f>
        <v>1</v>
      </c>
      <c r="K8" s="25" t="n">
        <f aca="false">IF($A8="","",IFERROR(F8/(D8*IF(E8="تولة",الإعدادات!$C$5,1)),0))</f>
        <v>1.1875</v>
      </c>
      <c r="L8" s="24"/>
      <c r="M8" s="27" t="n">
        <f aca="false">IF($A8="","",SUMIFS(الإنتاج!$G$5:$G$504,الإنتاج!$C$5:$C$504,$A8))</f>
        <v>0</v>
      </c>
      <c r="N8" s="27" t="n">
        <f aca="false">IF($A8="","",SUMIFS(المبيعات!$G$5:$G$1004,المبيعات!$D$5:$D$1004,$A8))</f>
        <v>0</v>
      </c>
      <c r="O8" s="27" t="n">
        <f aca="false">IF($A8="","",SUMIFS('حركة المخزون'!$E$5:$E$1004,'حركة المخزون'!$C$5:$C$1004,$A8,'حركة المخزون'!$B$5:$B$1004,"تالف")+SUMIFS('حركة المخزون'!$E$5:$E$1004,'حركة المخزون'!$C$5:$C$1004,$A8,'حركة المخزون'!$B$5:$B$1004,"عينة / هدية")+SUMIFS('حركة المخزون'!$E$5:$E$1004,'حركة المخزون'!$C$5:$C$1004,$A8,'حركة المخزون'!$B$5:$B$1004,"تسوية نقص")-SUMIFS('حركة المخزون'!$E$5:$E$1004,'حركة المخزون'!$C$5:$C$1004,$A8,'حركة المخزون'!$B$5:$B$1004,"تسوية زيادة"))</f>
        <v>0</v>
      </c>
      <c r="P8" s="27" t="n">
        <f aca="false">IF($A8="","",N(L8)+M8-N8-O8)</f>
        <v>0</v>
      </c>
      <c r="Q8" s="24"/>
      <c r="R8" s="28" t="str">
        <f aca="false">IF($A8="","",IF(AND(L8="",M8=0,N8=0),"لم يُسجل رصيد",IF(P8&lt;=0,"نفد",IF(P8&lt;=N(Q8),"أعد الإنتاج","متوفر"))))</f>
        <v>لم يُسجل رصيد</v>
      </c>
      <c r="S8" s="25" t="n">
        <f aca="false">IF($A8="","",SUMIFS(المبيعات!$J$5:$J$1004,المبيعات!$D$5:$D$1004,$A8))</f>
        <v>0</v>
      </c>
      <c r="T8" s="29"/>
    </row>
    <row r="9" customFormat="false" ht="15" hidden="false" customHeight="false" outlineLevel="0" collapsed="false">
      <c r="A9" s="21" t="s">
        <v>85</v>
      </c>
      <c r="B9" s="21" t="s">
        <v>83</v>
      </c>
      <c r="C9" s="21" t="s">
        <v>86</v>
      </c>
      <c r="D9" s="22" t="n">
        <v>80</v>
      </c>
      <c r="E9" s="21" t="s">
        <v>76</v>
      </c>
      <c r="F9" s="23" t="n">
        <v>250</v>
      </c>
      <c r="G9" s="24"/>
      <c r="H9" s="25" t="n">
        <f aca="false">IF($A9="","",SUMIFS(الوصفات!$J$5:$J$304,الوصفات!$A$5:$A$304,$A9))</f>
        <v>0</v>
      </c>
      <c r="I9" s="25" t="n">
        <f aca="false">IF($A9="","",F9-H9)</f>
        <v>250</v>
      </c>
      <c r="J9" s="26" t="n">
        <f aca="false">IF($A9="","",IFERROR(I9/F9,0))</f>
        <v>1</v>
      </c>
      <c r="K9" s="25" t="n">
        <f aca="false">IF($A9="","",IFERROR(F9/(D9*IF(E9="تولة",الإعدادات!$C$5,1)),0))</f>
        <v>3.125</v>
      </c>
      <c r="L9" s="24"/>
      <c r="M9" s="27" t="n">
        <f aca="false">IF($A9="","",SUMIFS(الإنتاج!$G$5:$G$504,الإنتاج!$C$5:$C$504,$A9))</f>
        <v>0</v>
      </c>
      <c r="N9" s="27" t="n">
        <f aca="false">IF($A9="","",SUMIFS(المبيعات!$G$5:$G$1004,المبيعات!$D$5:$D$1004,$A9))</f>
        <v>0</v>
      </c>
      <c r="O9" s="27" t="n">
        <f aca="false">IF($A9="","",SUMIFS('حركة المخزون'!$E$5:$E$1004,'حركة المخزون'!$C$5:$C$1004,$A9,'حركة المخزون'!$B$5:$B$1004,"تالف")+SUMIFS('حركة المخزون'!$E$5:$E$1004,'حركة المخزون'!$C$5:$C$1004,$A9,'حركة المخزون'!$B$5:$B$1004,"عينة / هدية")+SUMIFS('حركة المخزون'!$E$5:$E$1004,'حركة المخزون'!$C$5:$C$1004,$A9,'حركة المخزون'!$B$5:$B$1004,"تسوية نقص")-SUMIFS('حركة المخزون'!$E$5:$E$1004,'حركة المخزون'!$C$5:$C$1004,$A9,'حركة المخزون'!$B$5:$B$1004,"تسوية زيادة"))</f>
        <v>0</v>
      </c>
      <c r="P9" s="27" t="n">
        <f aca="false">IF($A9="","",N(L9)+M9-N9-O9)</f>
        <v>0</v>
      </c>
      <c r="Q9" s="24"/>
      <c r="R9" s="28" t="str">
        <f aca="false">IF($A9="","",IF(AND(L9="",M9=0,N9=0),"لم يُسجل رصيد",IF(P9&lt;=0,"نفد",IF(P9&lt;=N(Q9),"أعد الإنتاج","متوفر"))))</f>
        <v>لم يُسجل رصيد</v>
      </c>
      <c r="S9" s="25" t="n">
        <f aca="false">IF($A9="","",SUMIFS(المبيعات!$J$5:$J$1004,المبيعات!$D$5:$D$1004,$A9))</f>
        <v>0</v>
      </c>
      <c r="T9" s="29"/>
    </row>
    <row r="10" customFormat="false" ht="15" hidden="false" customHeight="false" outlineLevel="0" collapsed="false">
      <c r="A10" s="21" t="s">
        <v>87</v>
      </c>
      <c r="B10" s="21" t="s">
        <v>88</v>
      </c>
      <c r="C10" s="21" t="s">
        <v>89</v>
      </c>
      <c r="D10" s="22" t="n">
        <v>500</v>
      </c>
      <c r="E10" s="21" t="s">
        <v>90</v>
      </c>
      <c r="F10" s="23" t="n">
        <v>80</v>
      </c>
      <c r="G10" s="24"/>
      <c r="H10" s="25" t="n">
        <f aca="false">IF($A10="","",SUMIFS(الوصفات!$J$5:$J$304,الوصفات!$A$5:$A$304,$A10))</f>
        <v>0</v>
      </c>
      <c r="I10" s="25" t="n">
        <f aca="false">IF($A10="","",F10-H10)</f>
        <v>80</v>
      </c>
      <c r="J10" s="26" t="n">
        <f aca="false">IF($A10="","",IFERROR(I10/F10,0))</f>
        <v>1</v>
      </c>
      <c r="K10" s="25" t="n">
        <f aca="false">IF($A10="","",IFERROR(F10/(D10*IF(E10="تولة",الإعدادات!$C$5,1)),0))</f>
        <v>0.16</v>
      </c>
      <c r="L10" s="24"/>
      <c r="M10" s="27" t="n">
        <f aca="false">IF($A10="","",SUMIFS(الإنتاج!$G$5:$G$504,الإنتاج!$C$5:$C$504,$A10))</f>
        <v>0</v>
      </c>
      <c r="N10" s="27" t="n">
        <f aca="false">IF($A10="","",SUMIFS(المبيعات!$G$5:$G$1004,المبيعات!$D$5:$D$1004,$A10))</f>
        <v>0</v>
      </c>
      <c r="O10" s="27" t="n">
        <f aca="false">IF($A10="","",SUMIFS('حركة المخزون'!$E$5:$E$1004,'حركة المخزون'!$C$5:$C$1004,$A10,'حركة المخزون'!$B$5:$B$1004,"تالف")+SUMIFS('حركة المخزون'!$E$5:$E$1004,'حركة المخزون'!$C$5:$C$1004,$A10,'حركة المخزون'!$B$5:$B$1004,"عينة / هدية")+SUMIFS('حركة المخزون'!$E$5:$E$1004,'حركة المخزون'!$C$5:$C$1004,$A10,'حركة المخزون'!$B$5:$B$1004,"تسوية نقص")-SUMIFS('حركة المخزون'!$E$5:$E$1004,'حركة المخزون'!$C$5:$C$1004,$A10,'حركة المخزون'!$B$5:$B$1004,"تسوية زيادة"))</f>
        <v>0</v>
      </c>
      <c r="P10" s="27" t="n">
        <f aca="false">IF($A10="","",N(L10)+M10-N10-O10)</f>
        <v>0</v>
      </c>
      <c r="Q10" s="24"/>
      <c r="R10" s="28" t="str">
        <f aca="false">IF($A10="","",IF(AND(L10="",M10=0,N10=0),"لم يُسجل رصيد",IF(P10&lt;=0,"نفد",IF(P10&lt;=N(Q10),"أعد الإنتاج","متوفر"))))</f>
        <v>لم يُسجل رصيد</v>
      </c>
      <c r="S10" s="25" t="n">
        <f aca="false">IF($A10="","",SUMIFS(المبيعات!$J$5:$J$1004,المبيعات!$D$5:$D$1004,$A10))</f>
        <v>0</v>
      </c>
      <c r="T10" s="29"/>
    </row>
    <row r="11" customFormat="false" ht="15" hidden="false" customHeight="false" outlineLevel="0" collapsed="false">
      <c r="A11" s="21" t="s">
        <v>91</v>
      </c>
      <c r="B11" s="21" t="s">
        <v>88</v>
      </c>
      <c r="C11" s="21" t="s">
        <v>92</v>
      </c>
      <c r="D11" s="22" t="n">
        <v>500</v>
      </c>
      <c r="E11" s="21" t="s">
        <v>90</v>
      </c>
      <c r="F11" s="23" t="n">
        <v>80</v>
      </c>
      <c r="G11" s="24"/>
      <c r="H11" s="25" t="n">
        <f aca="false">IF($A11="","",SUMIFS(الوصفات!$J$5:$J$304,الوصفات!$A$5:$A$304,$A11))</f>
        <v>0</v>
      </c>
      <c r="I11" s="25" t="n">
        <f aca="false">IF($A11="","",F11-H11)</f>
        <v>80</v>
      </c>
      <c r="J11" s="26" t="n">
        <f aca="false">IF($A11="","",IFERROR(I11/F11,0))</f>
        <v>1</v>
      </c>
      <c r="K11" s="25" t="n">
        <f aca="false">IF($A11="","",IFERROR(F11/(D11*IF(E11="تولة",الإعدادات!$C$5,1)),0))</f>
        <v>0.16</v>
      </c>
      <c r="L11" s="24"/>
      <c r="M11" s="27" t="n">
        <f aca="false">IF($A11="","",SUMIFS(الإنتاج!$G$5:$G$504,الإنتاج!$C$5:$C$504,$A11))</f>
        <v>0</v>
      </c>
      <c r="N11" s="27" t="n">
        <f aca="false">IF($A11="","",SUMIFS(المبيعات!$G$5:$G$1004,المبيعات!$D$5:$D$1004,$A11))</f>
        <v>0</v>
      </c>
      <c r="O11" s="27" t="n">
        <f aca="false">IF($A11="","",SUMIFS('حركة المخزون'!$E$5:$E$1004,'حركة المخزون'!$C$5:$C$1004,$A11,'حركة المخزون'!$B$5:$B$1004,"تالف")+SUMIFS('حركة المخزون'!$E$5:$E$1004,'حركة المخزون'!$C$5:$C$1004,$A11,'حركة المخزون'!$B$5:$B$1004,"عينة / هدية")+SUMIFS('حركة المخزون'!$E$5:$E$1004,'حركة المخزون'!$C$5:$C$1004,$A11,'حركة المخزون'!$B$5:$B$1004,"تسوية نقص")-SUMIFS('حركة المخزون'!$E$5:$E$1004,'حركة المخزون'!$C$5:$C$1004,$A11,'حركة المخزون'!$B$5:$B$1004,"تسوية زيادة"))</f>
        <v>0</v>
      </c>
      <c r="P11" s="27" t="n">
        <f aca="false">IF($A11="","",N(L11)+M11-N11-O11)</f>
        <v>0</v>
      </c>
      <c r="Q11" s="24"/>
      <c r="R11" s="28" t="str">
        <f aca="false">IF($A11="","",IF(AND(L11="",M11=0,N11=0),"لم يُسجل رصيد",IF(P11&lt;=0,"نفد",IF(P11&lt;=N(Q11),"أعد الإنتاج","متوفر"))))</f>
        <v>لم يُسجل رصيد</v>
      </c>
      <c r="S11" s="25" t="n">
        <f aca="false">IF($A11="","",SUMIFS(المبيعات!$J$5:$J$1004,المبيعات!$D$5:$D$1004,$A11))</f>
        <v>0</v>
      </c>
      <c r="T11" s="29"/>
    </row>
    <row r="12" customFormat="false" ht="15" hidden="false" customHeight="false" outlineLevel="0" collapsed="false">
      <c r="A12" s="21" t="s">
        <v>93</v>
      </c>
      <c r="B12" s="21" t="s">
        <v>88</v>
      </c>
      <c r="C12" s="21" t="s">
        <v>94</v>
      </c>
      <c r="D12" s="22" t="n">
        <v>500</v>
      </c>
      <c r="E12" s="21" t="s">
        <v>90</v>
      </c>
      <c r="F12" s="23" t="n">
        <v>80</v>
      </c>
      <c r="G12" s="24"/>
      <c r="H12" s="25" t="n">
        <f aca="false">IF($A12="","",SUMIFS(الوصفات!$J$5:$J$304,الوصفات!$A$5:$A$304,$A12))</f>
        <v>0</v>
      </c>
      <c r="I12" s="25" t="n">
        <f aca="false">IF($A12="","",F12-H12)</f>
        <v>80</v>
      </c>
      <c r="J12" s="26" t="n">
        <f aca="false">IF($A12="","",IFERROR(I12/F12,0))</f>
        <v>1</v>
      </c>
      <c r="K12" s="25" t="n">
        <f aca="false">IF($A12="","",IFERROR(F12/(D12*IF(E12="تولة",الإعدادات!$C$5,1)),0))</f>
        <v>0.16</v>
      </c>
      <c r="L12" s="24"/>
      <c r="M12" s="27" t="n">
        <f aca="false">IF($A12="","",SUMIFS(الإنتاج!$G$5:$G$504,الإنتاج!$C$5:$C$504,$A12))</f>
        <v>0</v>
      </c>
      <c r="N12" s="27" t="n">
        <f aca="false">IF($A12="","",SUMIFS(المبيعات!$G$5:$G$1004,المبيعات!$D$5:$D$1004,$A12))</f>
        <v>0</v>
      </c>
      <c r="O12" s="27" t="n">
        <f aca="false">IF($A12="","",SUMIFS('حركة المخزون'!$E$5:$E$1004,'حركة المخزون'!$C$5:$C$1004,$A12,'حركة المخزون'!$B$5:$B$1004,"تالف")+SUMIFS('حركة المخزون'!$E$5:$E$1004,'حركة المخزون'!$C$5:$C$1004,$A12,'حركة المخزون'!$B$5:$B$1004,"عينة / هدية")+SUMIFS('حركة المخزون'!$E$5:$E$1004,'حركة المخزون'!$C$5:$C$1004,$A12,'حركة المخزون'!$B$5:$B$1004,"تسوية نقص")-SUMIFS('حركة المخزون'!$E$5:$E$1004,'حركة المخزون'!$C$5:$C$1004,$A12,'حركة المخزون'!$B$5:$B$1004,"تسوية زيادة"))</f>
        <v>0</v>
      </c>
      <c r="P12" s="27" t="n">
        <f aca="false">IF($A12="","",N(L12)+M12-N12-O12)</f>
        <v>0</v>
      </c>
      <c r="Q12" s="24"/>
      <c r="R12" s="28" t="str">
        <f aca="false">IF($A12="","",IF(AND(L12="",M12=0,N12=0),"لم يُسجل رصيد",IF(P12&lt;=0,"نفد",IF(P12&lt;=N(Q12),"أعد الإنتاج","متوفر"))))</f>
        <v>لم يُسجل رصيد</v>
      </c>
      <c r="S12" s="25" t="n">
        <f aca="false">IF($A12="","",SUMIFS(المبيعات!$J$5:$J$1004,المبيعات!$D$5:$D$1004,$A12))</f>
        <v>0</v>
      </c>
      <c r="T12" s="29"/>
    </row>
    <row r="13" customFormat="false" ht="15" hidden="false" customHeight="false" outlineLevel="0" collapsed="false">
      <c r="A13" s="21" t="s">
        <v>95</v>
      </c>
      <c r="B13" s="21" t="s">
        <v>96</v>
      </c>
      <c r="C13" s="21" t="s">
        <v>97</v>
      </c>
      <c r="D13" s="22" t="n">
        <v>1</v>
      </c>
      <c r="E13" s="21" t="s">
        <v>98</v>
      </c>
      <c r="F13" s="23" t="n">
        <v>70</v>
      </c>
      <c r="G13" s="24"/>
      <c r="H13" s="25" t="n">
        <f aca="false">IF($A13="","",SUMIFS(الوصفات!$J$5:$J$304,الوصفات!$A$5:$A$304,$A13))</f>
        <v>0</v>
      </c>
      <c r="I13" s="25" t="n">
        <f aca="false">IF($A13="","",F13-H13)</f>
        <v>70</v>
      </c>
      <c r="J13" s="26" t="n">
        <f aca="false">IF($A13="","",IFERROR(I13/F13,0))</f>
        <v>1</v>
      </c>
      <c r="K13" s="25" t="n">
        <f aca="false">IF($A13="","",IFERROR(F13/(D13*IF(E13="تولة",الإعدادات!$C$5,1)),0))</f>
        <v>6.00343053173242</v>
      </c>
      <c r="L13" s="24"/>
      <c r="M13" s="27" t="n">
        <f aca="false">IF($A13="","",SUMIFS(الإنتاج!$G$5:$G$504,الإنتاج!$C$5:$C$504,$A13))</f>
        <v>0</v>
      </c>
      <c r="N13" s="27" t="n">
        <f aca="false">IF($A13="","",SUMIFS(المبيعات!$G$5:$G$1004,المبيعات!$D$5:$D$1004,$A13))</f>
        <v>0</v>
      </c>
      <c r="O13" s="27" t="n">
        <f aca="false">IF($A13="","",SUMIFS('حركة المخزون'!$E$5:$E$1004,'حركة المخزون'!$C$5:$C$1004,$A13,'حركة المخزون'!$B$5:$B$1004,"تالف")+SUMIFS('حركة المخزون'!$E$5:$E$1004,'حركة المخزون'!$C$5:$C$1004,$A13,'حركة المخزون'!$B$5:$B$1004,"عينة / هدية")+SUMIFS('حركة المخزون'!$E$5:$E$1004,'حركة المخزون'!$C$5:$C$1004,$A13,'حركة المخزون'!$B$5:$B$1004,"تسوية نقص")-SUMIFS('حركة المخزون'!$E$5:$E$1004,'حركة المخزون'!$C$5:$C$1004,$A13,'حركة المخزون'!$B$5:$B$1004,"تسوية زيادة"))</f>
        <v>0</v>
      </c>
      <c r="P13" s="27" t="n">
        <f aca="false">IF($A13="","",N(L13)+M13-N13-O13)</f>
        <v>0</v>
      </c>
      <c r="Q13" s="24"/>
      <c r="R13" s="28" t="str">
        <f aca="false">IF($A13="","",IF(AND(L13="",M13=0,N13=0),"لم يُسجل رصيد",IF(P13&lt;=0,"نفد",IF(P13&lt;=N(Q13),"أعد الإنتاج","متوفر"))))</f>
        <v>لم يُسجل رصيد</v>
      </c>
      <c r="S13" s="25" t="n">
        <f aca="false">IF($A13="","",SUMIFS(المبيعات!$J$5:$J$1004,المبيعات!$D$5:$D$1004,$A13))</f>
        <v>0</v>
      </c>
      <c r="T13" s="29"/>
    </row>
    <row r="14" customFormat="false" ht="15" hidden="false" customHeight="false" outlineLevel="0" collapsed="false">
      <c r="A14" s="21" t="s">
        <v>99</v>
      </c>
      <c r="B14" s="21" t="s">
        <v>96</v>
      </c>
      <c r="C14" s="21" t="s">
        <v>100</v>
      </c>
      <c r="D14" s="22" t="n">
        <v>1</v>
      </c>
      <c r="E14" s="21" t="s">
        <v>98</v>
      </c>
      <c r="F14" s="23" t="n">
        <v>60</v>
      </c>
      <c r="G14" s="24"/>
      <c r="H14" s="25" t="n">
        <f aca="false">IF($A14="","",SUMIFS(الوصفات!$J$5:$J$304,الوصفات!$A$5:$A$304,$A14))</f>
        <v>0</v>
      </c>
      <c r="I14" s="25" t="n">
        <f aca="false">IF($A14="","",F14-H14)</f>
        <v>60</v>
      </c>
      <c r="J14" s="26" t="n">
        <f aca="false">IF($A14="","",IFERROR(I14/F14,0))</f>
        <v>1</v>
      </c>
      <c r="K14" s="25" t="n">
        <f aca="false">IF($A14="","",IFERROR(F14/(D14*IF(E14="تولة",الإعدادات!$C$5,1)),0))</f>
        <v>5.14579759862779</v>
      </c>
      <c r="L14" s="24"/>
      <c r="M14" s="27" t="n">
        <f aca="false">IF($A14="","",SUMIFS(الإنتاج!$G$5:$G$504,الإنتاج!$C$5:$C$504,$A14))</f>
        <v>0</v>
      </c>
      <c r="N14" s="27" t="n">
        <f aca="false">IF($A14="","",SUMIFS(المبيعات!$G$5:$G$1004,المبيعات!$D$5:$D$1004,$A14))</f>
        <v>0</v>
      </c>
      <c r="O14" s="27" t="n">
        <f aca="false">IF($A14="","",SUMIFS('حركة المخزون'!$E$5:$E$1004,'حركة المخزون'!$C$5:$C$1004,$A14,'حركة المخزون'!$B$5:$B$1004,"تالف")+SUMIFS('حركة المخزون'!$E$5:$E$1004,'حركة المخزون'!$C$5:$C$1004,$A14,'حركة المخزون'!$B$5:$B$1004,"عينة / هدية")+SUMIFS('حركة المخزون'!$E$5:$E$1004,'حركة المخزون'!$C$5:$C$1004,$A14,'حركة المخزون'!$B$5:$B$1004,"تسوية نقص")-SUMIFS('حركة المخزون'!$E$5:$E$1004,'حركة المخزون'!$C$5:$C$1004,$A14,'حركة المخزون'!$B$5:$B$1004,"تسوية زيادة"))</f>
        <v>0</v>
      </c>
      <c r="P14" s="27" t="n">
        <f aca="false">IF($A14="","",N(L14)+M14-N14-O14)</f>
        <v>0</v>
      </c>
      <c r="Q14" s="24"/>
      <c r="R14" s="28" t="str">
        <f aca="false">IF($A14="","",IF(AND(L14="",M14=0,N14=0),"لم يُسجل رصيد",IF(P14&lt;=0,"نفد",IF(P14&lt;=N(Q14),"أعد الإنتاج","متوفر"))))</f>
        <v>لم يُسجل رصيد</v>
      </c>
      <c r="S14" s="25" t="n">
        <f aca="false">IF($A14="","",SUMIFS(المبيعات!$J$5:$J$1004,المبيعات!$D$5:$D$1004,$A14))</f>
        <v>0</v>
      </c>
      <c r="T14" s="29"/>
    </row>
    <row r="15" customFormat="false" ht="15" hidden="false" customHeight="false" outlineLevel="0" collapsed="false">
      <c r="A15" s="21" t="s">
        <v>101</v>
      </c>
      <c r="B15" s="21" t="s">
        <v>96</v>
      </c>
      <c r="C15" s="21" t="s">
        <v>102</v>
      </c>
      <c r="D15" s="22" t="n">
        <v>1</v>
      </c>
      <c r="E15" s="21" t="s">
        <v>98</v>
      </c>
      <c r="F15" s="23" t="n">
        <v>60</v>
      </c>
      <c r="G15" s="24"/>
      <c r="H15" s="25" t="n">
        <f aca="false">IF($A15="","",SUMIFS(الوصفات!$J$5:$J$304,الوصفات!$A$5:$A$304,$A15))</f>
        <v>0</v>
      </c>
      <c r="I15" s="25" t="n">
        <f aca="false">IF($A15="","",F15-H15)</f>
        <v>60</v>
      </c>
      <c r="J15" s="26" t="n">
        <f aca="false">IF($A15="","",IFERROR(I15/F15,0))</f>
        <v>1</v>
      </c>
      <c r="K15" s="25" t="n">
        <f aca="false">IF($A15="","",IFERROR(F15/(D15*IF(E15="تولة",الإعدادات!$C$5,1)),0))</f>
        <v>5.14579759862779</v>
      </c>
      <c r="L15" s="24"/>
      <c r="M15" s="27" t="n">
        <f aca="false">IF($A15="","",SUMIFS(الإنتاج!$G$5:$G$504,الإنتاج!$C$5:$C$504,$A15))</f>
        <v>0</v>
      </c>
      <c r="N15" s="27" t="n">
        <f aca="false">IF($A15="","",SUMIFS(المبيعات!$G$5:$G$1004,المبيعات!$D$5:$D$1004,$A15))</f>
        <v>0</v>
      </c>
      <c r="O15" s="27" t="n">
        <f aca="false">IF($A15="","",SUMIFS('حركة المخزون'!$E$5:$E$1004,'حركة المخزون'!$C$5:$C$1004,$A15,'حركة المخزون'!$B$5:$B$1004,"تالف")+SUMIFS('حركة المخزون'!$E$5:$E$1004,'حركة المخزون'!$C$5:$C$1004,$A15,'حركة المخزون'!$B$5:$B$1004,"عينة / هدية")+SUMIFS('حركة المخزون'!$E$5:$E$1004,'حركة المخزون'!$C$5:$C$1004,$A15,'حركة المخزون'!$B$5:$B$1004,"تسوية نقص")-SUMIFS('حركة المخزون'!$E$5:$E$1004,'حركة المخزون'!$C$5:$C$1004,$A15,'حركة المخزون'!$B$5:$B$1004,"تسوية زيادة"))</f>
        <v>0</v>
      </c>
      <c r="P15" s="27" t="n">
        <f aca="false">IF($A15="","",N(L15)+M15-N15-O15)</f>
        <v>0</v>
      </c>
      <c r="Q15" s="24"/>
      <c r="R15" s="28" t="str">
        <f aca="false">IF($A15="","",IF(AND(L15="",M15=0,N15=0),"لم يُسجل رصيد",IF(P15&lt;=0,"نفد",IF(P15&lt;=N(Q15),"أعد الإنتاج","متوفر"))))</f>
        <v>لم يُسجل رصيد</v>
      </c>
      <c r="S15" s="25" t="n">
        <f aca="false">IF($A15="","",SUMIFS(المبيعات!$J$5:$J$1004,المبيعات!$D$5:$D$1004,$A15))</f>
        <v>0</v>
      </c>
      <c r="T15" s="29"/>
    </row>
    <row r="16" customFormat="false" ht="15" hidden="false" customHeight="false" outlineLevel="0" collapsed="false">
      <c r="A16" s="21" t="s">
        <v>103</v>
      </c>
      <c r="B16" s="21" t="s">
        <v>96</v>
      </c>
      <c r="C16" s="21" t="s">
        <v>104</v>
      </c>
      <c r="D16" s="22" t="n">
        <v>0.25</v>
      </c>
      <c r="E16" s="21" t="s">
        <v>98</v>
      </c>
      <c r="F16" s="23" t="n">
        <v>120</v>
      </c>
      <c r="G16" s="24"/>
      <c r="H16" s="25" t="n">
        <f aca="false">IF($A16="","",SUMIFS(الوصفات!$J$5:$J$304,الوصفات!$A$5:$A$304,$A16))</f>
        <v>0</v>
      </c>
      <c r="I16" s="25" t="n">
        <f aca="false">IF($A16="","",F16-H16)</f>
        <v>120</v>
      </c>
      <c r="J16" s="26" t="n">
        <f aca="false">IF($A16="","",IFERROR(I16/F16,0))</f>
        <v>1</v>
      </c>
      <c r="K16" s="25" t="n">
        <f aca="false">IF($A16="","",IFERROR(F16/(D16*IF(E16="تولة",الإعدادات!$C$5,1)),0))</f>
        <v>41.1663807890223</v>
      </c>
      <c r="L16" s="24"/>
      <c r="M16" s="27" t="n">
        <f aca="false">IF($A16="","",SUMIFS(الإنتاج!$G$5:$G$504,الإنتاج!$C$5:$C$504,$A16))</f>
        <v>0</v>
      </c>
      <c r="N16" s="27" t="n">
        <f aca="false">IF($A16="","",SUMIFS(المبيعات!$G$5:$G$1004,المبيعات!$D$5:$D$1004,$A16))</f>
        <v>0</v>
      </c>
      <c r="O16" s="27" t="n">
        <f aca="false">IF($A16="","",SUMIFS('حركة المخزون'!$E$5:$E$1004,'حركة المخزون'!$C$5:$C$1004,$A16,'حركة المخزون'!$B$5:$B$1004,"تالف")+SUMIFS('حركة المخزون'!$E$5:$E$1004,'حركة المخزون'!$C$5:$C$1004,$A16,'حركة المخزون'!$B$5:$B$1004,"عينة / هدية")+SUMIFS('حركة المخزون'!$E$5:$E$1004,'حركة المخزون'!$C$5:$C$1004,$A16,'حركة المخزون'!$B$5:$B$1004,"تسوية نقص")-SUMIFS('حركة المخزون'!$E$5:$E$1004,'حركة المخزون'!$C$5:$C$1004,$A16,'حركة المخزون'!$B$5:$B$1004,"تسوية زيادة"))</f>
        <v>0</v>
      </c>
      <c r="P16" s="27" t="n">
        <f aca="false">IF($A16="","",N(L16)+M16-N16-O16)</f>
        <v>0</v>
      </c>
      <c r="Q16" s="24"/>
      <c r="R16" s="28" t="str">
        <f aca="false">IF($A16="","",IF(AND(L16="",M16=0,N16=0),"لم يُسجل رصيد",IF(P16&lt;=0,"نفد",IF(P16&lt;=N(Q16),"أعد الإنتاج","متوفر"))))</f>
        <v>لم يُسجل رصيد</v>
      </c>
      <c r="S16" s="25" t="n">
        <f aca="false">IF($A16="","",SUMIFS(المبيعات!$J$5:$J$1004,المبيعات!$D$5:$D$1004,$A16))</f>
        <v>0</v>
      </c>
      <c r="T16" s="29"/>
    </row>
    <row r="17" customFormat="false" ht="15" hidden="false" customHeight="false" outlineLevel="0" collapsed="false">
      <c r="A17" s="29"/>
      <c r="B17" s="29"/>
      <c r="C17" s="29"/>
      <c r="D17" s="24"/>
      <c r="E17" s="29"/>
      <c r="F17" s="30"/>
      <c r="G17" s="24"/>
      <c r="H17" s="25" t="str">
        <f aca="false">IF($A17="","",SUMIFS(الوصفات!$J$5:$J$304,الوصفات!$A$5:$A$304,$A17))</f>
        <v/>
      </c>
      <c r="I17" s="25" t="str">
        <f aca="false">IF($A17="","",F17-H17)</f>
        <v/>
      </c>
      <c r="J17" s="26" t="str">
        <f aca="false">IF($A17="","",IFERROR(I17/F17,0))</f>
        <v/>
      </c>
      <c r="K17" s="25" t="str">
        <f aca="false">IF($A17="","",IFERROR(F17/(D17*IF(E17="تولة",الإعدادات!$C$5,1)),0))</f>
        <v/>
      </c>
      <c r="L17" s="24"/>
      <c r="M17" s="27" t="str">
        <f aca="false">IF($A17="","",SUMIFS(الإنتاج!$G$5:$G$504,الإنتاج!$C$5:$C$504,$A17))</f>
        <v/>
      </c>
      <c r="N17" s="27" t="str">
        <f aca="false">IF($A17="","",SUMIFS(المبيعات!$G$5:$G$1004,المبيعات!$D$5:$D$1004,$A17))</f>
        <v/>
      </c>
      <c r="O17" s="27" t="str">
        <f aca="false">IF($A17="","",SUMIFS('حركة المخزون'!$E$5:$E$1004,'حركة المخزون'!$C$5:$C$1004,$A17,'حركة المخزون'!$B$5:$B$1004,"تالف")+SUMIFS('حركة المخزون'!$E$5:$E$1004,'حركة المخزون'!$C$5:$C$1004,$A17,'حركة المخزون'!$B$5:$B$1004,"عينة / هدية")+SUMIFS('حركة المخزون'!$E$5:$E$1004,'حركة المخزون'!$C$5:$C$1004,$A17,'حركة المخزون'!$B$5:$B$1004,"تسوية نقص")-SUMIFS('حركة المخزون'!$E$5:$E$1004,'حركة المخزون'!$C$5:$C$1004,$A17,'حركة المخزون'!$B$5:$B$1004,"تسوية زيادة"))</f>
        <v/>
      </c>
      <c r="P17" s="27" t="str">
        <f aca="false">IF($A17="","",N(L17)+M17-N17-O17)</f>
        <v/>
      </c>
      <c r="Q17" s="24"/>
      <c r="R17" s="28" t="str">
        <f aca="false">IF($A17="","",IF(AND(L17="",M17=0,N17=0),"لم يُسجل رصيد",IF(P17&lt;=0,"نفد",IF(P17&lt;=N(Q17),"أعد الإنتاج","متوفر"))))</f>
        <v/>
      </c>
      <c r="S17" s="25" t="str">
        <f aca="false">IF($A17="","",SUMIFS(المبيعات!$J$5:$J$1004,المبيعات!$D$5:$D$1004,$A17))</f>
        <v/>
      </c>
      <c r="T17" s="29"/>
    </row>
    <row r="18" customFormat="false" ht="15" hidden="false" customHeight="false" outlineLevel="0" collapsed="false">
      <c r="A18" s="29"/>
      <c r="B18" s="29"/>
      <c r="C18" s="29"/>
      <c r="D18" s="24"/>
      <c r="E18" s="29"/>
      <c r="F18" s="30"/>
      <c r="G18" s="24"/>
      <c r="H18" s="25" t="str">
        <f aca="false">IF($A18="","",SUMIFS(الوصفات!$J$5:$J$304,الوصفات!$A$5:$A$304,$A18))</f>
        <v/>
      </c>
      <c r="I18" s="25" t="str">
        <f aca="false">IF($A18="","",F18-H18)</f>
        <v/>
      </c>
      <c r="J18" s="26" t="str">
        <f aca="false">IF($A18="","",IFERROR(I18/F18,0))</f>
        <v/>
      </c>
      <c r="K18" s="25" t="str">
        <f aca="false">IF($A18="","",IFERROR(F18/(D18*IF(E18="تولة",الإعدادات!$C$5,1)),0))</f>
        <v/>
      </c>
      <c r="L18" s="24"/>
      <c r="M18" s="27" t="str">
        <f aca="false">IF($A18="","",SUMIFS(الإنتاج!$G$5:$G$504,الإنتاج!$C$5:$C$504,$A18))</f>
        <v/>
      </c>
      <c r="N18" s="27" t="str">
        <f aca="false">IF($A18="","",SUMIFS(المبيعات!$G$5:$G$1004,المبيعات!$D$5:$D$1004,$A18))</f>
        <v/>
      </c>
      <c r="O18" s="27" t="str">
        <f aca="false">IF($A18="","",SUMIFS('حركة المخزون'!$E$5:$E$1004,'حركة المخزون'!$C$5:$C$1004,$A18,'حركة المخزون'!$B$5:$B$1004,"تالف")+SUMIFS('حركة المخزون'!$E$5:$E$1004,'حركة المخزون'!$C$5:$C$1004,$A18,'حركة المخزون'!$B$5:$B$1004,"عينة / هدية")+SUMIFS('حركة المخزون'!$E$5:$E$1004,'حركة المخزون'!$C$5:$C$1004,$A18,'حركة المخزون'!$B$5:$B$1004,"تسوية نقص")-SUMIFS('حركة المخزون'!$E$5:$E$1004,'حركة المخزون'!$C$5:$C$1004,$A18,'حركة المخزون'!$B$5:$B$1004,"تسوية زيادة"))</f>
        <v/>
      </c>
      <c r="P18" s="27" t="str">
        <f aca="false">IF($A18="","",N(L18)+M18-N18-O18)</f>
        <v/>
      </c>
      <c r="Q18" s="24"/>
      <c r="R18" s="28" t="str">
        <f aca="false">IF($A18="","",IF(AND(L18="",M18=0,N18=0),"لم يُسجل رصيد",IF(P18&lt;=0,"نفد",IF(P18&lt;=N(Q18),"أعد الإنتاج","متوفر"))))</f>
        <v/>
      </c>
      <c r="S18" s="25" t="str">
        <f aca="false">IF($A18="","",SUMIFS(المبيعات!$J$5:$J$1004,المبيعات!$D$5:$D$1004,$A18))</f>
        <v/>
      </c>
      <c r="T18" s="29"/>
    </row>
    <row r="19" customFormat="false" ht="15" hidden="false" customHeight="false" outlineLevel="0" collapsed="false">
      <c r="A19" s="29"/>
      <c r="B19" s="29"/>
      <c r="C19" s="29"/>
      <c r="D19" s="24"/>
      <c r="E19" s="29"/>
      <c r="F19" s="30"/>
      <c r="G19" s="24"/>
      <c r="H19" s="25" t="str">
        <f aca="false">IF($A19="","",SUMIFS(الوصفات!$J$5:$J$304,الوصفات!$A$5:$A$304,$A19))</f>
        <v/>
      </c>
      <c r="I19" s="25" t="str">
        <f aca="false">IF($A19="","",F19-H19)</f>
        <v/>
      </c>
      <c r="J19" s="26" t="str">
        <f aca="false">IF($A19="","",IFERROR(I19/F19,0))</f>
        <v/>
      </c>
      <c r="K19" s="25" t="str">
        <f aca="false">IF($A19="","",IFERROR(F19/(D19*IF(E19="تولة",الإعدادات!$C$5,1)),0))</f>
        <v/>
      </c>
      <c r="L19" s="24"/>
      <c r="M19" s="27" t="str">
        <f aca="false">IF($A19="","",SUMIFS(الإنتاج!$G$5:$G$504,الإنتاج!$C$5:$C$504,$A19))</f>
        <v/>
      </c>
      <c r="N19" s="27" t="str">
        <f aca="false">IF($A19="","",SUMIFS(المبيعات!$G$5:$G$1004,المبيعات!$D$5:$D$1004,$A19))</f>
        <v/>
      </c>
      <c r="O19" s="27" t="str">
        <f aca="false">IF($A19="","",SUMIFS('حركة المخزون'!$E$5:$E$1004,'حركة المخزون'!$C$5:$C$1004,$A19,'حركة المخزون'!$B$5:$B$1004,"تالف")+SUMIFS('حركة المخزون'!$E$5:$E$1004,'حركة المخزون'!$C$5:$C$1004,$A19,'حركة المخزون'!$B$5:$B$1004,"عينة / هدية")+SUMIFS('حركة المخزون'!$E$5:$E$1004,'حركة المخزون'!$C$5:$C$1004,$A19,'حركة المخزون'!$B$5:$B$1004,"تسوية نقص")-SUMIFS('حركة المخزون'!$E$5:$E$1004,'حركة المخزون'!$C$5:$C$1004,$A19,'حركة المخزون'!$B$5:$B$1004,"تسوية زيادة"))</f>
        <v/>
      </c>
      <c r="P19" s="27" t="str">
        <f aca="false">IF($A19="","",N(L19)+M19-N19-O19)</f>
        <v/>
      </c>
      <c r="Q19" s="24"/>
      <c r="R19" s="28" t="str">
        <f aca="false">IF($A19="","",IF(AND(L19="",M19=0,N19=0),"لم يُسجل رصيد",IF(P19&lt;=0,"نفد",IF(P19&lt;=N(Q19),"أعد الإنتاج","متوفر"))))</f>
        <v/>
      </c>
      <c r="S19" s="25" t="str">
        <f aca="false">IF($A19="","",SUMIFS(المبيعات!$J$5:$J$1004,المبيعات!$D$5:$D$1004,$A19))</f>
        <v/>
      </c>
      <c r="T19" s="29"/>
    </row>
    <row r="20" customFormat="false" ht="15" hidden="false" customHeight="false" outlineLevel="0" collapsed="false">
      <c r="A20" s="29"/>
      <c r="B20" s="29"/>
      <c r="C20" s="29"/>
      <c r="D20" s="24"/>
      <c r="E20" s="29"/>
      <c r="F20" s="30"/>
      <c r="G20" s="24"/>
      <c r="H20" s="25" t="str">
        <f aca="false">IF($A20="","",SUMIFS(الوصفات!$J$5:$J$304,الوصفات!$A$5:$A$304,$A20))</f>
        <v/>
      </c>
      <c r="I20" s="25" t="str">
        <f aca="false">IF($A20="","",F20-H20)</f>
        <v/>
      </c>
      <c r="J20" s="26" t="str">
        <f aca="false">IF($A20="","",IFERROR(I20/F20,0))</f>
        <v/>
      </c>
      <c r="K20" s="25" t="str">
        <f aca="false">IF($A20="","",IFERROR(F20/(D20*IF(E20="تولة",الإعدادات!$C$5,1)),0))</f>
        <v/>
      </c>
      <c r="L20" s="24"/>
      <c r="M20" s="27" t="str">
        <f aca="false">IF($A20="","",SUMIFS(الإنتاج!$G$5:$G$504,الإنتاج!$C$5:$C$504,$A20))</f>
        <v/>
      </c>
      <c r="N20" s="27" t="str">
        <f aca="false">IF($A20="","",SUMIFS(المبيعات!$G$5:$G$1004,المبيعات!$D$5:$D$1004,$A20))</f>
        <v/>
      </c>
      <c r="O20" s="27" t="str">
        <f aca="false">IF($A20="","",SUMIFS('حركة المخزون'!$E$5:$E$1004,'حركة المخزون'!$C$5:$C$1004,$A20,'حركة المخزون'!$B$5:$B$1004,"تالف")+SUMIFS('حركة المخزون'!$E$5:$E$1004,'حركة المخزون'!$C$5:$C$1004,$A20,'حركة المخزون'!$B$5:$B$1004,"عينة / هدية")+SUMIFS('حركة المخزون'!$E$5:$E$1004,'حركة المخزون'!$C$5:$C$1004,$A20,'حركة المخزون'!$B$5:$B$1004,"تسوية نقص")-SUMIFS('حركة المخزون'!$E$5:$E$1004,'حركة المخزون'!$C$5:$C$1004,$A20,'حركة المخزون'!$B$5:$B$1004,"تسوية زيادة"))</f>
        <v/>
      </c>
      <c r="P20" s="27" t="str">
        <f aca="false">IF($A20="","",N(L20)+M20-N20-O20)</f>
        <v/>
      </c>
      <c r="Q20" s="24"/>
      <c r="R20" s="28" t="str">
        <f aca="false">IF($A20="","",IF(AND(L20="",M20=0,N20=0),"لم يُسجل رصيد",IF(P20&lt;=0,"نفد",IF(P20&lt;=N(Q20),"أعد الإنتاج","متوفر"))))</f>
        <v/>
      </c>
      <c r="S20" s="25" t="str">
        <f aca="false">IF($A20="","",SUMIFS(المبيعات!$J$5:$J$1004,المبيعات!$D$5:$D$1004,$A20))</f>
        <v/>
      </c>
      <c r="T20" s="29"/>
    </row>
    <row r="21" customFormat="false" ht="15" hidden="false" customHeight="false" outlineLevel="0" collapsed="false">
      <c r="A21" s="29"/>
      <c r="B21" s="29"/>
      <c r="C21" s="29"/>
      <c r="D21" s="24"/>
      <c r="E21" s="29"/>
      <c r="F21" s="30"/>
      <c r="G21" s="24"/>
      <c r="H21" s="25" t="str">
        <f aca="false">IF($A21="","",SUMIFS(الوصفات!$J$5:$J$304,الوصفات!$A$5:$A$304,$A21))</f>
        <v/>
      </c>
      <c r="I21" s="25" t="str">
        <f aca="false">IF($A21="","",F21-H21)</f>
        <v/>
      </c>
      <c r="J21" s="26" t="str">
        <f aca="false">IF($A21="","",IFERROR(I21/F21,0))</f>
        <v/>
      </c>
      <c r="K21" s="25" t="str">
        <f aca="false">IF($A21="","",IFERROR(F21/(D21*IF(E21="تولة",الإعدادات!$C$5,1)),0))</f>
        <v/>
      </c>
      <c r="L21" s="24"/>
      <c r="M21" s="27" t="str">
        <f aca="false">IF($A21="","",SUMIFS(الإنتاج!$G$5:$G$504,الإنتاج!$C$5:$C$504,$A21))</f>
        <v/>
      </c>
      <c r="N21" s="27" t="str">
        <f aca="false">IF($A21="","",SUMIFS(المبيعات!$G$5:$G$1004,المبيعات!$D$5:$D$1004,$A21))</f>
        <v/>
      </c>
      <c r="O21" s="27" t="str">
        <f aca="false">IF($A21="","",SUMIFS('حركة المخزون'!$E$5:$E$1004,'حركة المخزون'!$C$5:$C$1004,$A21,'حركة المخزون'!$B$5:$B$1004,"تالف")+SUMIFS('حركة المخزون'!$E$5:$E$1004,'حركة المخزون'!$C$5:$C$1004,$A21,'حركة المخزون'!$B$5:$B$1004,"عينة / هدية")+SUMIFS('حركة المخزون'!$E$5:$E$1004,'حركة المخزون'!$C$5:$C$1004,$A21,'حركة المخزون'!$B$5:$B$1004,"تسوية نقص")-SUMIFS('حركة المخزون'!$E$5:$E$1004,'حركة المخزون'!$C$5:$C$1004,$A21,'حركة المخزون'!$B$5:$B$1004,"تسوية زيادة"))</f>
        <v/>
      </c>
      <c r="P21" s="27" t="str">
        <f aca="false">IF($A21="","",N(L21)+M21-N21-O21)</f>
        <v/>
      </c>
      <c r="Q21" s="24"/>
      <c r="R21" s="28" t="str">
        <f aca="false">IF($A21="","",IF(AND(L21="",M21=0,N21=0),"لم يُسجل رصيد",IF(P21&lt;=0,"نفد",IF(P21&lt;=N(Q21),"أعد الإنتاج","متوفر"))))</f>
        <v/>
      </c>
      <c r="S21" s="25" t="str">
        <f aca="false">IF($A21="","",SUMIFS(المبيعات!$J$5:$J$1004,المبيعات!$D$5:$D$1004,$A21))</f>
        <v/>
      </c>
      <c r="T21" s="29"/>
    </row>
    <row r="22" customFormat="false" ht="15" hidden="false" customHeight="false" outlineLevel="0" collapsed="false">
      <c r="A22" s="29"/>
      <c r="B22" s="29"/>
      <c r="C22" s="29"/>
      <c r="D22" s="24"/>
      <c r="E22" s="29"/>
      <c r="F22" s="30"/>
      <c r="G22" s="24"/>
      <c r="H22" s="25" t="str">
        <f aca="false">IF($A22="","",SUMIFS(الوصفات!$J$5:$J$304,الوصفات!$A$5:$A$304,$A22))</f>
        <v/>
      </c>
      <c r="I22" s="25" t="str">
        <f aca="false">IF($A22="","",F22-H22)</f>
        <v/>
      </c>
      <c r="J22" s="26" t="str">
        <f aca="false">IF($A22="","",IFERROR(I22/F22,0))</f>
        <v/>
      </c>
      <c r="K22" s="25" t="str">
        <f aca="false">IF($A22="","",IFERROR(F22/(D22*IF(E22="تولة",الإعدادات!$C$5,1)),0))</f>
        <v/>
      </c>
      <c r="L22" s="24"/>
      <c r="M22" s="27" t="str">
        <f aca="false">IF($A22="","",SUMIFS(الإنتاج!$G$5:$G$504,الإنتاج!$C$5:$C$504,$A22))</f>
        <v/>
      </c>
      <c r="N22" s="27" t="str">
        <f aca="false">IF($A22="","",SUMIFS(المبيعات!$G$5:$G$1004,المبيعات!$D$5:$D$1004,$A22))</f>
        <v/>
      </c>
      <c r="O22" s="27" t="str">
        <f aca="false">IF($A22="","",SUMIFS('حركة المخزون'!$E$5:$E$1004,'حركة المخزون'!$C$5:$C$1004,$A22,'حركة المخزون'!$B$5:$B$1004,"تالف")+SUMIFS('حركة المخزون'!$E$5:$E$1004,'حركة المخزون'!$C$5:$C$1004,$A22,'حركة المخزون'!$B$5:$B$1004,"عينة / هدية")+SUMIFS('حركة المخزون'!$E$5:$E$1004,'حركة المخزون'!$C$5:$C$1004,$A22,'حركة المخزون'!$B$5:$B$1004,"تسوية نقص")-SUMIFS('حركة المخزون'!$E$5:$E$1004,'حركة المخزون'!$C$5:$C$1004,$A22,'حركة المخزون'!$B$5:$B$1004,"تسوية زيادة"))</f>
        <v/>
      </c>
      <c r="P22" s="27" t="str">
        <f aca="false">IF($A22="","",N(L22)+M22-N22-O22)</f>
        <v/>
      </c>
      <c r="Q22" s="24"/>
      <c r="R22" s="28" t="str">
        <f aca="false">IF($A22="","",IF(AND(L22="",M22=0,N22=0),"لم يُسجل رصيد",IF(P22&lt;=0,"نفد",IF(P22&lt;=N(Q22),"أعد الإنتاج","متوفر"))))</f>
        <v/>
      </c>
      <c r="S22" s="25" t="str">
        <f aca="false">IF($A22="","",SUMIFS(المبيعات!$J$5:$J$1004,المبيعات!$D$5:$D$1004,$A22))</f>
        <v/>
      </c>
      <c r="T22" s="29"/>
    </row>
    <row r="23" customFormat="false" ht="15" hidden="false" customHeight="false" outlineLevel="0" collapsed="false">
      <c r="A23" s="29"/>
      <c r="B23" s="29"/>
      <c r="C23" s="29"/>
      <c r="D23" s="24"/>
      <c r="E23" s="29"/>
      <c r="F23" s="30"/>
      <c r="G23" s="24"/>
      <c r="H23" s="25" t="str">
        <f aca="false">IF($A23="","",SUMIFS(الوصفات!$J$5:$J$304,الوصفات!$A$5:$A$304,$A23))</f>
        <v/>
      </c>
      <c r="I23" s="25" t="str">
        <f aca="false">IF($A23="","",F23-H23)</f>
        <v/>
      </c>
      <c r="J23" s="26" t="str">
        <f aca="false">IF($A23="","",IFERROR(I23/F23,0))</f>
        <v/>
      </c>
      <c r="K23" s="25" t="str">
        <f aca="false">IF($A23="","",IFERROR(F23/(D23*IF(E23="تولة",الإعدادات!$C$5,1)),0))</f>
        <v/>
      </c>
      <c r="L23" s="24"/>
      <c r="M23" s="27" t="str">
        <f aca="false">IF($A23="","",SUMIFS(الإنتاج!$G$5:$G$504,الإنتاج!$C$5:$C$504,$A23))</f>
        <v/>
      </c>
      <c r="N23" s="27" t="str">
        <f aca="false">IF($A23="","",SUMIFS(المبيعات!$G$5:$G$1004,المبيعات!$D$5:$D$1004,$A23))</f>
        <v/>
      </c>
      <c r="O23" s="27" t="str">
        <f aca="false">IF($A23="","",SUMIFS('حركة المخزون'!$E$5:$E$1004,'حركة المخزون'!$C$5:$C$1004,$A23,'حركة المخزون'!$B$5:$B$1004,"تالف")+SUMIFS('حركة المخزون'!$E$5:$E$1004,'حركة المخزون'!$C$5:$C$1004,$A23,'حركة المخزون'!$B$5:$B$1004,"عينة / هدية")+SUMIFS('حركة المخزون'!$E$5:$E$1004,'حركة المخزون'!$C$5:$C$1004,$A23,'حركة المخزون'!$B$5:$B$1004,"تسوية نقص")-SUMIFS('حركة المخزون'!$E$5:$E$1004,'حركة المخزون'!$C$5:$C$1004,$A23,'حركة المخزون'!$B$5:$B$1004,"تسوية زيادة"))</f>
        <v/>
      </c>
      <c r="P23" s="27" t="str">
        <f aca="false">IF($A23="","",N(L23)+M23-N23-O23)</f>
        <v/>
      </c>
      <c r="Q23" s="24"/>
      <c r="R23" s="28" t="str">
        <f aca="false">IF($A23="","",IF(AND(L23="",M23=0,N23=0),"لم يُسجل رصيد",IF(P23&lt;=0,"نفد",IF(P23&lt;=N(Q23),"أعد الإنتاج","متوفر"))))</f>
        <v/>
      </c>
      <c r="S23" s="25" t="str">
        <f aca="false">IF($A23="","",SUMIFS(المبيعات!$J$5:$J$1004,المبيعات!$D$5:$D$1004,$A23))</f>
        <v/>
      </c>
      <c r="T23" s="29"/>
    </row>
    <row r="24" customFormat="false" ht="15" hidden="false" customHeight="false" outlineLevel="0" collapsed="false">
      <c r="A24" s="29"/>
      <c r="B24" s="29"/>
      <c r="C24" s="29"/>
      <c r="D24" s="24"/>
      <c r="E24" s="29"/>
      <c r="F24" s="30"/>
      <c r="G24" s="24"/>
      <c r="H24" s="25" t="str">
        <f aca="false">IF($A24="","",SUMIFS(الوصفات!$J$5:$J$304,الوصفات!$A$5:$A$304,$A24))</f>
        <v/>
      </c>
      <c r="I24" s="25" t="str">
        <f aca="false">IF($A24="","",F24-H24)</f>
        <v/>
      </c>
      <c r="J24" s="26" t="str">
        <f aca="false">IF($A24="","",IFERROR(I24/F24,0))</f>
        <v/>
      </c>
      <c r="K24" s="25" t="str">
        <f aca="false">IF($A24="","",IFERROR(F24/(D24*IF(E24="تولة",الإعدادات!$C$5,1)),0))</f>
        <v/>
      </c>
      <c r="L24" s="24"/>
      <c r="M24" s="27" t="str">
        <f aca="false">IF($A24="","",SUMIFS(الإنتاج!$G$5:$G$504,الإنتاج!$C$5:$C$504,$A24))</f>
        <v/>
      </c>
      <c r="N24" s="27" t="str">
        <f aca="false">IF($A24="","",SUMIFS(المبيعات!$G$5:$G$1004,المبيعات!$D$5:$D$1004,$A24))</f>
        <v/>
      </c>
      <c r="O24" s="27" t="str">
        <f aca="false">IF($A24="","",SUMIFS('حركة المخزون'!$E$5:$E$1004,'حركة المخزون'!$C$5:$C$1004,$A24,'حركة المخزون'!$B$5:$B$1004,"تالف")+SUMIFS('حركة المخزون'!$E$5:$E$1004,'حركة المخزون'!$C$5:$C$1004,$A24,'حركة المخزون'!$B$5:$B$1004,"عينة / هدية")+SUMIFS('حركة المخزون'!$E$5:$E$1004,'حركة المخزون'!$C$5:$C$1004,$A24,'حركة المخزون'!$B$5:$B$1004,"تسوية نقص")-SUMIFS('حركة المخزون'!$E$5:$E$1004,'حركة المخزون'!$C$5:$C$1004,$A24,'حركة المخزون'!$B$5:$B$1004,"تسوية زيادة"))</f>
        <v/>
      </c>
      <c r="P24" s="27" t="str">
        <f aca="false">IF($A24="","",N(L24)+M24-N24-O24)</f>
        <v/>
      </c>
      <c r="Q24" s="24"/>
      <c r="R24" s="28" t="str">
        <f aca="false">IF($A24="","",IF(AND(L24="",M24=0,N24=0),"لم يُسجل رصيد",IF(P24&lt;=0,"نفد",IF(P24&lt;=N(Q24),"أعد الإنتاج","متوفر"))))</f>
        <v/>
      </c>
      <c r="S24" s="25" t="str">
        <f aca="false">IF($A24="","",SUMIFS(المبيعات!$J$5:$J$1004,المبيعات!$D$5:$D$1004,$A24))</f>
        <v/>
      </c>
      <c r="T24" s="29"/>
    </row>
  </sheetData>
  <mergeCells count="2">
    <mergeCell ref="A1:T1"/>
    <mergeCell ref="A2:T2"/>
  </mergeCells>
  <conditionalFormatting sqref="R5:R24">
    <cfRule type="expression" priority="2" aboveAverage="0" equalAverage="0" bottom="0" percent="0" rank="0" text="" dxfId="0">
      <formula>R5="نفد"</formula>
    </cfRule>
    <cfRule type="expression" priority="3" aboveAverage="0" equalAverage="0" bottom="0" percent="0" rank="0" text="" dxfId="1">
      <formula>OR(R5="اطلب الآن",R5="أعد الإنتاج")</formula>
    </cfRule>
    <cfRule type="expression" priority="4" aboveAverage="0" equalAverage="0" bottom="0" percent="0" rank="0" text="" dxfId="2">
      <formula>R5="متوفر"</formula>
    </cfRule>
  </conditionalFormatting>
  <dataValidations count="2">
    <dataValidation allowBlank="true" errorStyle="stop" operator="between" showDropDown="false" showErrorMessage="false" showInputMessage="false" sqref="B5:B24" type="list">
      <formula1>الإعدادات!$E$5:$E$16</formula1>
      <formula2>0</formula2>
    </dataValidation>
    <dataValidation allowBlank="true" errorStyle="stop" operator="between" showDropDown="false" showErrorMessage="false" showInputMessage="false" sqref="E5:E24" type="list">
      <formula1>الإعدادات!$F$5:$F$16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8" t="s">
        <v>105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1.5" hidden="false" customHeight="true" outlineLevel="0" collapsed="false">
      <c r="A2" s="19" t="s">
        <v>106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33.75" hidden="false" customHeight="true" outlineLevel="0" collapsed="false">
      <c r="A4" s="20" t="s">
        <v>107</v>
      </c>
      <c r="B4" s="20" t="s">
        <v>60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62</v>
      </c>
      <c r="H4" s="20" t="s">
        <v>112</v>
      </c>
      <c r="I4" s="20" t="s">
        <v>113</v>
      </c>
      <c r="J4" s="20" t="s">
        <v>114</v>
      </c>
      <c r="K4" s="20" t="s">
        <v>115</v>
      </c>
      <c r="L4" s="20" t="s">
        <v>72</v>
      </c>
    </row>
    <row r="5" customFormat="false" ht="15" hidden="false" customHeight="false" outlineLevel="0" collapsed="false">
      <c r="A5" s="21" t="s">
        <v>77</v>
      </c>
      <c r="B5" s="28" t="str">
        <f aca="false">IF($A5="","",IFERROR(INDEX(المنتجات!$C$5:$C$24,MATCH($A5,المنتجات!$A$5:$A$24,0)),"كود غير موجود"))</f>
        <v>معمول المخصوص (الدوسري)</v>
      </c>
      <c r="C5" s="21" t="s">
        <v>116</v>
      </c>
      <c r="D5" s="28" t="str">
        <f aca="false">IF($C5="","",IFERROR(INDEX('المواد الخام'!$B$5:$B$104,MATCH($C5,'المواد الخام'!$A$5:$A$104,0)),"كود غير موجود"))</f>
        <v>بودرة عود</v>
      </c>
      <c r="E5" s="21" t="s">
        <v>117</v>
      </c>
      <c r="F5" s="22" t="n">
        <v>10000</v>
      </c>
      <c r="G5" s="28" t="str">
        <f aca="false">IF($C5="","",IFERROR(INDEX('المواد الخام'!$D$5:$D$104,MATCH($C5,'المواد الخام'!$A$5:$A$104,0)),""))</f>
        <v>جرام</v>
      </c>
      <c r="H5" s="31" t="n">
        <f aca="false">IF($C5="","",IFERROR(INDEX('المواد الخام'!$G$5:$G$104,MATCH($C5,'المواد الخام'!$A$5:$A$104,0)),0))</f>
        <v>0</v>
      </c>
      <c r="I5" s="25" t="n">
        <f aca="false">IF($C5="","",N(F5)*N(H5))</f>
        <v>0</v>
      </c>
      <c r="J5" s="25" t="n">
        <f aca="false">IF(OR($A5="",$C5=""),"",IF(E5="لكل حبة",I5,IFERROR(I5/INDEX(المنتجات!$G$5:$G$24,MATCH($A5,المنتجات!$A$5:$A$24,0)),0)))</f>
        <v>0</v>
      </c>
      <c r="K5" s="27" t="n">
        <f aca="false">IF(OR($A5="",$C5=""),"",N(F5)*IF(E5="لكل حبة",SUMIFS(الإنتاج!$G$5:$G$504,الإنتاج!$C$5:$C$504,$A5),SUMIFS(الإنتاج!$E$5:$E$504,الإنتاج!$C$5:$C$504,$A5)))</f>
        <v>0</v>
      </c>
      <c r="L5" s="29" t="s">
        <v>118</v>
      </c>
    </row>
    <row r="6" customFormat="false" ht="15" hidden="false" customHeight="false" outlineLevel="0" collapsed="false">
      <c r="A6" s="21" t="s">
        <v>77</v>
      </c>
      <c r="B6" s="28" t="str">
        <f aca="false">IF($A6="","",IFERROR(INDEX(المنتجات!$C$5:$C$24,MATCH($A6,المنتجات!$A$5:$A$24,0)),"كود غير موجود"))</f>
        <v>معمول المخصوص (الدوسري)</v>
      </c>
      <c r="C6" s="21" t="s">
        <v>119</v>
      </c>
      <c r="D6" s="28" t="str">
        <f aca="false">IF($C6="","",IFERROR(INDEX('المواد الخام'!$B$5:$B$104,MATCH($C6,'المواد الخام'!$A$5:$A$104,0)),"كود غير موجود"))</f>
        <v>زيت عطري (خلطة المعمول)</v>
      </c>
      <c r="E6" s="21" t="s">
        <v>117</v>
      </c>
      <c r="F6" s="22" t="n">
        <v>30</v>
      </c>
      <c r="G6" s="28" t="str">
        <f aca="false">IF($C6="","",IFERROR(INDEX('المواد الخام'!$D$5:$D$104,MATCH($C6,'المواد الخام'!$A$5:$A$104,0)),""))</f>
        <v>جرام</v>
      </c>
      <c r="H6" s="31" t="n">
        <f aca="false">IF($C6="","",IFERROR(INDEX('المواد الخام'!$G$5:$G$104,MATCH($C6,'المواد الخام'!$A$5:$A$104,0)),0))</f>
        <v>0</v>
      </c>
      <c r="I6" s="25" t="n">
        <f aca="false">IF($C6="","",N(F6)*N(H6))</f>
        <v>0</v>
      </c>
      <c r="J6" s="25" t="n">
        <f aca="false">IF(OR($A6="",$C6=""),"",IF(E6="لكل حبة",I6,IFERROR(I6/INDEX(المنتجات!$G$5:$G$24,MATCH($A6,المنتجات!$A$5:$A$24,0)),0)))</f>
        <v>0</v>
      </c>
      <c r="K6" s="27" t="n">
        <f aca="false">IF(OR($A6="",$C6=""),"",N(F6)*IF(E6="لكل حبة",SUMIFS(الإنتاج!$G$5:$G$504,الإنتاج!$C$5:$C$504,$A6),SUMIFS(الإنتاج!$E$5:$E$504,الإنتاج!$C$5:$C$504,$A6)))</f>
        <v>0</v>
      </c>
      <c r="L6" s="29" t="s">
        <v>120</v>
      </c>
    </row>
    <row r="7" customFormat="false" ht="15" hidden="false" customHeight="false" outlineLevel="0" collapsed="false">
      <c r="A7" s="21" t="s">
        <v>77</v>
      </c>
      <c r="B7" s="28" t="str">
        <f aca="false">IF($A7="","",IFERROR(INDEX(المنتجات!$C$5:$C$24,MATCH($A7,المنتجات!$A$5:$A$24,0)),"كود غير موجود"))</f>
        <v>معمول المخصوص (الدوسري)</v>
      </c>
      <c r="C7" s="21" t="s">
        <v>121</v>
      </c>
      <c r="D7" s="28" t="str">
        <f aca="false">IF($C7="","",IFERROR(INDEX('المواد الخام'!$B$5:$B$104,MATCH($C7,'المواد الخام'!$A$5:$A$104,0)),"كود غير موجود"))</f>
        <v>علبة معمول (أسود / ذهبي)</v>
      </c>
      <c r="E7" s="21" t="s">
        <v>122</v>
      </c>
      <c r="F7" s="22" t="n">
        <v>1</v>
      </c>
      <c r="G7" s="28" t="str">
        <f aca="false">IF($C7="","",IFERROR(INDEX('المواد الخام'!$D$5:$D$104,MATCH($C7,'المواد الخام'!$A$5:$A$104,0)),""))</f>
        <v>حبة</v>
      </c>
      <c r="H7" s="31" t="n">
        <f aca="false">IF($C7="","",IFERROR(INDEX('المواد الخام'!$G$5:$G$104,MATCH($C7,'المواد الخام'!$A$5:$A$104,0)),0))</f>
        <v>0</v>
      </c>
      <c r="I7" s="25" t="n">
        <f aca="false">IF($C7="","",N(F7)*N(H7))</f>
        <v>0</v>
      </c>
      <c r="J7" s="25" t="n">
        <f aca="false">IF(OR($A7="",$C7=""),"",IF(E7="لكل حبة",I7,IFERROR(I7/INDEX(المنتجات!$G$5:$G$24,MATCH($A7,المنتجات!$A$5:$A$24,0)),0)))</f>
        <v>0</v>
      </c>
      <c r="K7" s="27" t="n">
        <f aca="false">IF(OR($A7="",$C7=""),"",N(F7)*IF(E7="لكل حبة",SUMIFS(الإنتاج!$G$5:$G$504,الإنتاج!$C$5:$C$504,$A7),SUMIFS(الإنتاج!$E$5:$E$504,الإنتاج!$C$5:$C$504,$A7)))</f>
        <v>0</v>
      </c>
      <c r="L7" s="29" t="s">
        <v>123</v>
      </c>
    </row>
    <row r="8" customFormat="false" ht="15" hidden="false" customHeight="false" outlineLevel="0" collapsed="false">
      <c r="A8" s="21" t="s">
        <v>77</v>
      </c>
      <c r="B8" s="28" t="str">
        <f aca="false">IF($A8="","",IFERROR(INDEX(المنتجات!$C$5:$C$24,MATCH($A8,المنتجات!$A$5:$A$24,0)),"كود غير موجود"))</f>
        <v>معمول المخصوص (الدوسري)</v>
      </c>
      <c r="C8" s="21" t="s">
        <v>124</v>
      </c>
      <c r="D8" s="28" t="str">
        <f aca="false">IF($C8="","",IFERROR(INDEX('المواد الخام'!$B$5:$B$104,MATCH($C8,'المواد الخام'!$A$5:$A$104,0)),"كود غير موجود"))</f>
        <v>ملصق علبة</v>
      </c>
      <c r="E8" s="21" t="s">
        <v>122</v>
      </c>
      <c r="F8" s="22" t="n">
        <v>1</v>
      </c>
      <c r="G8" s="28" t="str">
        <f aca="false">IF($C8="","",IFERROR(INDEX('المواد الخام'!$D$5:$D$104,MATCH($C8,'المواد الخام'!$A$5:$A$104,0)),""))</f>
        <v>حبة</v>
      </c>
      <c r="H8" s="31" t="n">
        <f aca="false">IF($C8="","",IFERROR(INDEX('المواد الخام'!$G$5:$G$104,MATCH($C8,'المواد الخام'!$A$5:$A$104,0)),0))</f>
        <v>0</v>
      </c>
      <c r="I8" s="25" t="n">
        <f aca="false">IF($C8="","",N(F8)*N(H8))</f>
        <v>0</v>
      </c>
      <c r="J8" s="25" t="n">
        <f aca="false">IF(OR($A8="",$C8=""),"",IF(E8="لكل حبة",I8,IFERROR(I8/INDEX(المنتجات!$G$5:$G$24,MATCH($A8,المنتجات!$A$5:$A$24,0)),0)))</f>
        <v>0</v>
      </c>
      <c r="K8" s="27" t="n">
        <f aca="false">IF(OR($A8="",$C8=""),"",N(F8)*IF(E8="لكل حبة",SUMIFS(الإنتاج!$G$5:$G$504,الإنتاج!$C$5:$C$504,$A8),SUMIFS(الإنتاج!$E$5:$E$504,الإنتاج!$C$5:$C$504,$A8)))</f>
        <v>0</v>
      </c>
      <c r="L8" s="29" t="s">
        <v>125</v>
      </c>
    </row>
    <row r="9" customFormat="false" ht="15" hidden="false" customHeight="false" outlineLevel="0" collapsed="false">
      <c r="A9" s="29"/>
      <c r="B9" s="28" t="str">
        <f aca="false">IF($A9="","",IFERROR(INDEX(المنتجات!$C$5:$C$24,MATCH($A9,المنتجات!$A$5:$A$24,0)),"كود غير موجود"))</f>
        <v/>
      </c>
      <c r="C9" s="29"/>
      <c r="D9" s="28" t="str">
        <f aca="false">IF($C9="","",IFERROR(INDEX('المواد الخام'!$B$5:$B$104,MATCH($C9,'المواد الخام'!$A$5:$A$104,0)),"كود غير موجود"))</f>
        <v/>
      </c>
      <c r="E9" s="29"/>
      <c r="F9" s="24"/>
      <c r="G9" s="28" t="str">
        <f aca="false">IF($C9="","",IFERROR(INDEX('المواد الخام'!$D$5:$D$104,MATCH($C9,'المواد الخام'!$A$5:$A$104,0)),""))</f>
        <v/>
      </c>
      <c r="H9" s="31" t="str">
        <f aca="false">IF($C9="","",IFERROR(INDEX('المواد الخام'!$G$5:$G$104,MATCH($C9,'المواد الخام'!$A$5:$A$104,0)),0))</f>
        <v/>
      </c>
      <c r="I9" s="25" t="str">
        <f aca="false">IF($C9="","",N(F9)*N(H9))</f>
        <v/>
      </c>
      <c r="J9" s="25" t="str">
        <f aca="false">IF(OR($A9="",$C9=""),"",IF(E9="لكل حبة",I9,IFERROR(I9/INDEX(المنتجات!$G$5:$G$24,MATCH($A9,المنتجات!$A$5:$A$24,0)),0)))</f>
        <v/>
      </c>
      <c r="K9" s="27" t="str">
        <f aca="false">IF(OR($A9="",$C9=""),"",N(F9)*IF(E9="لكل حبة",SUMIFS(الإنتاج!$G$5:$G$504,الإنتاج!$C$5:$C$504,$A9),SUMIFS(الإنتاج!$E$5:$E$504,الإنتاج!$C$5:$C$504,$A9)))</f>
        <v/>
      </c>
      <c r="L9" s="29"/>
    </row>
    <row r="10" customFormat="false" ht="15" hidden="false" customHeight="false" outlineLevel="0" collapsed="false">
      <c r="A10" s="29"/>
      <c r="B10" s="28" t="str">
        <f aca="false">IF($A10="","",IFERROR(INDEX(المنتجات!$C$5:$C$24,MATCH($A10,المنتجات!$A$5:$A$24,0)),"كود غير موجود"))</f>
        <v/>
      </c>
      <c r="C10" s="29"/>
      <c r="D10" s="28" t="str">
        <f aca="false">IF($C10="","",IFERROR(INDEX('المواد الخام'!$B$5:$B$104,MATCH($C10,'المواد الخام'!$A$5:$A$104,0)),"كود غير موجود"))</f>
        <v/>
      </c>
      <c r="E10" s="29"/>
      <c r="F10" s="24"/>
      <c r="G10" s="28" t="str">
        <f aca="false">IF($C10="","",IFERROR(INDEX('المواد الخام'!$D$5:$D$104,MATCH($C10,'المواد الخام'!$A$5:$A$104,0)),""))</f>
        <v/>
      </c>
      <c r="H10" s="31" t="str">
        <f aca="false">IF($C10="","",IFERROR(INDEX('المواد الخام'!$G$5:$G$104,MATCH($C10,'المواد الخام'!$A$5:$A$104,0)),0))</f>
        <v/>
      </c>
      <c r="I10" s="25" t="str">
        <f aca="false">IF($C10="","",N(F10)*N(H10))</f>
        <v/>
      </c>
      <c r="J10" s="25" t="str">
        <f aca="false">IF(OR($A10="",$C10=""),"",IF(E10="لكل حبة",I10,IFERROR(I10/INDEX(المنتجات!$G$5:$G$24,MATCH($A10,المنتجات!$A$5:$A$24,0)),0)))</f>
        <v/>
      </c>
      <c r="K10" s="27" t="str">
        <f aca="false">IF(OR($A10="",$C10=""),"",N(F10)*IF(E10="لكل حبة",SUMIFS(الإنتاج!$G$5:$G$504,الإنتاج!$C$5:$C$504,$A10),SUMIFS(الإنتاج!$E$5:$E$504,الإنتاج!$C$5:$C$504,$A10)))</f>
        <v/>
      </c>
      <c r="L10" s="29"/>
    </row>
    <row r="11" customFormat="false" ht="15" hidden="false" customHeight="false" outlineLevel="0" collapsed="false">
      <c r="A11" s="29"/>
      <c r="B11" s="28" t="str">
        <f aca="false">IF($A11="","",IFERROR(INDEX(المنتجات!$C$5:$C$24,MATCH($A11,المنتجات!$A$5:$A$24,0)),"كود غير موجود"))</f>
        <v/>
      </c>
      <c r="C11" s="29"/>
      <c r="D11" s="28" t="str">
        <f aca="false">IF($C11="","",IFERROR(INDEX('المواد الخام'!$B$5:$B$104,MATCH($C11,'المواد الخام'!$A$5:$A$104,0)),"كود غير موجود"))</f>
        <v/>
      </c>
      <c r="E11" s="29"/>
      <c r="F11" s="24"/>
      <c r="G11" s="28" t="str">
        <f aca="false">IF($C11="","",IFERROR(INDEX('المواد الخام'!$D$5:$D$104,MATCH($C11,'المواد الخام'!$A$5:$A$104,0)),""))</f>
        <v/>
      </c>
      <c r="H11" s="31" t="str">
        <f aca="false">IF($C11="","",IFERROR(INDEX('المواد الخام'!$G$5:$G$104,MATCH($C11,'المواد الخام'!$A$5:$A$104,0)),0))</f>
        <v/>
      </c>
      <c r="I11" s="25" t="str">
        <f aca="false">IF($C11="","",N(F11)*N(H11))</f>
        <v/>
      </c>
      <c r="J11" s="25" t="str">
        <f aca="false">IF(OR($A11="",$C11=""),"",IF(E11="لكل حبة",I11,IFERROR(I11/INDEX(المنتجات!$G$5:$G$24,MATCH($A11,المنتجات!$A$5:$A$24,0)),0)))</f>
        <v/>
      </c>
      <c r="K11" s="27" t="str">
        <f aca="false">IF(OR($A11="",$C11=""),"",N(F11)*IF(E11="لكل حبة",SUMIFS(الإنتاج!$G$5:$G$504,الإنتاج!$C$5:$C$504,$A11),SUMIFS(الإنتاج!$E$5:$E$504,الإنتاج!$C$5:$C$504,$A11)))</f>
        <v/>
      </c>
      <c r="L11" s="29"/>
    </row>
    <row r="12" customFormat="false" ht="15" hidden="false" customHeight="false" outlineLevel="0" collapsed="false">
      <c r="A12" s="29"/>
      <c r="B12" s="28" t="str">
        <f aca="false">IF($A12="","",IFERROR(INDEX(المنتجات!$C$5:$C$24,MATCH($A12,المنتجات!$A$5:$A$24,0)),"كود غير موجود"))</f>
        <v/>
      </c>
      <c r="C12" s="29"/>
      <c r="D12" s="28" t="str">
        <f aca="false">IF($C12="","",IFERROR(INDEX('المواد الخام'!$B$5:$B$104,MATCH($C12,'المواد الخام'!$A$5:$A$104,0)),"كود غير موجود"))</f>
        <v/>
      </c>
      <c r="E12" s="29"/>
      <c r="F12" s="24"/>
      <c r="G12" s="28" t="str">
        <f aca="false">IF($C12="","",IFERROR(INDEX('المواد الخام'!$D$5:$D$104,MATCH($C12,'المواد الخام'!$A$5:$A$104,0)),""))</f>
        <v/>
      </c>
      <c r="H12" s="31" t="str">
        <f aca="false">IF($C12="","",IFERROR(INDEX('المواد الخام'!$G$5:$G$104,MATCH($C12,'المواد الخام'!$A$5:$A$104,0)),0))</f>
        <v/>
      </c>
      <c r="I12" s="25" t="str">
        <f aca="false">IF($C12="","",N(F12)*N(H12))</f>
        <v/>
      </c>
      <c r="J12" s="25" t="str">
        <f aca="false">IF(OR($A12="",$C12=""),"",IF(E12="لكل حبة",I12,IFERROR(I12/INDEX(المنتجات!$G$5:$G$24,MATCH($A12,المنتجات!$A$5:$A$24,0)),0)))</f>
        <v/>
      </c>
      <c r="K12" s="27" t="str">
        <f aca="false">IF(OR($A12="",$C12=""),"",N(F12)*IF(E12="لكل حبة",SUMIFS(الإنتاج!$G$5:$G$504,الإنتاج!$C$5:$C$504,$A12),SUMIFS(الإنتاج!$E$5:$E$504,الإنتاج!$C$5:$C$504,$A12)))</f>
        <v/>
      </c>
      <c r="L12" s="29"/>
    </row>
    <row r="13" customFormat="false" ht="15" hidden="false" customHeight="false" outlineLevel="0" collapsed="false">
      <c r="A13" s="29"/>
      <c r="B13" s="28" t="str">
        <f aca="false">IF($A13="","",IFERROR(INDEX(المنتجات!$C$5:$C$24,MATCH($A13,المنتجات!$A$5:$A$24,0)),"كود غير موجود"))</f>
        <v/>
      </c>
      <c r="C13" s="29"/>
      <c r="D13" s="28" t="str">
        <f aca="false">IF($C13="","",IFERROR(INDEX('المواد الخام'!$B$5:$B$104,MATCH($C13,'المواد الخام'!$A$5:$A$104,0)),"كود غير موجود"))</f>
        <v/>
      </c>
      <c r="E13" s="29"/>
      <c r="F13" s="24"/>
      <c r="G13" s="28" t="str">
        <f aca="false">IF($C13="","",IFERROR(INDEX('المواد الخام'!$D$5:$D$104,MATCH($C13,'المواد الخام'!$A$5:$A$104,0)),""))</f>
        <v/>
      </c>
      <c r="H13" s="31" t="str">
        <f aca="false">IF($C13="","",IFERROR(INDEX('المواد الخام'!$G$5:$G$104,MATCH($C13,'المواد الخام'!$A$5:$A$104,0)),0))</f>
        <v/>
      </c>
      <c r="I13" s="25" t="str">
        <f aca="false">IF($C13="","",N(F13)*N(H13))</f>
        <v/>
      </c>
      <c r="J13" s="25" t="str">
        <f aca="false">IF(OR($A13="",$C13=""),"",IF(E13="لكل حبة",I13,IFERROR(I13/INDEX(المنتجات!$G$5:$G$24,MATCH($A13,المنتجات!$A$5:$A$24,0)),0)))</f>
        <v/>
      </c>
      <c r="K13" s="27" t="str">
        <f aca="false">IF(OR($A13="",$C13=""),"",N(F13)*IF(E13="لكل حبة",SUMIFS(الإنتاج!$G$5:$G$504,الإنتاج!$C$5:$C$504,$A13),SUMIFS(الإنتاج!$E$5:$E$504,الإنتاج!$C$5:$C$504,$A13)))</f>
        <v/>
      </c>
      <c r="L13" s="29"/>
    </row>
    <row r="14" customFormat="false" ht="15" hidden="false" customHeight="false" outlineLevel="0" collapsed="false">
      <c r="A14" s="29"/>
      <c r="B14" s="28" t="str">
        <f aca="false">IF($A14="","",IFERROR(INDEX(المنتجات!$C$5:$C$24,MATCH($A14,المنتجات!$A$5:$A$24,0)),"كود غير موجود"))</f>
        <v/>
      </c>
      <c r="C14" s="29"/>
      <c r="D14" s="28" t="str">
        <f aca="false">IF($C14="","",IFERROR(INDEX('المواد الخام'!$B$5:$B$104,MATCH($C14,'المواد الخام'!$A$5:$A$104,0)),"كود غير موجود"))</f>
        <v/>
      </c>
      <c r="E14" s="29"/>
      <c r="F14" s="24"/>
      <c r="G14" s="28" t="str">
        <f aca="false">IF($C14="","",IFERROR(INDEX('المواد الخام'!$D$5:$D$104,MATCH($C14,'المواد الخام'!$A$5:$A$104,0)),""))</f>
        <v/>
      </c>
      <c r="H14" s="31" t="str">
        <f aca="false">IF($C14="","",IFERROR(INDEX('المواد الخام'!$G$5:$G$104,MATCH($C14,'المواد الخام'!$A$5:$A$104,0)),0))</f>
        <v/>
      </c>
      <c r="I14" s="25" t="str">
        <f aca="false">IF($C14="","",N(F14)*N(H14))</f>
        <v/>
      </c>
      <c r="J14" s="25" t="str">
        <f aca="false">IF(OR($A14="",$C14=""),"",IF(E14="لكل حبة",I14,IFERROR(I14/INDEX(المنتجات!$G$5:$G$24,MATCH($A14,المنتجات!$A$5:$A$24,0)),0)))</f>
        <v/>
      </c>
      <c r="K14" s="27" t="str">
        <f aca="false">IF(OR($A14="",$C14=""),"",N(F14)*IF(E14="لكل حبة",SUMIFS(الإنتاج!$G$5:$G$504,الإنتاج!$C$5:$C$504,$A14),SUMIFS(الإنتاج!$E$5:$E$504,الإنتاج!$C$5:$C$504,$A14)))</f>
        <v/>
      </c>
      <c r="L14" s="29"/>
    </row>
    <row r="15" customFormat="false" ht="15" hidden="false" customHeight="false" outlineLevel="0" collapsed="false">
      <c r="A15" s="29"/>
      <c r="B15" s="28" t="str">
        <f aca="false">IF($A15="","",IFERROR(INDEX(المنتجات!$C$5:$C$24,MATCH($A15,المنتجات!$A$5:$A$24,0)),"كود غير موجود"))</f>
        <v/>
      </c>
      <c r="C15" s="29"/>
      <c r="D15" s="28" t="str">
        <f aca="false">IF($C15="","",IFERROR(INDEX('المواد الخام'!$B$5:$B$104,MATCH($C15,'المواد الخام'!$A$5:$A$104,0)),"كود غير موجود"))</f>
        <v/>
      </c>
      <c r="E15" s="29"/>
      <c r="F15" s="24"/>
      <c r="G15" s="28" t="str">
        <f aca="false">IF($C15="","",IFERROR(INDEX('المواد الخام'!$D$5:$D$104,MATCH($C15,'المواد الخام'!$A$5:$A$104,0)),""))</f>
        <v/>
      </c>
      <c r="H15" s="31" t="str">
        <f aca="false">IF($C15="","",IFERROR(INDEX('المواد الخام'!$G$5:$G$104,MATCH($C15,'المواد الخام'!$A$5:$A$104,0)),0))</f>
        <v/>
      </c>
      <c r="I15" s="25" t="str">
        <f aca="false">IF($C15="","",N(F15)*N(H15))</f>
        <v/>
      </c>
      <c r="J15" s="25" t="str">
        <f aca="false">IF(OR($A15="",$C15=""),"",IF(E15="لكل حبة",I15,IFERROR(I15/INDEX(المنتجات!$G$5:$G$24,MATCH($A15,المنتجات!$A$5:$A$24,0)),0)))</f>
        <v/>
      </c>
      <c r="K15" s="27" t="str">
        <f aca="false">IF(OR($A15="",$C15=""),"",N(F15)*IF(E15="لكل حبة",SUMIFS(الإنتاج!$G$5:$G$504,الإنتاج!$C$5:$C$504,$A15),SUMIFS(الإنتاج!$E$5:$E$504,الإنتاج!$C$5:$C$504,$A15)))</f>
        <v/>
      </c>
      <c r="L15" s="29"/>
    </row>
    <row r="16" customFormat="false" ht="15" hidden="false" customHeight="false" outlineLevel="0" collapsed="false">
      <c r="A16" s="29"/>
      <c r="B16" s="28" t="str">
        <f aca="false">IF($A16="","",IFERROR(INDEX(المنتجات!$C$5:$C$24,MATCH($A16,المنتجات!$A$5:$A$24,0)),"كود غير موجود"))</f>
        <v/>
      </c>
      <c r="C16" s="29"/>
      <c r="D16" s="28" t="str">
        <f aca="false">IF($C16="","",IFERROR(INDEX('المواد الخام'!$B$5:$B$104,MATCH($C16,'المواد الخام'!$A$5:$A$104,0)),"كود غير موجود"))</f>
        <v/>
      </c>
      <c r="E16" s="29"/>
      <c r="F16" s="24"/>
      <c r="G16" s="28" t="str">
        <f aca="false">IF($C16="","",IFERROR(INDEX('المواد الخام'!$D$5:$D$104,MATCH($C16,'المواد الخام'!$A$5:$A$104,0)),""))</f>
        <v/>
      </c>
      <c r="H16" s="31" t="str">
        <f aca="false">IF($C16="","",IFERROR(INDEX('المواد الخام'!$G$5:$G$104,MATCH($C16,'المواد الخام'!$A$5:$A$104,0)),0))</f>
        <v/>
      </c>
      <c r="I16" s="25" t="str">
        <f aca="false">IF($C16="","",N(F16)*N(H16))</f>
        <v/>
      </c>
      <c r="J16" s="25" t="str">
        <f aca="false">IF(OR($A16="",$C16=""),"",IF(E16="لكل حبة",I16,IFERROR(I16/INDEX(المنتجات!$G$5:$G$24,MATCH($A16,المنتجات!$A$5:$A$24,0)),0)))</f>
        <v/>
      </c>
      <c r="K16" s="27" t="str">
        <f aca="false">IF(OR($A16="",$C16=""),"",N(F16)*IF(E16="لكل حبة",SUMIFS(الإنتاج!$G$5:$G$504,الإنتاج!$C$5:$C$504,$A16),SUMIFS(الإنتاج!$E$5:$E$504,الإنتاج!$C$5:$C$504,$A16)))</f>
        <v/>
      </c>
      <c r="L16" s="29"/>
    </row>
    <row r="17" customFormat="false" ht="15" hidden="false" customHeight="false" outlineLevel="0" collapsed="false">
      <c r="A17" s="29"/>
      <c r="B17" s="28" t="str">
        <f aca="false">IF($A17="","",IFERROR(INDEX(المنتجات!$C$5:$C$24,MATCH($A17,المنتجات!$A$5:$A$24,0)),"كود غير موجود"))</f>
        <v/>
      </c>
      <c r="C17" s="29"/>
      <c r="D17" s="28" t="str">
        <f aca="false">IF($C17="","",IFERROR(INDEX('المواد الخام'!$B$5:$B$104,MATCH($C17,'المواد الخام'!$A$5:$A$104,0)),"كود غير موجود"))</f>
        <v/>
      </c>
      <c r="E17" s="29"/>
      <c r="F17" s="24"/>
      <c r="G17" s="28" t="str">
        <f aca="false">IF($C17="","",IFERROR(INDEX('المواد الخام'!$D$5:$D$104,MATCH($C17,'المواد الخام'!$A$5:$A$104,0)),""))</f>
        <v/>
      </c>
      <c r="H17" s="31" t="str">
        <f aca="false">IF($C17="","",IFERROR(INDEX('المواد الخام'!$G$5:$G$104,MATCH($C17,'المواد الخام'!$A$5:$A$104,0)),0))</f>
        <v/>
      </c>
      <c r="I17" s="25" t="str">
        <f aca="false">IF($C17="","",N(F17)*N(H17))</f>
        <v/>
      </c>
      <c r="J17" s="25" t="str">
        <f aca="false">IF(OR($A17="",$C17=""),"",IF(E17="لكل حبة",I17,IFERROR(I17/INDEX(المنتجات!$G$5:$G$24,MATCH($A17,المنتجات!$A$5:$A$24,0)),0)))</f>
        <v/>
      </c>
      <c r="K17" s="27" t="str">
        <f aca="false">IF(OR($A17="",$C17=""),"",N(F17)*IF(E17="لكل حبة",SUMIFS(الإنتاج!$G$5:$G$504,الإنتاج!$C$5:$C$504,$A17),SUMIFS(الإنتاج!$E$5:$E$504,الإنتاج!$C$5:$C$504,$A17)))</f>
        <v/>
      </c>
      <c r="L17" s="29"/>
    </row>
    <row r="18" customFormat="false" ht="15" hidden="false" customHeight="false" outlineLevel="0" collapsed="false">
      <c r="A18" s="29"/>
      <c r="B18" s="28" t="str">
        <f aca="false">IF($A18="","",IFERROR(INDEX(المنتجات!$C$5:$C$24,MATCH($A18,المنتجات!$A$5:$A$24,0)),"كود غير موجود"))</f>
        <v/>
      </c>
      <c r="C18" s="29"/>
      <c r="D18" s="28" t="str">
        <f aca="false">IF($C18="","",IFERROR(INDEX('المواد الخام'!$B$5:$B$104,MATCH($C18,'المواد الخام'!$A$5:$A$104,0)),"كود غير موجود"))</f>
        <v/>
      </c>
      <c r="E18" s="29"/>
      <c r="F18" s="24"/>
      <c r="G18" s="28" t="str">
        <f aca="false">IF($C18="","",IFERROR(INDEX('المواد الخام'!$D$5:$D$104,MATCH($C18,'المواد الخام'!$A$5:$A$104,0)),""))</f>
        <v/>
      </c>
      <c r="H18" s="31" t="str">
        <f aca="false">IF($C18="","",IFERROR(INDEX('المواد الخام'!$G$5:$G$104,MATCH($C18,'المواد الخام'!$A$5:$A$104,0)),0))</f>
        <v/>
      </c>
      <c r="I18" s="25" t="str">
        <f aca="false">IF($C18="","",N(F18)*N(H18))</f>
        <v/>
      </c>
      <c r="J18" s="25" t="str">
        <f aca="false">IF(OR($A18="",$C18=""),"",IF(E18="لكل حبة",I18,IFERROR(I18/INDEX(المنتجات!$G$5:$G$24,MATCH($A18,المنتجات!$A$5:$A$24,0)),0)))</f>
        <v/>
      </c>
      <c r="K18" s="27" t="str">
        <f aca="false">IF(OR($A18="",$C18=""),"",N(F18)*IF(E18="لكل حبة",SUMIFS(الإنتاج!$G$5:$G$504,الإنتاج!$C$5:$C$504,$A18),SUMIFS(الإنتاج!$E$5:$E$504,الإنتاج!$C$5:$C$504,$A18)))</f>
        <v/>
      </c>
      <c r="L18" s="29"/>
    </row>
    <row r="19" customFormat="false" ht="15" hidden="false" customHeight="false" outlineLevel="0" collapsed="false">
      <c r="A19" s="29"/>
      <c r="B19" s="28" t="str">
        <f aca="false">IF($A19="","",IFERROR(INDEX(المنتجات!$C$5:$C$24,MATCH($A19,المنتجات!$A$5:$A$24,0)),"كود غير موجود"))</f>
        <v/>
      </c>
      <c r="C19" s="29"/>
      <c r="D19" s="28" t="str">
        <f aca="false">IF($C19="","",IFERROR(INDEX('المواد الخام'!$B$5:$B$104,MATCH($C19,'المواد الخام'!$A$5:$A$104,0)),"كود غير موجود"))</f>
        <v/>
      </c>
      <c r="E19" s="29"/>
      <c r="F19" s="24"/>
      <c r="G19" s="28" t="str">
        <f aca="false">IF($C19="","",IFERROR(INDEX('المواد الخام'!$D$5:$D$104,MATCH($C19,'المواد الخام'!$A$5:$A$104,0)),""))</f>
        <v/>
      </c>
      <c r="H19" s="31" t="str">
        <f aca="false">IF($C19="","",IFERROR(INDEX('المواد الخام'!$G$5:$G$104,MATCH($C19,'المواد الخام'!$A$5:$A$104,0)),0))</f>
        <v/>
      </c>
      <c r="I19" s="25" t="str">
        <f aca="false">IF($C19="","",N(F19)*N(H19))</f>
        <v/>
      </c>
      <c r="J19" s="25" t="str">
        <f aca="false">IF(OR($A19="",$C19=""),"",IF(E19="لكل حبة",I19,IFERROR(I19/INDEX(المنتجات!$G$5:$G$24,MATCH($A19,المنتجات!$A$5:$A$24,0)),0)))</f>
        <v/>
      </c>
      <c r="K19" s="27" t="str">
        <f aca="false">IF(OR($A19="",$C19=""),"",N(F19)*IF(E19="لكل حبة",SUMIFS(الإنتاج!$G$5:$G$504,الإنتاج!$C$5:$C$504,$A19),SUMIFS(الإنتاج!$E$5:$E$504,الإنتاج!$C$5:$C$504,$A19)))</f>
        <v/>
      </c>
      <c r="L19" s="29"/>
    </row>
    <row r="20" customFormat="false" ht="15" hidden="false" customHeight="false" outlineLevel="0" collapsed="false">
      <c r="A20" s="29"/>
      <c r="B20" s="28" t="str">
        <f aca="false">IF($A20="","",IFERROR(INDEX(المنتجات!$C$5:$C$24,MATCH($A20,المنتجات!$A$5:$A$24,0)),"كود غير موجود"))</f>
        <v/>
      </c>
      <c r="C20" s="29"/>
      <c r="D20" s="28" t="str">
        <f aca="false">IF($C20="","",IFERROR(INDEX('المواد الخام'!$B$5:$B$104,MATCH($C20,'المواد الخام'!$A$5:$A$104,0)),"كود غير موجود"))</f>
        <v/>
      </c>
      <c r="E20" s="29"/>
      <c r="F20" s="24"/>
      <c r="G20" s="28" t="str">
        <f aca="false">IF($C20="","",IFERROR(INDEX('المواد الخام'!$D$5:$D$104,MATCH($C20,'المواد الخام'!$A$5:$A$104,0)),""))</f>
        <v/>
      </c>
      <c r="H20" s="31" t="str">
        <f aca="false">IF($C20="","",IFERROR(INDEX('المواد الخام'!$G$5:$G$104,MATCH($C20,'المواد الخام'!$A$5:$A$104,0)),0))</f>
        <v/>
      </c>
      <c r="I20" s="25" t="str">
        <f aca="false">IF($C20="","",N(F20)*N(H20))</f>
        <v/>
      </c>
      <c r="J20" s="25" t="str">
        <f aca="false">IF(OR($A20="",$C20=""),"",IF(E20="لكل حبة",I20,IFERROR(I20/INDEX(المنتجات!$G$5:$G$24,MATCH($A20,المنتجات!$A$5:$A$24,0)),0)))</f>
        <v/>
      </c>
      <c r="K20" s="27" t="str">
        <f aca="false">IF(OR($A20="",$C20=""),"",N(F20)*IF(E20="لكل حبة",SUMIFS(الإنتاج!$G$5:$G$504,الإنتاج!$C$5:$C$504,$A20),SUMIFS(الإنتاج!$E$5:$E$504,الإنتاج!$C$5:$C$504,$A20)))</f>
        <v/>
      </c>
      <c r="L20" s="29"/>
    </row>
    <row r="21" customFormat="false" ht="15" hidden="false" customHeight="false" outlineLevel="0" collapsed="false">
      <c r="A21" s="29"/>
      <c r="B21" s="28" t="str">
        <f aca="false">IF($A21="","",IFERROR(INDEX(المنتجات!$C$5:$C$24,MATCH($A21,المنتجات!$A$5:$A$24,0)),"كود غير موجود"))</f>
        <v/>
      </c>
      <c r="C21" s="29"/>
      <c r="D21" s="28" t="str">
        <f aca="false">IF($C21="","",IFERROR(INDEX('المواد الخام'!$B$5:$B$104,MATCH($C21,'المواد الخام'!$A$5:$A$104,0)),"كود غير موجود"))</f>
        <v/>
      </c>
      <c r="E21" s="29"/>
      <c r="F21" s="24"/>
      <c r="G21" s="28" t="str">
        <f aca="false">IF($C21="","",IFERROR(INDEX('المواد الخام'!$D$5:$D$104,MATCH($C21,'المواد الخام'!$A$5:$A$104,0)),""))</f>
        <v/>
      </c>
      <c r="H21" s="31" t="str">
        <f aca="false">IF($C21="","",IFERROR(INDEX('المواد الخام'!$G$5:$G$104,MATCH($C21,'المواد الخام'!$A$5:$A$104,0)),0))</f>
        <v/>
      </c>
      <c r="I21" s="25" t="str">
        <f aca="false">IF($C21="","",N(F21)*N(H21))</f>
        <v/>
      </c>
      <c r="J21" s="25" t="str">
        <f aca="false">IF(OR($A21="",$C21=""),"",IF(E21="لكل حبة",I21,IFERROR(I21/INDEX(المنتجات!$G$5:$G$24,MATCH($A21,المنتجات!$A$5:$A$24,0)),0)))</f>
        <v/>
      </c>
      <c r="K21" s="27" t="str">
        <f aca="false">IF(OR($A21="",$C21=""),"",N(F21)*IF(E21="لكل حبة",SUMIFS(الإنتاج!$G$5:$G$504,الإنتاج!$C$5:$C$504,$A21),SUMIFS(الإنتاج!$E$5:$E$504,الإنتاج!$C$5:$C$504,$A21)))</f>
        <v/>
      </c>
      <c r="L21" s="29"/>
    </row>
    <row r="22" customFormat="false" ht="15" hidden="false" customHeight="false" outlineLevel="0" collapsed="false">
      <c r="A22" s="29"/>
      <c r="B22" s="28" t="str">
        <f aca="false">IF($A22="","",IFERROR(INDEX(المنتجات!$C$5:$C$24,MATCH($A22,المنتجات!$A$5:$A$24,0)),"كود غير موجود"))</f>
        <v/>
      </c>
      <c r="C22" s="29"/>
      <c r="D22" s="28" t="str">
        <f aca="false">IF($C22="","",IFERROR(INDEX('المواد الخام'!$B$5:$B$104,MATCH($C22,'المواد الخام'!$A$5:$A$104,0)),"كود غير موجود"))</f>
        <v/>
      </c>
      <c r="E22" s="29"/>
      <c r="F22" s="24"/>
      <c r="G22" s="28" t="str">
        <f aca="false">IF($C22="","",IFERROR(INDEX('المواد الخام'!$D$5:$D$104,MATCH($C22,'المواد الخام'!$A$5:$A$104,0)),""))</f>
        <v/>
      </c>
      <c r="H22" s="31" t="str">
        <f aca="false">IF($C22="","",IFERROR(INDEX('المواد الخام'!$G$5:$G$104,MATCH($C22,'المواد الخام'!$A$5:$A$104,0)),0))</f>
        <v/>
      </c>
      <c r="I22" s="25" t="str">
        <f aca="false">IF($C22="","",N(F22)*N(H22))</f>
        <v/>
      </c>
      <c r="J22" s="25" t="str">
        <f aca="false">IF(OR($A22="",$C22=""),"",IF(E22="لكل حبة",I22,IFERROR(I22/INDEX(المنتجات!$G$5:$G$24,MATCH($A22,المنتجات!$A$5:$A$24,0)),0)))</f>
        <v/>
      </c>
      <c r="K22" s="27" t="str">
        <f aca="false">IF(OR($A22="",$C22=""),"",N(F22)*IF(E22="لكل حبة",SUMIFS(الإنتاج!$G$5:$G$504,الإنتاج!$C$5:$C$504,$A22),SUMIFS(الإنتاج!$E$5:$E$504,الإنتاج!$C$5:$C$504,$A22)))</f>
        <v/>
      </c>
      <c r="L22" s="29"/>
    </row>
    <row r="23" customFormat="false" ht="15" hidden="false" customHeight="false" outlineLevel="0" collapsed="false">
      <c r="A23" s="29"/>
      <c r="B23" s="28" t="str">
        <f aca="false">IF($A23="","",IFERROR(INDEX(المنتجات!$C$5:$C$24,MATCH($A23,المنتجات!$A$5:$A$24,0)),"كود غير موجود"))</f>
        <v/>
      </c>
      <c r="C23" s="29"/>
      <c r="D23" s="28" t="str">
        <f aca="false">IF($C23="","",IFERROR(INDEX('المواد الخام'!$B$5:$B$104,MATCH($C23,'المواد الخام'!$A$5:$A$104,0)),"كود غير موجود"))</f>
        <v/>
      </c>
      <c r="E23" s="29"/>
      <c r="F23" s="24"/>
      <c r="G23" s="28" t="str">
        <f aca="false">IF($C23="","",IFERROR(INDEX('المواد الخام'!$D$5:$D$104,MATCH($C23,'المواد الخام'!$A$5:$A$104,0)),""))</f>
        <v/>
      </c>
      <c r="H23" s="31" t="str">
        <f aca="false">IF($C23="","",IFERROR(INDEX('المواد الخام'!$G$5:$G$104,MATCH($C23,'المواد الخام'!$A$5:$A$104,0)),0))</f>
        <v/>
      </c>
      <c r="I23" s="25" t="str">
        <f aca="false">IF($C23="","",N(F23)*N(H23))</f>
        <v/>
      </c>
      <c r="J23" s="25" t="str">
        <f aca="false">IF(OR($A23="",$C23=""),"",IF(E23="لكل حبة",I23,IFERROR(I23/INDEX(المنتجات!$G$5:$G$24,MATCH($A23,المنتجات!$A$5:$A$24,0)),0)))</f>
        <v/>
      </c>
      <c r="K23" s="27" t="str">
        <f aca="false">IF(OR($A23="",$C23=""),"",N(F23)*IF(E23="لكل حبة",SUMIFS(الإنتاج!$G$5:$G$504,الإنتاج!$C$5:$C$504,$A23),SUMIFS(الإنتاج!$E$5:$E$504,الإنتاج!$C$5:$C$504,$A23)))</f>
        <v/>
      </c>
      <c r="L23" s="29"/>
    </row>
    <row r="24" customFormat="false" ht="15" hidden="false" customHeight="false" outlineLevel="0" collapsed="false">
      <c r="A24" s="29"/>
      <c r="B24" s="28" t="str">
        <f aca="false">IF($A24="","",IFERROR(INDEX(المنتجات!$C$5:$C$24,MATCH($A24,المنتجات!$A$5:$A$24,0)),"كود غير موجود"))</f>
        <v/>
      </c>
      <c r="C24" s="29"/>
      <c r="D24" s="28" t="str">
        <f aca="false">IF($C24="","",IFERROR(INDEX('المواد الخام'!$B$5:$B$104,MATCH($C24,'المواد الخام'!$A$5:$A$104,0)),"كود غير موجود"))</f>
        <v/>
      </c>
      <c r="E24" s="29"/>
      <c r="F24" s="24"/>
      <c r="G24" s="28" t="str">
        <f aca="false">IF($C24="","",IFERROR(INDEX('المواد الخام'!$D$5:$D$104,MATCH($C24,'المواد الخام'!$A$5:$A$104,0)),""))</f>
        <v/>
      </c>
      <c r="H24" s="31" t="str">
        <f aca="false">IF($C24="","",IFERROR(INDEX('المواد الخام'!$G$5:$G$104,MATCH($C24,'المواد الخام'!$A$5:$A$104,0)),0))</f>
        <v/>
      </c>
      <c r="I24" s="25" t="str">
        <f aca="false">IF($C24="","",N(F24)*N(H24))</f>
        <v/>
      </c>
      <c r="J24" s="25" t="str">
        <f aca="false">IF(OR($A24="",$C24=""),"",IF(E24="لكل حبة",I24,IFERROR(I24/INDEX(المنتجات!$G$5:$G$24,MATCH($A24,المنتجات!$A$5:$A$24,0)),0)))</f>
        <v/>
      </c>
      <c r="K24" s="27" t="str">
        <f aca="false">IF(OR($A24="",$C24=""),"",N(F24)*IF(E24="لكل حبة",SUMIFS(الإنتاج!$G$5:$G$504,الإنتاج!$C$5:$C$504,$A24),SUMIFS(الإنتاج!$E$5:$E$504,الإنتاج!$C$5:$C$504,$A24)))</f>
        <v/>
      </c>
      <c r="L24" s="29"/>
    </row>
    <row r="25" customFormat="false" ht="15" hidden="false" customHeight="false" outlineLevel="0" collapsed="false">
      <c r="A25" s="29"/>
      <c r="B25" s="28" t="str">
        <f aca="false">IF($A25="","",IFERROR(INDEX(المنتجات!$C$5:$C$24,MATCH($A25,المنتجات!$A$5:$A$24,0)),"كود غير موجود"))</f>
        <v/>
      </c>
      <c r="C25" s="29"/>
      <c r="D25" s="28" t="str">
        <f aca="false">IF($C25="","",IFERROR(INDEX('المواد الخام'!$B$5:$B$104,MATCH($C25,'المواد الخام'!$A$5:$A$104,0)),"كود غير موجود"))</f>
        <v/>
      </c>
      <c r="E25" s="29"/>
      <c r="F25" s="24"/>
      <c r="G25" s="28" t="str">
        <f aca="false">IF($C25="","",IFERROR(INDEX('المواد الخام'!$D$5:$D$104,MATCH($C25,'المواد الخام'!$A$5:$A$104,0)),""))</f>
        <v/>
      </c>
      <c r="H25" s="31" t="str">
        <f aca="false">IF($C25="","",IFERROR(INDEX('المواد الخام'!$G$5:$G$104,MATCH($C25,'المواد الخام'!$A$5:$A$104,0)),0))</f>
        <v/>
      </c>
      <c r="I25" s="25" t="str">
        <f aca="false">IF($C25="","",N(F25)*N(H25))</f>
        <v/>
      </c>
      <c r="J25" s="25" t="str">
        <f aca="false">IF(OR($A25="",$C25=""),"",IF(E25="لكل حبة",I25,IFERROR(I25/INDEX(المنتجات!$G$5:$G$24,MATCH($A25,المنتجات!$A$5:$A$24,0)),0)))</f>
        <v/>
      </c>
      <c r="K25" s="27" t="str">
        <f aca="false">IF(OR($A25="",$C25=""),"",N(F25)*IF(E25="لكل حبة",SUMIFS(الإنتاج!$G$5:$G$504,الإنتاج!$C$5:$C$504,$A25),SUMIFS(الإنتاج!$E$5:$E$504,الإنتاج!$C$5:$C$504,$A25)))</f>
        <v/>
      </c>
      <c r="L25" s="29"/>
    </row>
    <row r="26" customFormat="false" ht="15" hidden="false" customHeight="false" outlineLevel="0" collapsed="false">
      <c r="A26" s="29"/>
      <c r="B26" s="28" t="str">
        <f aca="false">IF($A26="","",IFERROR(INDEX(المنتجات!$C$5:$C$24,MATCH($A26,المنتجات!$A$5:$A$24,0)),"كود غير موجود"))</f>
        <v/>
      </c>
      <c r="C26" s="29"/>
      <c r="D26" s="28" t="str">
        <f aca="false">IF($C26="","",IFERROR(INDEX('المواد الخام'!$B$5:$B$104,MATCH($C26,'المواد الخام'!$A$5:$A$104,0)),"كود غير موجود"))</f>
        <v/>
      </c>
      <c r="E26" s="29"/>
      <c r="F26" s="24"/>
      <c r="G26" s="28" t="str">
        <f aca="false">IF($C26="","",IFERROR(INDEX('المواد الخام'!$D$5:$D$104,MATCH($C26,'المواد الخام'!$A$5:$A$104,0)),""))</f>
        <v/>
      </c>
      <c r="H26" s="31" t="str">
        <f aca="false">IF($C26="","",IFERROR(INDEX('المواد الخام'!$G$5:$G$104,MATCH($C26,'المواد الخام'!$A$5:$A$104,0)),0))</f>
        <v/>
      </c>
      <c r="I26" s="25" t="str">
        <f aca="false">IF($C26="","",N(F26)*N(H26))</f>
        <v/>
      </c>
      <c r="J26" s="25" t="str">
        <f aca="false">IF(OR($A26="",$C26=""),"",IF(E26="لكل حبة",I26,IFERROR(I26/INDEX(المنتجات!$G$5:$G$24,MATCH($A26,المنتجات!$A$5:$A$24,0)),0)))</f>
        <v/>
      </c>
      <c r="K26" s="27" t="str">
        <f aca="false">IF(OR($A26="",$C26=""),"",N(F26)*IF(E26="لكل حبة",SUMIFS(الإنتاج!$G$5:$G$504,الإنتاج!$C$5:$C$504,$A26),SUMIFS(الإنتاج!$E$5:$E$504,الإنتاج!$C$5:$C$504,$A26)))</f>
        <v/>
      </c>
      <c r="L26" s="29"/>
    </row>
    <row r="27" customFormat="false" ht="15" hidden="false" customHeight="false" outlineLevel="0" collapsed="false">
      <c r="A27" s="29"/>
      <c r="B27" s="28" t="str">
        <f aca="false">IF($A27="","",IFERROR(INDEX(المنتجات!$C$5:$C$24,MATCH($A27,المنتجات!$A$5:$A$24,0)),"كود غير موجود"))</f>
        <v/>
      </c>
      <c r="C27" s="29"/>
      <c r="D27" s="28" t="str">
        <f aca="false">IF($C27="","",IFERROR(INDEX('المواد الخام'!$B$5:$B$104,MATCH($C27,'المواد الخام'!$A$5:$A$104,0)),"كود غير موجود"))</f>
        <v/>
      </c>
      <c r="E27" s="29"/>
      <c r="F27" s="24"/>
      <c r="G27" s="28" t="str">
        <f aca="false">IF($C27="","",IFERROR(INDEX('المواد الخام'!$D$5:$D$104,MATCH($C27,'المواد الخام'!$A$5:$A$104,0)),""))</f>
        <v/>
      </c>
      <c r="H27" s="31" t="str">
        <f aca="false">IF($C27="","",IFERROR(INDEX('المواد الخام'!$G$5:$G$104,MATCH($C27,'المواد الخام'!$A$5:$A$104,0)),0))</f>
        <v/>
      </c>
      <c r="I27" s="25" t="str">
        <f aca="false">IF($C27="","",N(F27)*N(H27))</f>
        <v/>
      </c>
      <c r="J27" s="25" t="str">
        <f aca="false">IF(OR($A27="",$C27=""),"",IF(E27="لكل حبة",I27,IFERROR(I27/INDEX(المنتجات!$G$5:$G$24,MATCH($A27,المنتجات!$A$5:$A$24,0)),0)))</f>
        <v/>
      </c>
      <c r="K27" s="27" t="str">
        <f aca="false">IF(OR($A27="",$C27=""),"",N(F27)*IF(E27="لكل حبة",SUMIFS(الإنتاج!$G$5:$G$504,الإنتاج!$C$5:$C$504,$A27),SUMIFS(الإنتاج!$E$5:$E$504,الإنتاج!$C$5:$C$504,$A27)))</f>
        <v/>
      </c>
      <c r="L27" s="29"/>
    </row>
    <row r="28" customFormat="false" ht="15" hidden="false" customHeight="false" outlineLevel="0" collapsed="false">
      <c r="A28" s="29"/>
      <c r="B28" s="28" t="str">
        <f aca="false">IF($A28="","",IFERROR(INDEX(المنتجات!$C$5:$C$24,MATCH($A28,المنتجات!$A$5:$A$24,0)),"كود غير موجود"))</f>
        <v/>
      </c>
      <c r="C28" s="29"/>
      <c r="D28" s="28" t="str">
        <f aca="false">IF($C28="","",IFERROR(INDEX('المواد الخام'!$B$5:$B$104,MATCH($C28,'المواد الخام'!$A$5:$A$104,0)),"كود غير موجود"))</f>
        <v/>
      </c>
      <c r="E28" s="29"/>
      <c r="F28" s="24"/>
      <c r="G28" s="28" t="str">
        <f aca="false">IF($C28="","",IFERROR(INDEX('المواد الخام'!$D$5:$D$104,MATCH($C28,'المواد الخام'!$A$5:$A$104,0)),""))</f>
        <v/>
      </c>
      <c r="H28" s="31" t="str">
        <f aca="false">IF($C28="","",IFERROR(INDEX('المواد الخام'!$G$5:$G$104,MATCH($C28,'المواد الخام'!$A$5:$A$104,0)),0))</f>
        <v/>
      </c>
      <c r="I28" s="25" t="str">
        <f aca="false">IF($C28="","",N(F28)*N(H28))</f>
        <v/>
      </c>
      <c r="J28" s="25" t="str">
        <f aca="false">IF(OR($A28="",$C28=""),"",IF(E28="لكل حبة",I28,IFERROR(I28/INDEX(المنتجات!$G$5:$G$24,MATCH($A28,المنتجات!$A$5:$A$24,0)),0)))</f>
        <v/>
      </c>
      <c r="K28" s="27" t="str">
        <f aca="false">IF(OR($A28="",$C28=""),"",N(F28)*IF(E28="لكل حبة",SUMIFS(الإنتاج!$G$5:$G$504,الإنتاج!$C$5:$C$504,$A28),SUMIFS(الإنتاج!$E$5:$E$504,الإنتاج!$C$5:$C$504,$A28)))</f>
        <v/>
      </c>
      <c r="L28" s="29"/>
    </row>
    <row r="29" customFormat="false" ht="15" hidden="false" customHeight="false" outlineLevel="0" collapsed="false">
      <c r="A29" s="29"/>
      <c r="B29" s="28" t="str">
        <f aca="false">IF($A29="","",IFERROR(INDEX(المنتجات!$C$5:$C$24,MATCH($A29,المنتجات!$A$5:$A$24,0)),"كود غير موجود"))</f>
        <v/>
      </c>
      <c r="C29" s="29"/>
      <c r="D29" s="28" t="str">
        <f aca="false">IF($C29="","",IFERROR(INDEX('المواد الخام'!$B$5:$B$104,MATCH($C29,'المواد الخام'!$A$5:$A$104,0)),"كود غير موجود"))</f>
        <v/>
      </c>
      <c r="E29" s="29"/>
      <c r="F29" s="24"/>
      <c r="G29" s="28" t="str">
        <f aca="false">IF($C29="","",IFERROR(INDEX('المواد الخام'!$D$5:$D$104,MATCH($C29,'المواد الخام'!$A$5:$A$104,0)),""))</f>
        <v/>
      </c>
      <c r="H29" s="31" t="str">
        <f aca="false">IF($C29="","",IFERROR(INDEX('المواد الخام'!$G$5:$G$104,MATCH($C29,'المواد الخام'!$A$5:$A$104,0)),0))</f>
        <v/>
      </c>
      <c r="I29" s="25" t="str">
        <f aca="false">IF($C29="","",N(F29)*N(H29))</f>
        <v/>
      </c>
      <c r="J29" s="25" t="str">
        <f aca="false">IF(OR($A29="",$C29=""),"",IF(E29="لكل حبة",I29,IFERROR(I29/INDEX(المنتجات!$G$5:$G$24,MATCH($A29,المنتجات!$A$5:$A$24,0)),0)))</f>
        <v/>
      </c>
      <c r="K29" s="27" t="str">
        <f aca="false">IF(OR($A29="",$C29=""),"",N(F29)*IF(E29="لكل حبة",SUMIFS(الإنتاج!$G$5:$G$504,الإنتاج!$C$5:$C$504,$A29),SUMIFS(الإنتاج!$E$5:$E$504,الإنتاج!$C$5:$C$504,$A29)))</f>
        <v/>
      </c>
      <c r="L29" s="29"/>
    </row>
    <row r="30" customFormat="false" ht="15" hidden="false" customHeight="false" outlineLevel="0" collapsed="false">
      <c r="A30" s="29"/>
      <c r="B30" s="28" t="str">
        <f aca="false">IF($A30="","",IFERROR(INDEX(المنتجات!$C$5:$C$24,MATCH($A30,المنتجات!$A$5:$A$24,0)),"كود غير موجود"))</f>
        <v/>
      </c>
      <c r="C30" s="29"/>
      <c r="D30" s="28" t="str">
        <f aca="false">IF($C30="","",IFERROR(INDEX('المواد الخام'!$B$5:$B$104,MATCH($C30,'المواد الخام'!$A$5:$A$104,0)),"كود غير موجود"))</f>
        <v/>
      </c>
      <c r="E30" s="29"/>
      <c r="F30" s="24"/>
      <c r="G30" s="28" t="str">
        <f aca="false">IF($C30="","",IFERROR(INDEX('المواد الخام'!$D$5:$D$104,MATCH($C30,'المواد الخام'!$A$5:$A$104,0)),""))</f>
        <v/>
      </c>
      <c r="H30" s="31" t="str">
        <f aca="false">IF($C30="","",IFERROR(INDEX('المواد الخام'!$G$5:$G$104,MATCH($C30,'المواد الخام'!$A$5:$A$104,0)),0))</f>
        <v/>
      </c>
      <c r="I30" s="25" t="str">
        <f aca="false">IF($C30="","",N(F30)*N(H30))</f>
        <v/>
      </c>
      <c r="J30" s="25" t="str">
        <f aca="false">IF(OR($A30="",$C30=""),"",IF(E30="لكل حبة",I30,IFERROR(I30/INDEX(المنتجات!$G$5:$G$24,MATCH($A30,المنتجات!$A$5:$A$24,0)),0)))</f>
        <v/>
      </c>
      <c r="K30" s="27" t="str">
        <f aca="false">IF(OR($A30="",$C30=""),"",N(F30)*IF(E30="لكل حبة",SUMIFS(الإنتاج!$G$5:$G$504,الإنتاج!$C$5:$C$504,$A30),SUMIFS(الإنتاج!$E$5:$E$504,الإنتاج!$C$5:$C$504,$A30)))</f>
        <v/>
      </c>
      <c r="L30" s="29"/>
    </row>
    <row r="31" customFormat="false" ht="15" hidden="false" customHeight="false" outlineLevel="0" collapsed="false">
      <c r="A31" s="29"/>
      <c r="B31" s="28" t="str">
        <f aca="false">IF($A31="","",IFERROR(INDEX(المنتجات!$C$5:$C$24,MATCH($A31,المنتجات!$A$5:$A$24,0)),"كود غير موجود"))</f>
        <v/>
      </c>
      <c r="C31" s="29"/>
      <c r="D31" s="28" t="str">
        <f aca="false">IF($C31="","",IFERROR(INDEX('المواد الخام'!$B$5:$B$104,MATCH($C31,'المواد الخام'!$A$5:$A$104,0)),"كود غير موجود"))</f>
        <v/>
      </c>
      <c r="E31" s="29"/>
      <c r="F31" s="24"/>
      <c r="G31" s="28" t="str">
        <f aca="false">IF($C31="","",IFERROR(INDEX('المواد الخام'!$D$5:$D$104,MATCH($C31,'المواد الخام'!$A$5:$A$104,0)),""))</f>
        <v/>
      </c>
      <c r="H31" s="31" t="str">
        <f aca="false">IF($C31="","",IFERROR(INDEX('المواد الخام'!$G$5:$G$104,MATCH($C31,'المواد الخام'!$A$5:$A$104,0)),0))</f>
        <v/>
      </c>
      <c r="I31" s="25" t="str">
        <f aca="false">IF($C31="","",N(F31)*N(H31))</f>
        <v/>
      </c>
      <c r="J31" s="25" t="str">
        <f aca="false">IF(OR($A31="",$C31=""),"",IF(E31="لكل حبة",I31,IFERROR(I31/INDEX(المنتجات!$G$5:$G$24,MATCH($A31,المنتجات!$A$5:$A$24,0)),0)))</f>
        <v/>
      </c>
      <c r="K31" s="27" t="str">
        <f aca="false">IF(OR($A31="",$C31=""),"",N(F31)*IF(E31="لكل حبة",SUMIFS(الإنتاج!$G$5:$G$504,الإنتاج!$C$5:$C$504,$A31),SUMIFS(الإنتاج!$E$5:$E$504,الإنتاج!$C$5:$C$504,$A31)))</f>
        <v/>
      </c>
      <c r="L31" s="29"/>
    </row>
    <row r="32" customFormat="false" ht="15" hidden="false" customHeight="false" outlineLevel="0" collapsed="false">
      <c r="A32" s="29"/>
      <c r="B32" s="28" t="str">
        <f aca="false">IF($A32="","",IFERROR(INDEX(المنتجات!$C$5:$C$24,MATCH($A32,المنتجات!$A$5:$A$24,0)),"كود غير موجود"))</f>
        <v/>
      </c>
      <c r="C32" s="29"/>
      <c r="D32" s="28" t="str">
        <f aca="false">IF($C32="","",IFERROR(INDEX('المواد الخام'!$B$5:$B$104,MATCH($C32,'المواد الخام'!$A$5:$A$104,0)),"كود غير موجود"))</f>
        <v/>
      </c>
      <c r="E32" s="29"/>
      <c r="F32" s="24"/>
      <c r="G32" s="28" t="str">
        <f aca="false">IF($C32="","",IFERROR(INDEX('المواد الخام'!$D$5:$D$104,MATCH($C32,'المواد الخام'!$A$5:$A$104,0)),""))</f>
        <v/>
      </c>
      <c r="H32" s="31" t="str">
        <f aca="false">IF($C32="","",IFERROR(INDEX('المواد الخام'!$G$5:$G$104,MATCH($C32,'المواد الخام'!$A$5:$A$104,0)),0))</f>
        <v/>
      </c>
      <c r="I32" s="25" t="str">
        <f aca="false">IF($C32="","",N(F32)*N(H32))</f>
        <v/>
      </c>
      <c r="J32" s="25" t="str">
        <f aca="false">IF(OR($A32="",$C32=""),"",IF(E32="لكل حبة",I32,IFERROR(I32/INDEX(المنتجات!$G$5:$G$24,MATCH($A32,المنتجات!$A$5:$A$24,0)),0)))</f>
        <v/>
      </c>
      <c r="K32" s="27" t="str">
        <f aca="false">IF(OR($A32="",$C32=""),"",N(F32)*IF(E32="لكل حبة",SUMIFS(الإنتاج!$G$5:$G$504,الإنتاج!$C$5:$C$504,$A32),SUMIFS(الإنتاج!$E$5:$E$504,الإنتاج!$C$5:$C$504,$A32)))</f>
        <v/>
      </c>
      <c r="L32" s="29"/>
    </row>
    <row r="33" customFormat="false" ht="15" hidden="false" customHeight="false" outlineLevel="0" collapsed="false">
      <c r="A33" s="29"/>
      <c r="B33" s="28" t="str">
        <f aca="false">IF($A33="","",IFERROR(INDEX(المنتجات!$C$5:$C$24,MATCH($A33,المنتجات!$A$5:$A$24,0)),"كود غير موجود"))</f>
        <v/>
      </c>
      <c r="C33" s="29"/>
      <c r="D33" s="28" t="str">
        <f aca="false">IF($C33="","",IFERROR(INDEX('المواد الخام'!$B$5:$B$104,MATCH($C33,'المواد الخام'!$A$5:$A$104,0)),"كود غير موجود"))</f>
        <v/>
      </c>
      <c r="E33" s="29"/>
      <c r="F33" s="24"/>
      <c r="G33" s="28" t="str">
        <f aca="false">IF($C33="","",IFERROR(INDEX('المواد الخام'!$D$5:$D$104,MATCH($C33,'المواد الخام'!$A$5:$A$104,0)),""))</f>
        <v/>
      </c>
      <c r="H33" s="31" t="str">
        <f aca="false">IF($C33="","",IFERROR(INDEX('المواد الخام'!$G$5:$G$104,MATCH($C33,'المواد الخام'!$A$5:$A$104,0)),0))</f>
        <v/>
      </c>
      <c r="I33" s="25" t="str">
        <f aca="false">IF($C33="","",N(F33)*N(H33))</f>
        <v/>
      </c>
      <c r="J33" s="25" t="str">
        <f aca="false">IF(OR($A33="",$C33=""),"",IF(E33="لكل حبة",I33,IFERROR(I33/INDEX(المنتجات!$G$5:$G$24,MATCH($A33,المنتجات!$A$5:$A$24,0)),0)))</f>
        <v/>
      </c>
      <c r="K33" s="27" t="str">
        <f aca="false">IF(OR($A33="",$C33=""),"",N(F33)*IF(E33="لكل حبة",SUMIFS(الإنتاج!$G$5:$G$504,الإنتاج!$C$5:$C$504,$A33),SUMIFS(الإنتاج!$E$5:$E$504,الإنتاج!$C$5:$C$504,$A33)))</f>
        <v/>
      </c>
      <c r="L33" s="29"/>
    </row>
    <row r="34" customFormat="false" ht="15" hidden="false" customHeight="false" outlineLevel="0" collapsed="false">
      <c r="A34" s="29"/>
      <c r="B34" s="28" t="str">
        <f aca="false">IF($A34="","",IFERROR(INDEX(المنتجات!$C$5:$C$24,MATCH($A34,المنتجات!$A$5:$A$24,0)),"كود غير موجود"))</f>
        <v/>
      </c>
      <c r="C34" s="29"/>
      <c r="D34" s="28" t="str">
        <f aca="false">IF($C34="","",IFERROR(INDEX('المواد الخام'!$B$5:$B$104,MATCH($C34,'المواد الخام'!$A$5:$A$104,0)),"كود غير موجود"))</f>
        <v/>
      </c>
      <c r="E34" s="29"/>
      <c r="F34" s="24"/>
      <c r="G34" s="28" t="str">
        <f aca="false">IF($C34="","",IFERROR(INDEX('المواد الخام'!$D$5:$D$104,MATCH($C34,'المواد الخام'!$A$5:$A$104,0)),""))</f>
        <v/>
      </c>
      <c r="H34" s="31" t="str">
        <f aca="false">IF($C34="","",IFERROR(INDEX('المواد الخام'!$G$5:$G$104,MATCH($C34,'المواد الخام'!$A$5:$A$104,0)),0))</f>
        <v/>
      </c>
      <c r="I34" s="25" t="str">
        <f aca="false">IF($C34="","",N(F34)*N(H34))</f>
        <v/>
      </c>
      <c r="J34" s="25" t="str">
        <f aca="false">IF(OR($A34="",$C34=""),"",IF(E34="لكل حبة",I34,IFERROR(I34/INDEX(المنتجات!$G$5:$G$24,MATCH($A34,المنتجات!$A$5:$A$24,0)),0)))</f>
        <v/>
      </c>
      <c r="K34" s="27" t="str">
        <f aca="false">IF(OR($A34="",$C34=""),"",N(F34)*IF(E34="لكل حبة",SUMIFS(الإنتاج!$G$5:$G$504,الإنتاج!$C$5:$C$504,$A34),SUMIFS(الإنتاج!$E$5:$E$504,الإنتاج!$C$5:$C$504,$A34)))</f>
        <v/>
      </c>
      <c r="L34" s="29"/>
    </row>
    <row r="35" customFormat="false" ht="15" hidden="false" customHeight="false" outlineLevel="0" collapsed="false">
      <c r="A35" s="29"/>
      <c r="B35" s="28" t="str">
        <f aca="false">IF($A35="","",IFERROR(INDEX(المنتجات!$C$5:$C$24,MATCH($A35,المنتجات!$A$5:$A$24,0)),"كود غير موجود"))</f>
        <v/>
      </c>
      <c r="C35" s="29"/>
      <c r="D35" s="28" t="str">
        <f aca="false">IF($C35="","",IFERROR(INDEX('المواد الخام'!$B$5:$B$104,MATCH($C35,'المواد الخام'!$A$5:$A$104,0)),"كود غير موجود"))</f>
        <v/>
      </c>
      <c r="E35" s="29"/>
      <c r="F35" s="24"/>
      <c r="G35" s="28" t="str">
        <f aca="false">IF($C35="","",IFERROR(INDEX('المواد الخام'!$D$5:$D$104,MATCH($C35,'المواد الخام'!$A$5:$A$104,0)),""))</f>
        <v/>
      </c>
      <c r="H35" s="31" t="str">
        <f aca="false">IF($C35="","",IFERROR(INDEX('المواد الخام'!$G$5:$G$104,MATCH($C35,'المواد الخام'!$A$5:$A$104,0)),0))</f>
        <v/>
      </c>
      <c r="I35" s="25" t="str">
        <f aca="false">IF($C35="","",N(F35)*N(H35))</f>
        <v/>
      </c>
      <c r="J35" s="25" t="str">
        <f aca="false">IF(OR($A35="",$C35=""),"",IF(E35="لكل حبة",I35,IFERROR(I35/INDEX(المنتجات!$G$5:$G$24,MATCH($A35,المنتجات!$A$5:$A$24,0)),0)))</f>
        <v/>
      </c>
      <c r="K35" s="27" t="str">
        <f aca="false">IF(OR($A35="",$C35=""),"",N(F35)*IF(E35="لكل حبة",SUMIFS(الإنتاج!$G$5:$G$504,الإنتاج!$C$5:$C$504,$A35),SUMIFS(الإنتاج!$E$5:$E$504,الإنتاج!$C$5:$C$504,$A35)))</f>
        <v/>
      </c>
      <c r="L35" s="29"/>
    </row>
    <row r="36" customFormat="false" ht="15" hidden="false" customHeight="false" outlineLevel="0" collapsed="false">
      <c r="A36" s="29"/>
      <c r="B36" s="28" t="str">
        <f aca="false">IF($A36="","",IFERROR(INDEX(المنتجات!$C$5:$C$24,MATCH($A36,المنتجات!$A$5:$A$24,0)),"كود غير موجود"))</f>
        <v/>
      </c>
      <c r="C36" s="29"/>
      <c r="D36" s="28" t="str">
        <f aca="false">IF($C36="","",IFERROR(INDEX('المواد الخام'!$B$5:$B$104,MATCH($C36,'المواد الخام'!$A$5:$A$104,0)),"كود غير موجود"))</f>
        <v/>
      </c>
      <c r="E36" s="29"/>
      <c r="F36" s="24"/>
      <c r="G36" s="28" t="str">
        <f aca="false">IF($C36="","",IFERROR(INDEX('المواد الخام'!$D$5:$D$104,MATCH($C36,'المواد الخام'!$A$5:$A$104,0)),""))</f>
        <v/>
      </c>
      <c r="H36" s="31" t="str">
        <f aca="false">IF($C36="","",IFERROR(INDEX('المواد الخام'!$G$5:$G$104,MATCH($C36,'المواد الخام'!$A$5:$A$104,0)),0))</f>
        <v/>
      </c>
      <c r="I36" s="25" t="str">
        <f aca="false">IF($C36="","",N(F36)*N(H36))</f>
        <v/>
      </c>
      <c r="J36" s="25" t="str">
        <f aca="false">IF(OR($A36="",$C36=""),"",IF(E36="لكل حبة",I36,IFERROR(I36/INDEX(المنتجات!$G$5:$G$24,MATCH($A36,المنتجات!$A$5:$A$24,0)),0)))</f>
        <v/>
      </c>
      <c r="K36" s="27" t="str">
        <f aca="false">IF(OR($A36="",$C36=""),"",N(F36)*IF(E36="لكل حبة",SUMIFS(الإنتاج!$G$5:$G$504,الإنتاج!$C$5:$C$504,$A36),SUMIFS(الإنتاج!$E$5:$E$504,الإنتاج!$C$5:$C$504,$A36)))</f>
        <v/>
      </c>
      <c r="L36" s="29"/>
    </row>
    <row r="37" customFormat="false" ht="15" hidden="false" customHeight="false" outlineLevel="0" collapsed="false">
      <c r="A37" s="29"/>
      <c r="B37" s="28" t="str">
        <f aca="false">IF($A37="","",IFERROR(INDEX(المنتجات!$C$5:$C$24,MATCH($A37,المنتجات!$A$5:$A$24,0)),"كود غير موجود"))</f>
        <v/>
      </c>
      <c r="C37" s="29"/>
      <c r="D37" s="28" t="str">
        <f aca="false">IF($C37="","",IFERROR(INDEX('المواد الخام'!$B$5:$B$104,MATCH($C37,'المواد الخام'!$A$5:$A$104,0)),"كود غير موجود"))</f>
        <v/>
      </c>
      <c r="E37" s="29"/>
      <c r="F37" s="24"/>
      <c r="G37" s="28" t="str">
        <f aca="false">IF($C37="","",IFERROR(INDEX('المواد الخام'!$D$5:$D$104,MATCH($C37,'المواد الخام'!$A$5:$A$104,0)),""))</f>
        <v/>
      </c>
      <c r="H37" s="31" t="str">
        <f aca="false">IF($C37="","",IFERROR(INDEX('المواد الخام'!$G$5:$G$104,MATCH($C37,'المواد الخام'!$A$5:$A$104,0)),0))</f>
        <v/>
      </c>
      <c r="I37" s="25" t="str">
        <f aca="false">IF($C37="","",N(F37)*N(H37))</f>
        <v/>
      </c>
      <c r="J37" s="25" t="str">
        <f aca="false">IF(OR($A37="",$C37=""),"",IF(E37="لكل حبة",I37,IFERROR(I37/INDEX(المنتجات!$G$5:$G$24,MATCH($A37,المنتجات!$A$5:$A$24,0)),0)))</f>
        <v/>
      </c>
      <c r="K37" s="27" t="str">
        <f aca="false">IF(OR($A37="",$C37=""),"",N(F37)*IF(E37="لكل حبة",SUMIFS(الإنتاج!$G$5:$G$504,الإنتاج!$C$5:$C$504,$A37),SUMIFS(الإنتاج!$E$5:$E$504,الإنتاج!$C$5:$C$504,$A37)))</f>
        <v/>
      </c>
      <c r="L37" s="29"/>
    </row>
    <row r="38" customFormat="false" ht="15" hidden="false" customHeight="false" outlineLevel="0" collapsed="false">
      <c r="A38" s="29"/>
      <c r="B38" s="28" t="str">
        <f aca="false">IF($A38="","",IFERROR(INDEX(المنتجات!$C$5:$C$24,MATCH($A38,المنتجات!$A$5:$A$24,0)),"كود غير موجود"))</f>
        <v/>
      </c>
      <c r="C38" s="29"/>
      <c r="D38" s="28" t="str">
        <f aca="false">IF($C38="","",IFERROR(INDEX('المواد الخام'!$B$5:$B$104,MATCH($C38,'المواد الخام'!$A$5:$A$104,0)),"كود غير موجود"))</f>
        <v/>
      </c>
      <c r="E38" s="29"/>
      <c r="F38" s="24"/>
      <c r="G38" s="28" t="str">
        <f aca="false">IF($C38="","",IFERROR(INDEX('المواد الخام'!$D$5:$D$104,MATCH($C38,'المواد الخام'!$A$5:$A$104,0)),""))</f>
        <v/>
      </c>
      <c r="H38" s="31" t="str">
        <f aca="false">IF($C38="","",IFERROR(INDEX('المواد الخام'!$G$5:$G$104,MATCH($C38,'المواد الخام'!$A$5:$A$104,0)),0))</f>
        <v/>
      </c>
      <c r="I38" s="25" t="str">
        <f aca="false">IF($C38="","",N(F38)*N(H38))</f>
        <v/>
      </c>
      <c r="J38" s="25" t="str">
        <f aca="false">IF(OR($A38="",$C38=""),"",IF(E38="لكل حبة",I38,IFERROR(I38/INDEX(المنتجات!$G$5:$G$24,MATCH($A38,المنتجات!$A$5:$A$24,0)),0)))</f>
        <v/>
      </c>
      <c r="K38" s="27" t="str">
        <f aca="false">IF(OR($A38="",$C38=""),"",N(F38)*IF(E38="لكل حبة",SUMIFS(الإنتاج!$G$5:$G$504,الإنتاج!$C$5:$C$504,$A38),SUMIFS(الإنتاج!$E$5:$E$504,الإنتاج!$C$5:$C$504,$A38)))</f>
        <v/>
      </c>
      <c r="L38" s="29"/>
    </row>
    <row r="39" customFormat="false" ht="15" hidden="false" customHeight="false" outlineLevel="0" collapsed="false">
      <c r="A39" s="29"/>
      <c r="B39" s="28" t="str">
        <f aca="false">IF($A39="","",IFERROR(INDEX(المنتجات!$C$5:$C$24,MATCH($A39,المنتجات!$A$5:$A$24,0)),"كود غير موجود"))</f>
        <v/>
      </c>
      <c r="C39" s="29"/>
      <c r="D39" s="28" t="str">
        <f aca="false">IF($C39="","",IFERROR(INDEX('المواد الخام'!$B$5:$B$104,MATCH($C39,'المواد الخام'!$A$5:$A$104,0)),"كود غير موجود"))</f>
        <v/>
      </c>
      <c r="E39" s="29"/>
      <c r="F39" s="24"/>
      <c r="G39" s="28" t="str">
        <f aca="false">IF($C39="","",IFERROR(INDEX('المواد الخام'!$D$5:$D$104,MATCH($C39,'المواد الخام'!$A$5:$A$104,0)),""))</f>
        <v/>
      </c>
      <c r="H39" s="31" t="str">
        <f aca="false">IF($C39="","",IFERROR(INDEX('المواد الخام'!$G$5:$G$104,MATCH($C39,'المواد الخام'!$A$5:$A$104,0)),0))</f>
        <v/>
      </c>
      <c r="I39" s="25" t="str">
        <f aca="false">IF($C39="","",N(F39)*N(H39))</f>
        <v/>
      </c>
      <c r="J39" s="25" t="str">
        <f aca="false">IF(OR($A39="",$C39=""),"",IF(E39="لكل حبة",I39,IFERROR(I39/INDEX(المنتجات!$G$5:$G$24,MATCH($A39,المنتجات!$A$5:$A$24,0)),0)))</f>
        <v/>
      </c>
      <c r="K39" s="27" t="str">
        <f aca="false">IF(OR($A39="",$C39=""),"",N(F39)*IF(E39="لكل حبة",SUMIFS(الإنتاج!$G$5:$G$504,الإنتاج!$C$5:$C$504,$A39),SUMIFS(الإنتاج!$E$5:$E$504,الإنتاج!$C$5:$C$504,$A39)))</f>
        <v/>
      </c>
      <c r="L39" s="29"/>
    </row>
    <row r="40" customFormat="false" ht="15" hidden="false" customHeight="false" outlineLevel="0" collapsed="false">
      <c r="A40" s="29"/>
      <c r="B40" s="28" t="str">
        <f aca="false">IF($A40="","",IFERROR(INDEX(المنتجات!$C$5:$C$24,MATCH($A40,المنتجات!$A$5:$A$24,0)),"كود غير موجود"))</f>
        <v/>
      </c>
      <c r="C40" s="29"/>
      <c r="D40" s="28" t="str">
        <f aca="false">IF($C40="","",IFERROR(INDEX('المواد الخام'!$B$5:$B$104,MATCH($C40,'المواد الخام'!$A$5:$A$104,0)),"كود غير موجود"))</f>
        <v/>
      </c>
      <c r="E40" s="29"/>
      <c r="F40" s="24"/>
      <c r="G40" s="28" t="str">
        <f aca="false">IF($C40="","",IFERROR(INDEX('المواد الخام'!$D$5:$D$104,MATCH($C40,'المواد الخام'!$A$5:$A$104,0)),""))</f>
        <v/>
      </c>
      <c r="H40" s="31" t="str">
        <f aca="false">IF($C40="","",IFERROR(INDEX('المواد الخام'!$G$5:$G$104,MATCH($C40,'المواد الخام'!$A$5:$A$104,0)),0))</f>
        <v/>
      </c>
      <c r="I40" s="25" t="str">
        <f aca="false">IF($C40="","",N(F40)*N(H40))</f>
        <v/>
      </c>
      <c r="J40" s="25" t="str">
        <f aca="false">IF(OR($A40="",$C40=""),"",IF(E40="لكل حبة",I40,IFERROR(I40/INDEX(المنتجات!$G$5:$G$24,MATCH($A40,المنتجات!$A$5:$A$24,0)),0)))</f>
        <v/>
      </c>
      <c r="K40" s="27" t="str">
        <f aca="false">IF(OR($A40="",$C40=""),"",N(F40)*IF(E40="لكل حبة",SUMIFS(الإنتاج!$G$5:$G$504,الإنتاج!$C$5:$C$504,$A40),SUMIFS(الإنتاج!$E$5:$E$504,الإنتاج!$C$5:$C$504,$A40)))</f>
        <v/>
      </c>
      <c r="L40" s="29"/>
    </row>
    <row r="41" customFormat="false" ht="15" hidden="false" customHeight="false" outlineLevel="0" collapsed="false">
      <c r="A41" s="29"/>
      <c r="B41" s="28" t="str">
        <f aca="false">IF($A41="","",IFERROR(INDEX(المنتجات!$C$5:$C$24,MATCH($A41,المنتجات!$A$5:$A$24,0)),"كود غير موجود"))</f>
        <v/>
      </c>
      <c r="C41" s="29"/>
      <c r="D41" s="28" t="str">
        <f aca="false">IF($C41="","",IFERROR(INDEX('المواد الخام'!$B$5:$B$104,MATCH($C41,'المواد الخام'!$A$5:$A$104,0)),"كود غير موجود"))</f>
        <v/>
      </c>
      <c r="E41" s="29"/>
      <c r="F41" s="24"/>
      <c r="G41" s="28" t="str">
        <f aca="false">IF($C41="","",IFERROR(INDEX('المواد الخام'!$D$5:$D$104,MATCH($C41,'المواد الخام'!$A$5:$A$104,0)),""))</f>
        <v/>
      </c>
      <c r="H41" s="31" t="str">
        <f aca="false">IF($C41="","",IFERROR(INDEX('المواد الخام'!$G$5:$G$104,MATCH($C41,'المواد الخام'!$A$5:$A$104,0)),0))</f>
        <v/>
      </c>
      <c r="I41" s="25" t="str">
        <f aca="false">IF($C41="","",N(F41)*N(H41))</f>
        <v/>
      </c>
      <c r="J41" s="25" t="str">
        <f aca="false">IF(OR($A41="",$C41=""),"",IF(E41="لكل حبة",I41,IFERROR(I41/INDEX(المنتجات!$G$5:$G$24,MATCH($A41,المنتجات!$A$5:$A$24,0)),0)))</f>
        <v/>
      </c>
      <c r="K41" s="27" t="str">
        <f aca="false">IF(OR($A41="",$C41=""),"",N(F41)*IF(E41="لكل حبة",SUMIFS(الإنتاج!$G$5:$G$504,الإنتاج!$C$5:$C$504,$A41),SUMIFS(الإنتاج!$E$5:$E$504,الإنتاج!$C$5:$C$504,$A41)))</f>
        <v/>
      </c>
      <c r="L41" s="29"/>
    </row>
    <row r="42" customFormat="false" ht="15" hidden="false" customHeight="false" outlineLevel="0" collapsed="false">
      <c r="A42" s="29"/>
      <c r="B42" s="28" t="str">
        <f aca="false">IF($A42="","",IFERROR(INDEX(المنتجات!$C$5:$C$24,MATCH($A42,المنتجات!$A$5:$A$24,0)),"كود غير موجود"))</f>
        <v/>
      </c>
      <c r="C42" s="29"/>
      <c r="D42" s="28" t="str">
        <f aca="false">IF($C42="","",IFERROR(INDEX('المواد الخام'!$B$5:$B$104,MATCH($C42,'المواد الخام'!$A$5:$A$104,0)),"كود غير موجود"))</f>
        <v/>
      </c>
      <c r="E42" s="29"/>
      <c r="F42" s="24"/>
      <c r="G42" s="28" t="str">
        <f aca="false">IF($C42="","",IFERROR(INDEX('المواد الخام'!$D$5:$D$104,MATCH($C42,'المواد الخام'!$A$5:$A$104,0)),""))</f>
        <v/>
      </c>
      <c r="H42" s="31" t="str">
        <f aca="false">IF($C42="","",IFERROR(INDEX('المواد الخام'!$G$5:$G$104,MATCH($C42,'المواد الخام'!$A$5:$A$104,0)),0))</f>
        <v/>
      </c>
      <c r="I42" s="25" t="str">
        <f aca="false">IF($C42="","",N(F42)*N(H42))</f>
        <v/>
      </c>
      <c r="J42" s="25" t="str">
        <f aca="false">IF(OR($A42="",$C42=""),"",IF(E42="لكل حبة",I42,IFERROR(I42/INDEX(المنتجات!$G$5:$G$24,MATCH($A42,المنتجات!$A$5:$A$24,0)),0)))</f>
        <v/>
      </c>
      <c r="K42" s="27" t="str">
        <f aca="false">IF(OR($A42="",$C42=""),"",N(F42)*IF(E42="لكل حبة",SUMIFS(الإنتاج!$G$5:$G$504,الإنتاج!$C$5:$C$504,$A42),SUMIFS(الإنتاج!$E$5:$E$504,الإنتاج!$C$5:$C$504,$A42)))</f>
        <v/>
      </c>
      <c r="L42" s="29"/>
    </row>
    <row r="43" customFormat="false" ht="15" hidden="false" customHeight="false" outlineLevel="0" collapsed="false">
      <c r="A43" s="29"/>
      <c r="B43" s="28" t="str">
        <f aca="false">IF($A43="","",IFERROR(INDEX(المنتجات!$C$5:$C$24,MATCH($A43,المنتجات!$A$5:$A$24,0)),"كود غير موجود"))</f>
        <v/>
      </c>
      <c r="C43" s="29"/>
      <c r="D43" s="28" t="str">
        <f aca="false">IF($C43="","",IFERROR(INDEX('المواد الخام'!$B$5:$B$104,MATCH($C43,'المواد الخام'!$A$5:$A$104,0)),"كود غير موجود"))</f>
        <v/>
      </c>
      <c r="E43" s="29"/>
      <c r="F43" s="24"/>
      <c r="G43" s="28" t="str">
        <f aca="false">IF($C43="","",IFERROR(INDEX('المواد الخام'!$D$5:$D$104,MATCH($C43,'المواد الخام'!$A$5:$A$104,0)),""))</f>
        <v/>
      </c>
      <c r="H43" s="31" t="str">
        <f aca="false">IF($C43="","",IFERROR(INDEX('المواد الخام'!$G$5:$G$104,MATCH($C43,'المواد الخام'!$A$5:$A$104,0)),0))</f>
        <v/>
      </c>
      <c r="I43" s="25" t="str">
        <f aca="false">IF($C43="","",N(F43)*N(H43))</f>
        <v/>
      </c>
      <c r="J43" s="25" t="str">
        <f aca="false">IF(OR($A43="",$C43=""),"",IF(E43="لكل حبة",I43,IFERROR(I43/INDEX(المنتجات!$G$5:$G$24,MATCH($A43,المنتجات!$A$5:$A$24,0)),0)))</f>
        <v/>
      </c>
      <c r="K43" s="27" t="str">
        <f aca="false">IF(OR($A43="",$C43=""),"",N(F43)*IF(E43="لكل حبة",SUMIFS(الإنتاج!$G$5:$G$504,الإنتاج!$C$5:$C$504,$A43),SUMIFS(الإنتاج!$E$5:$E$504,الإنتاج!$C$5:$C$504,$A43)))</f>
        <v/>
      </c>
      <c r="L43" s="29"/>
    </row>
    <row r="44" customFormat="false" ht="15" hidden="false" customHeight="false" outlineLevel="0" collapsed="false">
      <c r="A44" s="29"/>
      <c r="B44" s="28" t="str">
        <f aca="false">IF($A44="","",IFERROR(INDEX(المنتجات!$C$5:$C$24,MATCH($A44,المنتجات!$A$5:$A$24,0)),"كود غير موجود"))</f>
        <v/>
      </c>
      <c r="C44" s="29"/>
      <c r="D44" s="28" t="str">
        <f aca="false">IF($C44="","",IFERROR(INDEX('المواد الخام'!$B$5:$B$104,MATCH($C44,'المواد الخام'!$A$5:$A$104,0)),"كود غير موجود"))</f>
        <v/>
      </c>
      <c r="E44" s="29"/>
      <c r="F44" s="24"/>
      <c r="G44" s="28" t="str">
        <f aca="false">IF($C44="","",IFERROR(INDEX('المواد الخام'!$D$5:$D$104,MATCH($C44,'المواد الخام'!$A$5:$A$104,0)),""))</f>
        <v/>
      </c>
      <c r="H44" s="31" t="str">
        <f aca="false">IF($C44="","",IFERROR(INDEX('المواد الخام'!$G$5:$G$104,MATCH($C44,'المواد الخام'!$A$5:$A$104,0)),0))</f>
        <v/>
      </c>
      <c r="I44" s="25" t="str">
        <f aca="false">IF($C44="","",N(F44)*N(H44))</f>
        <v/>
      </c>
      <c r="J44" s="25" t="str">
        <f aca="false">IF(OR($A44="",$C44=""),"",IF(E44="لكل حبة",I44,IFERROR(I44/INDEX(المنتجات!$G$5:$G$24,MATCH($A44,المنتجات!$A$5:$A$24,0)),0)))</f>
        <v/>
      </c>
      <c r="K44" s="27" t="str">
        <f aca="false">IF(OR($A44="",$C44=""),"",N(F44)*IF(E44="لكل حبة",SUMIFS(الإنتاج!$G$5:$G$504,الإنتاج!$C$5:$C$504,$A44),SUMIFS(الإنتاج!$E$5:$E$504,الإنتاج!$C$5:$C$504,$A44)))</f>
        <v/>
      </c>
      <c r="L44" s="29"/>
    </row>
    <row r="45" customFormat="false" ht="15" hidden="false" customHeight="false" outlineLevel="0" collapsed="false">
      <c r="A45" s="29"/>
      <c r="B45" s="28" t="str">
        <f aca="false">IF($A45="","",IFERROR(INDEX(المنتجات!$C$5:$C$24,MATCH($A45,المنتجات!$A$5:$A$24,0)),"كود غير موجود"))</f>
        <v/>
      </c>
      <c r="C45" s="29"/>
      <c r="D45" s="28" t="str">
        <f aca="false">IF($C45="","",IFERROR(INDEX('المواد الخام'!$B$5:$B$104,MATCH($C45,'المواد الخام'!$A$5:$A$104,0)),"كود غير موجود"))</f>
        <v/>
      </c>
      <c r="E45" s="29"/>
      <c r="F45" s="24"/>
      <c r="G45" s="28" t="str">
        <f aca="false">IF($C45="","",IFERROR(INDEX('المواد الخام'!$D$5:$D$104,MATCH($C45,'المواد الخام'!$A$5:$A$104,0)),""))</f>
        <v/>
      </c>
      <c r="H45" s="31" t="str">
        <f aca="false">IF($C45="","",IFERROR(INDEX('المواد الخام'!$G$5:$G$104,MATCH($C45,'المواد الخام'!$A$5:$A$104,0)),0))</f>
        <v/>
      </c>
      <c r="I45" s="25" t="str">
        <f aca="false">IF($C45="","",N(F45)*N(H45))</f>
        <v/>
      </c>
      <c r="J45" s="25" t="str">
        <f aca="false">IF(OR($A45="",$C45=""),"",IF(E45="لكل حبة",I45,IFERROR(I45/INDEX(المنتجات!$G$5:$G$24,MATCH($A45,المنتجات!$A$5:$A$24,0)),0)))</f>
        <v/>
      </c>
      <c r="K45" s="27" t="str">
        <f aca="false">IF(OR($A45="",$C45=""),"",N(F45)*IF(E45="لكل حبة",SUMIFS(الإنتاج!$G$5:$G$504,الإنتاج!$C$5:$C$504,$A45),SUMIFS(الإنتاج!$E$5:$E$504,الإنتاج!$C$5:$C$504,$A45)))</f>
        <v/>
      </c>
      <c r="L45" s="29"/>
    </row>
    <row r="46" customFormat="false" ht="15" hidden="false" customHeight="false" outlineLevel="0" collapsed="false">
      <c r="A46" s="29"/>
      <c r="B46" s="28" t="str">
        <f aca="false">IF($A46="","",IFERROR(INDEX(المنتجات!$C$5:$C$24,MATCH($A46,المنتجات!$A$5:$A$24,0)),"كود غير موجود"))</f>
        <v/>
      </c>
      <c r="C46" s="29"/>
      <c r="D46" s="28" t="str">
        <f aca="false">IF($C46="","",IFERROR(INDEX('المواد الخام'!$B$5:$B$104,MATCH($C46,'المواد الخام'!$A$5:$A$104,0)),"كود غير موجود"))</f>
        <v/>
      </c>
      <c r="E46" s="29"/>
      <c r="F46" s="24"/>
      <c r="G46" s="28" t="str">
        <f aca="false">IF($C46="","",IFERROR(INDEX('المواد الخام'!$D$5:$D$104,MATCH($C46,'المواد الخام'!$A$5:$A$104,0)),""))</f>
        <v/>
      </c>
      <c r="H46" s="31" t="str">
        <f aca="false">IF($C46="","",IFERROR(INDEX('المواد الخام'!$G$5:$G$104,MATCH($C46,'المواد الخام'!$A$5:$A$104,0)),0))</f>
        <v/>
      </c>
      <c r="I46" s="25" t="str">
        <f aca="false">IF($C46="","",N(F46)*N(H46))</f>
        <v/>
      </c>
      <c r="J46" s="25" t="str">
        <f aca="false">IF(OR($A46="",$C46=""),"",IF(E46="لكل حبة",I46,IFERROR(I46/INDEX(المنتجات!$G$5:$G$24,MATCH($A46,المنتجات!$A$5:$A$24,0)),0)))</f>
        <v/>
      </c>
      <c r="K46" s="27" t="str">
        <f aca="false">IF(OR($A46="",$C46=""),"",N(F46)*IF(E46="لكل حبة",SUMIFS(الإنتاج!$G$5:$G$504,الإنتاج!$C$5:$C$504,$A46),SUMIFS(الإنتاج!$E$5:$E$504,الإنتاج!$C$5:$C$504,$A46)))</f>
        <v/>
      </c>
      <c r="L46" s="29"/>
    </row>
    <row r="47" customFormat="false" ht="15" hidden="false" customHeight="false" outlineLevel="0" collapsed="false">
      <c r="A47" s="29"/>
      <c r="B47" s="28" t="str">
        <f aca="false">IF($A47="","",IFERROR(INDEX(المنتجات!$C$5:$C$24,MATCH($A47,المنتجات!$A$5:$A$24,0)),"كود غير موجود"))</f>
        <v/>
      </c>
      <c r="C47" s="29"/>
      <c r="D47" s="28" t="str">
        <f aca="false">IF($C47="","",IFERROR(INDEX('المواد الخام'!$B$5:$B$104,MATCH($C47,'المواد الخام'!$A$5:$A$104,0)),"كود غير موجود"))</f>
        <v/>
      </c>
      <c r="E47" s="29"/>
      <c r="F47" s="24"/>
      <c r="G47" s="28" t="str">
        <f aca="false">IF($C47="","",IFERROR(INDEX('المواد الخام'!$D$5:$D$104,MATCH($C47,'المواد الخام'!$A$5:$A$104,0)),""))</f>
        <v/>
      </c>
      <c r="H47" s="31" t="str">
        <f aca="false">IF($C47="","",IFERROR(INDEX('المواد الخام'!$G$5:$G$104,MATCH($C47,'المواد الخام'!$A$5:$A$104,0)),0))</f>
        <v/>
      </c>
      <c r="I47" s="25" t="str">
        <f aca="false">IF($C47="","",N(F47)*N(H47))</f>
        <v/>
      </c>
      <c r="J47" s="25" t="str">
        <f aca="false">IF(OR($A47="",$C47=""),"",IF(E47="لكل حبة",I47,IFERROR(I47/INDEX(المنتجات!$G$5:$G$24,MATCH($A47,المنتجات!$A$5:$A$24,0)),0)))</f>
        <v/>
      </c>
      <c r="K47" s="27" t="str">
        <f aca="false">IF(OR($A47="",$C47=""),"",N(F47)*IF(E47="لكل حبة",SUMIFS(الإنتاج!$G$5:$G$504,الإنتاج!$C$5:$C$504,$A47),SUMIFS(الإنتاج!$E$5:$E$504,الإنتاج!$C$5:$C$504,$A47)))</f>
        <v/>
      </c>
      <c r="L47" s="29"/>
    </row>
    <row r="48" customFormat="false" ht="15" hidden="false" customHeight="false" outlineLevel="0" collapsed="false">
      <c r="A48" s="29"/>
      <c r="B48" s="28" t="str">
        <f aca="false">IF($A48="","",IFERROR(INDEX(المنتجات!$C$5:$C$24,MATCH($A48,المنتجات!$A$5:$A$24,0)),"كود غير موجود"))</f>
        <v/>
      </c>
      <c r="C48" s="29"/>
      <c r="D48" s="28" t="str">
        <f aca="false">IF($C48="","",IFERROR(INDEX('المواد الخام'!$B$5:$B$104,MATCH($C48,'المواد الخام'!$A$5:$A$104,0)),"كود غير موجود"))</f>
        <v/>
      </c>
      <c r="E48" s="29"/>
      <c r="F48" s="24"/>
      <c r="G48" s="28" t="str">
        <f aca="false">IF($C48="","",IFERROR(INDEX('المواد الخام'!$D$5:$D$104,MATCH($C48,'المواد الخام'!$A$5:$A$104,0)),""))</f>
        <v/>
      </c>
      <c r="H48" s="31" t="str">
        <f aca="false">IF($C48="","",IFERROR(INDEX('المواد الخام'!$G$5:$G$104,MATCH($C48,'المواد الخام'!$A$5:$A$104,0)),0))</f>
        <v/>
      </c>
      <c r="I48" s="25" t="str">
        <f aca="false">IF($C48="","",N(F48)*N(H48))</f>
        <v/>
      </c>
      <c r="J48" s="25" t="str">
        <f aca="false">IF(OR($A48="",$C48=""),"",IF(E48="لكل حبة",I48,IFERROR(I48/INDEX(المنتجات!$G$5:$G$24,MATCH($A48,المنتجات!$A$5:$A$24,0)),0)))</f>
        <v/>
      </c>
      <c r="K48" s="27" t="str">
        <f aca="false">IF(OR($A48="",$C48=""),"",N(F48)*IF(E48="لكل حبة",SUMIFS(الإنتاج!$G$5:$G$504,الإنتاج!$C$5:$C$504,$A48),SUMIFS(الإنتاج!$E$5:$E$504,الإنتاج!$C$5:$C$504,$A48)))</f>
        <v/>
      </c>
      <c r="L48" s="29"/>
    </row>
    <row r="49" customFormat="false" ht="15" hidden="false" customHeight="false" outlineLevel="0" collapsed="false">
      <c r="A49" s="29"/>
      <c r="B49" s="28" t="str">
        <f aca="false">IF($A49="","",IFERROR(INDEX(المنتجات!$C$5:$C$24,MATCH($A49,المنتجات!$A$5:$A$24,0)),"كود غير موجود"))</f>
        <v/>
      </c>
      <c r="C49" s="29"/>
      <c r="D49" s="28" t="str">
        <f aca="false">IF($C49="","",IFERROR(INDEX('المواد الخام'!$B$5:$B$104,MATCH($C49,'المواد الخام'!$A$5:$A$104,0)),"كود غير موجود"))</f>
        <v/>
      </c>
      <c r="E49" s="29"/>
      <c r="F49" s="24"/>
      <c r="G49" s="28" t="str">
        <f aca="false">IF($C49="","",IFERROR(INDEX('المواد الخام'!$D$5:$D$104,MATCH($C49,'المواد الخام'!$A$5:$A$104,0)),""))</f>
        <v/>
      </c>
      <c r="H49" s="31" t="str">
        <f aca="false">IF($C49="","",IFERROR(INDEX('المواد الخام'!$G$5:$G$104,MATCH($C49,'المواد الخام'!$A$5:$A$104,0)),0))</f>
        <v/>
      </c>
      <c r="I49" s="25" t="str">
        <f aca="false">IF($C49="","",N(F49)*N(H49))</f>
        <v/>
      </c>
      <c r="J49" s="25" t="str">
        <f aca="false">IF(OR($A49="",$C49=""),"",IF(E49="لكل حبة",I49,IFERROR(I49/INDEX(المنتجات!$G$5:$G$24,MATCH($A49,المنتجات!$A$5:$A$24,0)),0)))</f>
        <v/>
      </c>
      <c r="K49" s="27" t="str">
        <f aca="false">IF(OR($A49="",$C49=""),"",N(F49)*IF(E49="لكل حبة",SUMIFS(الإنتاج!$G$5:$G$504,الإنتاج!$C$5:$C$504,$A49),SUMIFS(الإنتاج!$E$5:$E$504,الإنتاج!$C$5:$C$504,$A49)))</f>
        <v/>
      </c>
      <c r="L49" s="29"/>
    </row>
    <row r="50" customFormat="false" ht="15" hidden="false" customHeight="false" outlineLevel="0" collapsed="false">
      <c r="A50" s="29"/>
      <c r="B50" s="28" t="str">
        <f aca="false">IF($A50="","",IFERROR(INDEX(المنتجات!$C$5:$C$24,MATCH($A50,المنتجات!$A$5:$A$24,0)),"كود غير موجود"))</f>
        <v/>
      </c>
      <c r="C50" s="29"/>
      <c r="D50" s="28" t="str">
        <f aca="false">IF($C50="","",IFERROR(INDEX('المواد الخام'!$B$5:$B$104,MATCH($C50,'المواد الخام'!$A$5:$A$104,0)),"كود غير موجود"))</f>
        <v/>
      </c>
      <c r="E50" s="29"/>
      <c r="F50" s="24"/>
      <c r="G50" s="28" t="str">
        <f aca="false">IF($C50="","",IFERROR(INDEX('المواد الخام'!$D$5:$D$104,MATCH($C50,'المواد الخام'!$A$5:$A$104,0)),""))</f>
        <v/>
      </c>
      <c r="H50" s="31" t="str">
        <f aca="false">IF($C50="","",IFERROR(INDEX('المواد الخام'!$G$5:$G$104,MATCH($C50,'المواد الخام'!$A$5:$A$104,0)),0))</f>
        <v/>
      </c>
      <c r="I50" s="25" t="str">
        <f aca="false">IF($C50="","",N(F50)*N(H50))</f>
        <v/>
      </c>
      <c r="J50" s="25" t="str">
        <f aca="false">IF(OR($A50="",$C50=""),"",IF(E50="لكل حبة",I50,IFERROR(I50/INDEX(المنتجات!$G$5:$G$24,MATCH($A50,المنتجات!$A$5:$A$24,0)),0)))</f>
        <v/>
      </c>
      <c r="K50" s="27" t="str">
        <f aca="false">IF(OR($A50="",$C50=""),"",N(F50)*IF(E50="لكل حبة",SUMIFS(الإنتاج!$G$5:$G$504,الإنتاج!$C$5:$C$504,$A50),SUMIFS(الإنتاج!$E$5:$E$504,الإنتاج!$C$5:$C$504,$A50)))</f>
        <v/>
      </c>
      <c r="L50" s="29"/>
    </row>
    <row r="51" customFormat="false" ht="15" hidden="false" customHeight="false" outlineLevel="0" collapsed="false">
      <c r="A51" s="29"/>
      <c r="B51" s="28" t="str">
        <f aca="false">IF($A51="","",IFERROR(INDEX(المنتجات!$C$5:$C$24,MATCH($A51,المنتجات!$A$5:$A$24,0)),"كود غير موجود"))</f>
        <v/>
      </c>
      <c r="C51" s="29"/>
      <c r="D51" s="28" t="str">
        <f aca="false">IF($C51="","",IFERROR(INDEX('المواد الخام'!$B$5:$B$104,MATCH($C51,'المواد الخام'!$A$5:$A$104,0)),"كود غير موجود"))</f>
        <v/>
      </c>
      <c r="E51" s="29"/>
      <c r="F51" s="24"/>
      <c r="G51" s="28" t="str">
        <f aca="false">IF($C51="","",IFERROR(INDEX('المواد الخام'!$D$5:$D$104,MATCH($C51,'المواد الخام'!$A$5:$A$104,0)),""))</f>
        <v/>
      </c>
      <c r="H51" s="31" t="str">
        <f aca="false">IF($C51="","",IFERROR(INDEX('المواد الخام'!$G$5:$G$104,MATCH($C51,'المواد الخام'!$A$5:$A$104,0)),0))</f>
        <v/>
      </c>
      <c r="I51" s="25" t="str">
        <f aca="false">IF($C51="","",N(F51)*N(H51))</f>
        <v/>
      </c>
      <c r="J51" s="25" t="str">
        <f aca="false">IF(OR($A51="",$C51=""),"",IF(E51="لكل حبة",I51,IFERROR(I51/INDEX(المنتجات!$G$5:$G$24,MATCH($A51,المنتجات!$A$5:$A$24,0)),0)))</f>
        <v/>
      </c>
      <c r="K51" s="27" t="str">
        <f aca="false">IF(OR($A51="",$C51=""),"",N(F51)*IF(E51="لكل حبة",SUMIFS(الإنتاج!$G$5:$G$504,الإنتاج!$C$5:$C$504,$A51),SUMIFS(الإنتاج!$E$5:$E$504,الإنتاج!$C$5:$C$504,$A51)))</f>
        <v/>
      </c>
      <c r="L51" s="29"/>
    </row>
    <row r="52" customFormat="false" ht="15" hidden="false" customHeight="false" outlineLevel="0" collapsed="false">
      <c r="A52" s="29"/>
      <c r="B52" s="28" t="str">
        <f aca="false">IF($A52="","",IFERROR(INDEX(المنتجات!$C$5:$C$24,MATCH($A52,المنتجات!$A$5:$A$24,0)),"كود غير موجود"))</f>
        <v/>
      </c>
      <c r="C52" s="29"/>
      <c r="D52" s="28" t="str">
        <f aca="false">IF($C52="","",IFERROR(INDEX('المواد الخام'!$B$5:$B$104,MATCH($C52,'المواد الخام'!$A$5:$A$104,0)),"كود غير موجود"))</f>
        <v/>
      </c>
      <c r="E52" s="29"/>
      <c r="F52" s="24"/>
      <c r="G52" s="28" t="str">
        <f aca="false">IF($C52="","",IFERROR(INDEX('المواد الخام'!$D$5:$D$104,MATCH($C52,'المواد الخام'!$A$5:$A$104,0)),""))</f>
        <v/>
      </c>
      <c r="H52" s="31" t="str">
        <f aca="false">IF($C52="","",IFERROR(INDEX('المواد الخام'!$G$5:$G$104,MATCH($C52,'المواد الخام'!$A$5:$A$104,0)),0))</f>
        <v/>
      </c>
      <c r="I52" s="25" t="str">
        <f aca="false">IF($C52="","",N(F52)*N(H52))</f>
        <v/>
      </c>
      <c r="J52" s="25" t="str">
        <f aca="false">IF(OR($A52="",$C52=""),"",IF(E52="لكل حبة",I52,IFERROR(I52/INDEX(المنتجات!$G$5:$G$24,MATCH($A52,المنتجات!$A$5:$A$24,0)),0)))</f>
        <v/>
      </c>
      <c r="K52" s="27" t="str">
        <f aca="false">IF(OR($A52="",$C52=""),"",N(F52)*IF(E52="لكل حبة",SUMIFS(الإنتاج!$G$5:$G$504,الإنتاج!$C$5:$C$504,$A52),SUMIFS(الإنتاج!$E$5:$E$504,الإنتاج!$C$5:$C$504,$A52)))</f>
        <v/>
      </c>
      <c r="L52" s="29"/>
    </row>
    <row r="53" customFormat="false" ht="15" hidden="false" customHeight="false" outlineLevel="0" collapsed="false">
      <c r="A53" s="29"/>
      <c r="B53" s="28" t="str">
        <f aca="false">IF($A53="","",IFERROR(INDEX(المنتجات!$C$5:$C$24,MATCH($A53,المنتجات!$A$5:$A$24,0)),"كود غير موجود"))</f>
        <v/>
      </c>
      <c r="C53" s="29"/>
      <c r="D53" s="28" t="str">
        <f aca="false">IF($C53="","",IFERROR(INDEX('المواد الخام'!$B$5:$B$104,MATCH($C53,'المواد الخام'!$A$5:$A$104,0)),"كود غير موجود"))</f>
        <v/>
      </c>
      <c r="E53" s="29"/>
      <c r="F53" s="24"/>
      <c r="G53" s="28" t="str">
        <f aca="false">IF($C53="","",IFERROR(INDEX('المواد الخام'!$D$5:$D$104,MATCH($C53,'المواد الخام'!$A$5:$A$104,0)),""))</f>
        <v/>
      </c>
      <c r="H53" s="31" t="str">
        <f aca="false">IF($C53="","",IFERROR(INDEX('المواد الخام'!$G$5:$G$104,MATCH($C53,'المواد الخام'!$A$5:$A$104,0)),0))</f>
        <v/>
      </c>
      <c r="I53" s="25" t="str">
        <f aca="false">IF($C53="","",N(F53)*N(H53))</f>
        <v/>
      </c>
      <c r="J53" s="25" t="str">
        <f aca="false">IF(OR($A53="",$C53=""),"",IF(E53="لكل حبة",I53,IFERROR(I53/INDEX(المنتجات!$G$5:$G$24,MATCH($A53,المنتجات!$A$5:$A$24,0)),0)))</f>
        <v/>
      </c>
      <c r="K53" s="27" t="str">
        <f aca="false">IF(OR($A53="",$C53=""),"",N(F53)*IF(E53="لكل حبة",SUMIFS(الإنتاج!$G$5:$G$504,الإنتاج!$C$5:$C$504,$A53),SUMIFS(الإنتاج!$E$5:$E$504,الإنتاج!$C$5:$C$504,$A53)))</f>
        <v/>
      </c>
      <c r="L53" s="29"/>
    </row>
    <row r="54" customFormat="false" ht="15" hidden="false" customHeight="false" outlineLevel="0" collapsed="false">
      <c r="A54" s="29"/>
      <c r="B54" s="28" t="str">
        <f aca="false">IF($A54="","",IFERROR(INDEX(المنتجات!$C$5:$C$24,MATCH($A54,المنتجات!$A$5:$A$24,0)),"كود غير موجود"))</f>
        <v/>
      </c>
      <c r="C54" s="29"/>
      <c r="D54" s="28" t="str">
        <f aca="false">IF($C54="","",IFERROR(INDEX('المواد الخام'!$B$5:$B$104,MATCH($C54,'المواد الخام'!$A$5:$A$104,0)),"كود غير موجود"))</f>
        <v/>
      </c>
      <c r="E54" s="29"/>
      <c r="F54" s="24"/>
      <c r="G54" s="28" t="str">
        <f aca="false">IF($C54="","",IFERROR(INDEX('المواد الخام'!$D$5:$D$104,MATCH($C54,'المواد الخام'!$A$5:$A$104,0)),""))</f>
        <v/>
      </c>
      <c r="H54" s="31" t="str">
        <f aca="false">IF($C54="","",IFERROR(INDEX('المواد الخام'!$G$5:$G$104,MATCH($C54,'المواد الخام'!$A$5:$A$104,0)),0))</f>
        <v/>
      </c>
      <c r="I54" s="25" t="str">
        <f aca="false">IF($C54="","",N(F54)*N(H54))</f>
        <v/>
      </c>
      <c r="J54" s="25" t="str">
        <f aca="false">IF(OR($A54="",$C54=""),"",IF(E54="لكل حبة",I54,IFERROR(I54/INDEX(المنتجات!$G$5:$G$24,MATCH($A54,المنتجات!$A$5:$A$24,0)),0)))</f>
        <v/>
      </c>
      <c r="K54" s="27" t="str">
        <f aca="false">IF(OR($A54="",$C54=""),"",N(F54)*IF(E54="لكل حبة",SUMIFS(الإنتاج!$G$5:$G$504,الإنتاج!$C$5:$C$504,$A54),SUMIFS(الإنتاج!$E$5:$E$504,الإنتاج!$C$5:$C$504,$A54)))</f>
        <v/>
      </c>
      <c r="L54" s="29"/>
    </row>
    <row r="55" customFormat="false" ht="15" hidden="false" customHeight="false" outlineLevel="0" collapsed="false">
      <c r="A55" s="29"/>
      <c r="B55" s="28" t="str">
        <f aca="false">IF($A55="","",IFERROR(INDEX(المنتجات!$C$5:$C$24,MATCH($A55,المنتجات!$A$5:$A$24,0)),"كود غير موجود"))</f>
        <v/>
      </c>
      <c r="C55" s="29"/>
      <c r="D55" s="28" t="str">
        <f aca="false">IF($C55="","",IFERROR(INDEX('المواد الخام'!$B$5:$B$104,MATCH($C55,'المواد الخام'!$A$5:$A$104,0)),"كود غير موجود"))</f>
        <v/>
      </c>
      <c r="E55" s="29"/>
      <c r="F55" s="24"/>
      <c r="G55" s="28" t="str">
        <f aca="false">IF($C55="","",IFERROR(INDEX('المواد الخام'!$D$5:$D$104,MATCH($C55,'المواد الخام'!$A$5:$A$104,0)),""))</f>
        <v/>
      </c>
      <c r="H55" s="31" t="str">
        <f aca="false">IF($C55="","",IFERROR(INDEX('المواد الخام'!$G$5:$G$104,MATCH($C55,'المواد الخام'!$A$5:$A$104,0)),0))</f>
        <v/>
      </c>
      <c r="I55" s="25" t="str">
        <f aca="false">IF($C55="","",N(F55)*N(H55))</f>
        <v/>
      </c>
      <c r="J55" s="25" t="str">
        <f aca="false">IF(OR($A55="",$C55=""),"",IF(E55="لكل حبة",I55,IFERROR(I55/INDEX(المنتجات!$G$5:$G$24,MATCH($A55,المنتجات!$A$5:$A$24,0)),0)))</f>
        <v/>
      </c>
      <c r="K55" s="27" t="str">
        <f aca="false">IF(OR($A55="",$C55=""),"",N(F55)*IF(E55="لكل حبة",SUMIFS(الإنتاج!$G$5:$G$504,الإنتاج!$C$5:$C$504,$A55),SUMIFS(الإنتاج!$E$5:$E$504,الإنتاج!$C$5:$C$504,$A55)))</f>
        <v/>
      </c>
      <c r="L55" s="29"/>
    </row>
    <row r="56" customFormat="false" ht="15" hidden="false" customHeight="false" outlineLevel="0" collapsed="false">
      <c r="A56" s="29"/>
      <c r="B56" s="28" t="str">
        <f aca="false">IF($A56="","",IFERROR(INDEX(المنتجات!$C$5:$C$24,MATCH($A56,المنتجات!$A$5:$A$24,0)),"كود غير موجود"))</f>
        <v/>
      </c>
      <c r="C56" s="29"/>
      <c r="D56" s="28" t="str">
        <f aca="false">IF($C56="","",IFERROR(INDEX('المواد الخام'!$B$5:$B$104,MATCH($C56,'المواد الخام'!$A$5:$A$104,0)),"كود غير موجود"))</f>
        <v/>
      </c>
      <c r="E56" s="29"/>
      <c r="F56" s="24"/>
      <c r="G56" s="28" t="str">
        <f aca="false">IF($C56="","",IFERROR(INDEX('المواد الخام'!$D$5:$D$104,MATCH($C56,'المواد الخام'!$A$5:$A$104,0)),""))</f>
        <v/>
      </c>
      <c r="H56" s="31" t="str">
        <f aca="false">IF($C56="","",IFERROR(INDEX('المواد الخام'!$G$5:$G$104,MATCH($C56,'المواد الخام'!$A$5:$A$104,0)),0))</f>
        <v/>
      </c>
      <c r="I56" s="25" t="str">
        <f aca="false">IF($C56="","",N(F56)*N(H56))</f>
        <v/>
      </c>
      <c r="J56" s="25" t="str">
        <f aca="false">IF(OR($A56="",$C56=""),"",IF(E56="لكل حبة",I56,IFERROR(I56/INDEX(المنتجات!$G$5:$G$24,MATCH($A56,المنتجات!$A$5:$A$24,0)),0)))</f>
        <v/>
      </c>
      <c r="K56" s="27" t="str">
        <f aca="false">IF(OR($A56="",$C56=""),"",N(F56)*IF(E56="لكل حبة",SUMIFS(الإنتاج!$G$5:$G$504,الإنتاج!$C$5:$C$504,$A56),SUMIFS(الإنتاج!$E$5:$E$504,الإنتاج!$C$5:$C$504,$A56)))</f>
        <v/>
      </c>
      <c r="L56" s="29"/>
    </row>
    <row r="57" customFormat="false" ht="15" hidden="false" customHeight="false" outlineLevel="0" collapsed="false">
      <c r="A57" s="29"/>
      <c r="B57" s="28" t="str">
        <f aca="false">IF($A57="","",IFERROR(INDEX(المنتجات!$C$5:$C$24,MATCH($A57,المنتجات!$A$5:$A$24,0)),"كود غير موجود"))</f>
        <v/>
      </c>
      <c r="C57" s="29"/>
      <c r="D57" s="28" t="str">
        <f aca="false">IF($C57="","",IFERROR(INDEX('المواد الخام'!$B$5:$B$104,MATCH($C57,'المواد الخام'!$A$5:$A$104,0)),"كود غير موجود"))</f>
        <v/>
      </c>
      <c r="E57" s="29"/>
      <c r="F57" s="24"/>
      <c r="G57" s="28" t="str">
        <f aca="false">IF($C57="","",IFERROR(INDEX('المواد الخام'!$D$5:$D$104,MATCH($C57,'المواد الخام'!$A$5:$A$104,0)),""))</f>
        <v/>
      </c>
      <c r="H57" s="31" t="str">
        <f aca="false">IF($C57="","",IFERROR(INDEX('المواد الخام'!$G$5:$G$104,MATCH($C57,'المواد الخام'!$A$5:$A$104,0)),0))</f>
        <v/>
      </c>
      <c r="I57" s="25" t="str">
        <f aca="false">IF($C57="","",N(F57)*N(H57))</f>
        <v/>
      </c>
      <c r="J57" s="25" t="str">
        <f aca="false">IF(OR($A57="",$C57=""),"",IF(E57="لكل حبة",I57,IFERROR(I57/INDEX(المنتجات!$G$5:$G$24,MATCH($A57,المنتجات!$A$5:$A$24,0)),0)))</f>
        <v/>
      </c>
      <c r="K57" s="27" t="str">
        <f aca="false">IF(OR($A57="",$C57=""),"",N(F57)*IF(E57="لكل حبة",SUMIFS(الإنتاج!$G$5:$G$504,الإنتاج!$C$5:$C$504,$A57),SUMIFS(الإنتاج!$E$5:$E$504,الإنتاج!$C$5:$C$504,$A57)))</f>
        <v/>
      </c>
      <c r="L57" s="29"/>
    </row>
    <row r="58" customFormat="false" ht="15" hidden="false" customHeight="false" outlineLevel="0" collapsed="false">
      <c r="A58" s="29"/>
      <c r="B58" s="28" t="str">
        <f aca="false">IF($A58="","",IFERROR(INDEX(المنتجات!$C$5:$C$24,MATCH($A58,المنتجات!$A$5:$A$24,0)),"كود غير موجود"))</f>
        <v/>
      </c>
      <c r="C58" s="29"/>
      <c r="D58" s="28" t="str">
        <f aca="false">IF($C58="","",IFERROR(INDEX('المواد الخام'!$B$5:$B$104,MATCH($C58,'المواد الخام'!$A$5:$A$104,0)),"كود غير موجود"))</f>
        <v/>
      </c>
      <c r="E58" s="29"/>
      <c r="F58" s="24"/>
      <c r="G58" s="28" t="str">
        <f aca="false">IF($C58="","",IFERROR(INDEX('المواد الخام'!$D$5:$D$104,MATCH($C58,'المواد الخام'!$A$5:$A$104,0)),""))</f>
        <v/>
      </c>
      <c r="H58" s="31" t="str">
        <f aca="false">IF($C58="","",IFERROR(INDEX('المواد الخام'!$G$5:$G$104,MATCH($C58,'المواد الخام'!$A$5:$A$104,0)),0))</f>
        <v/>
      </c>
      <c r="I58" s="25" t="str">
        <f aca="false">IF($C58="","",N(F58)*N(H58))</f>
        <v/>
      </c>
      <c r="J58" s="25" t="str">
        <f aca="false">IF(OR($A58="",$C58=""),"",IF(E58="لكل حبة",I58,IFERROR(I58/INDEX(المنتجات!$G$5:$G$24,MATCH($A58,المنتجات!$A$5:$A$24,0)),0)))</f>
        <v/>
      </c>
      <c r="K58" s="27" t="str">
        <f aca="false">IF(OR($A58="",$C58=""),"",N(F58)*IF(E58="لكل حبة",SUMIFS(الإنتاج!$G$5:$G$504,الإنتاج!$C$5:$C$504,$A58),SUMIFS(الإنتاج!$E$5:$E$504,الإنتاج!$C$5:$C$504,$A58)))</f>
        <v/>
      </c>
      <c r="L58" s="29"/>
    </row>
    <row r="59" customFormat="false" ht="15" hidden="false" customHeight="false" outlineLevel="0" collapsed="false">
      <c r="A59" s="29"/>
      <c r="B59" s="28" t="str">
        <f aca="false">IF($A59="","",IFERROR(INDEX(المنتجات!$C$5:$C$24,MATCH($A59,المنتجات!$A$5:$A$24,0)),"كود غير موجود"))</f>
        <v/>
      </c>
      <c r="C59" s="29"/>
      <c r="D59" s="28" t="str">
        <f aca="false">IF($C59="","",IFERROR(INDEX('المواد الخام'!$B$5:$B$104,MATCH($C59,'المواد الخام'!$A$5:$A$104,0)),"كود غير موجود"))</f>
        <v/>
      </c>
      <c r="E59" s="29"/>
      <c r="F59" s="24"/>
      <c r="G59" s="28" t="str">
        <f aca="false">IF($C59="","",IFERROR(INDEX('المواد الخام'!$D$5:$D$104,MATCH($C59,'المواد الخام'!$A$5:$A$104,0)),""))</f>
        <v/>
      </c>
      <c r="H59" s="31" t="str">
        <f aca="false">IF($C59="","",IFERROR(INDEX('المواد الخام'!$G$5:$G$104,MATCH($C59,'المواد الخام'!$A$5:$A$104,0)),0))</f>
        <v/>
      </c>
      <c r="I59" s="25" t="str">
        <f aca="false">IF($C59="","",N(F59)*N(H59))</f>
        <v/>
      </c>
      <c r="J59" s="25" t="str">
        <f aca="false">IF(OR($A59="",$C59=""),"",IF(E59="لكل حبة",I59,IFERROR(I59/INDEX(المنتجات!$G$5:$G$24,MATCH($A59,المنتجات!$A$5:$A$24,0)),0)))</f>
        <v/>
      </c>
      <c r="K59" s="27" t="str">
        <f aca="false">IF(OR($A59="",$C59=""),"",N(F59)*IF(E59="لكل حبة",SUMIFS(الإنتاج!$G$5:$G$504,الإنتاج!$C$5:$C$504,$A59),SUMIFS(الإنتاج!$E$5:$E$504,الإنتاج!$C$5:$C$504,$A59)))</f>
        <v/>
      </c>
      <c r="L59" s="29"/>
    </row>
    <row r="60" customFormat="false" ht="15" hidden="false" customHeight="false" outlineLevel="0" collapsed="false">
      <c r="A60" s="29"/>
      <c r="B60" s="28" t="str">
        <f aca="false">IF($A60="","",IFERROR(INDEX(المنتجات!$C$5:$C$24,MATCH($A60,المنتجات!$A$5:$A$24,0)),"كود غير موجود"))</f>
        <v/>
      </c>
      <c r="C60" s="29"/>
      <c r="D60" s="28" t="str">
        <f aca="false">IF($C60="","",IFERROR(INDEX('المواد الخام'!$B$5:$B$104,MATCH($C60,'المواد الخام'!$A$5:$A$104,0)),"كود غير موجود"))</f>
        <v/>
      </c>
      <c r="E60" s="29"/>
      <c r="F60" s="24"/>
      <c r="G60" s="28" t="str">
        <f aca="false">IF($C60="","",IFERROR(INDEX('المواد الخام'!$D$5:$D$104,MATCH($C60,'المواد الخام'!$A$5:$A$104,0)),""))</f>
        <v/>
      </c>
      <c r="H60" s="31" t="str">
        <f aca="false">IF($C60="","",IFERROR(INDEX('المواد الخام'!$G$5:$G$104,MATCH($C60,'المواد الخام'!$A$5:$A$104,0)),0))</f>
        <v/>
      </c>
      <c r="I60" s="25" t="str">
        <f aca="false">IF($C60="","",N(F60)*N(H60))</f>
        <v/>
      </c>
      <c r="J60" s="25" t="str">
        <f aca="false">IF(OR($A60="",$C60=""),"",IF(E60="لكل حبة",I60,IFERROR(I60/INDEX(المنتجات!$G$5:$G$24,MATCH($A60,المنتجات!$A$5:$A$24,0)),0)))</f>
        <v/>
      </c>
      <c r="K60" s="27" t="str">
        <f aca="false">IF(OR($A60="",$C60=""),"",N(F60)*IF(E60="لكل حبة",SUMIFS(الإنتاج!$G$5:$G$504,الإنتاج!$C$5:$C$504,$A60),SUMIFS(الإنتاج!$E$5:$E$504,الإنتاج!$C$5:$C$504,$A60)))</f>
        <v/>
      </c>
      <c r="L60" s="29"/>
    </row>
    <row r="61" customFormat="false" ht="15" hidden="false" customHeight="false" outlineLevel="0" collapsed="false">
      <c r="A61" s="29"/>
      <c r="B61" s="28" t="str">
        <f aca="false">IF($A61="","",IFERROR(INDEX(المنتجات!$C$5:$C$24,MATCH($A61,المنتجات!$A$5:$A$24,0)),"كود غير موجود"))</f>
        <v/>
      </c>
      <c r="C61" s="29"/>
      <c r="D61" s="28" t="str">
        <f aca="false">IF($C61="","",IFERROR(INDEX('المواد الخام'!$B$5:$B$104,MATCH($C61,'المواد الخام'!$A$5:$A$104,0)),"كود غير موجود"))</f>
        <v/>
      </c>
      <c r="E61" s="29"/>
      <c r="F61" s="24"/>
      <c r="G61" s="28" t="str">
        <f aca="false">IF($C61="","",IFERROR(INDEX('المواد الخام'!$D$5:$D$104,MATCH($C61,'المواد الخام'!$A$5:$A$104,0)),""))</f>
        <v/>
      </c>
      <c r="H61" s="31" t="str">
        <f aca="false">IF($C61="","",IFERROR(INDEX('المواد الخام'!$G$5:$G$104,MATCH($C61,'المواد الخام'!$A$5:$A$104,0)),0))</f>
        <v/>
      </c>
      <c r="I61" s="25" t="str">
        <f aca="false">IF($C61="","",N(F61)*N(H61))</f>
        <v/>
      </c>
      <c r="J61" s="25" t="str">
        <f aca="false">IF(OR($A61="",$C61=""),"",IF(E61="لكل حبة",I61,IFERROR(I61/INDEX(المنتجات!$G$5:$G$24,MATCH($A61,المنتجات!$A$5:$A$24,0)),0)))</f>
        <v/>
      </c>
      <c r="K61" s="27" t="str">
        <f aca="false">IF(OR($A61="",$C61=""),"",N(F61)*IF(E61="لكل حبة",SUMIFS(الإنتاج!$G$5:$G$504,الإنتاج!$C$5:$C$504,$A61),SUMIFS(الإنتاج!$E$5:$E$504,الإنتاج!$C$5:$C$504,$A61)))</f>
        <v/>
      </c>
      <c r="L61" s="29"/>
    </row>
    <row r="62" customFormat="false" ht="15" hidden="false" customHeight="false" outlineLevel="0" collapsed="false">
      <c r="A62" s="29"/>
      <c r="B62" s="28" t="str">
        <f aca="false">IF($A62="","",IFERROR(INDEX(المنتجات!$C$5:$C$24,MATCH($A62,المنتجات!$A$5:$A$24,0)),"كود غير موجود"))</f>
        <v/>
      </c>
      <c r="C62" s="29"/>
      <c r="D62" s="28" t="str">
        <f aca="false">IF($C62="","",IFERROR(INDEX('المواد الخام'!$B$5:$B$104,MATCH($C62,'المواد الخام'!$A$5:$A$104,0)),"كود غير موجود"))</f>
        <v/>
      </c>
      <c r="E62" s="29"/>
      <c r="F62" s="24"/>
      <c r="G62" s="28" t="str">
        <f aca="false">IF($C62="","",IFERROR(INDEX('المواد الخام'!$D$5:$D$104,MATCH($C62,'المواد الخام'!$A$5:$A$104,0)),""))</f>
        <v/>
      </c>
      <c r="H62" s="31" t="str">
        <f aca="false">IF($C62="","",IFERROR(INDEX('المواد الخام'!$G$5:$G$104,MATCH($C62,'المواد الخام'!$A$5:$A$104,0)),0))</f>
        <v/>
      </c>
      <c r="I62" s="25" t="str">
        <f aca="false">IF($C62="","",N(F62)*N(H62))</f>
        <v/>
      </c>
      <c r="J62" s="25" t="str">
        <f aca="false">IF(OR($A62="",$C62=""),"",IF(E62="لكل حبة",I62,IFERROR(I62/INDEX(المنتجات!$G$5:$G$24,MATCH($A62,المنتجات!$A$5:$A$24,0)),0)))</f>
        <v/>
      </c>
      <c r="K62" s="27" t="str">
        <f aca="false">IF(OR($A62="",$C62=""),"",N(F62)*IF(E62="لكل حبة",SUMIFS(الإنتاج!$G$5:$G$504,الإنتاج!$C$5:$C$504,$A62),SUMIFS(الإنتاج!$E$5:$E$504,الإنتاج!$C$5:$C$504,$A62)))</f>
        <v/>
      </c>
      <c r="L62" s="29"/>
    </row>
    <row r="63" customFormat="false" ht="15" hidden="false" customHeight="false" outlineLevel="0" collapsed="false">
      <c r="A63" s="29"/>
      <c r="B63" s="28" t="str">
        <f aca="false">IF($A63="","",IFERROR(INDEX(المنتجات!$C$5:$C$24,MATCH($A63,المنتجات!$A$5:$A$24,0)),"كود غير موجود"))</f>
        <v/>
      </c>
      <c r="C63" s="29"/>
      <c r="D63" s="28" t="str">
        <f aca="false">IF($C63="","",IFERROR(INDEX('المواد الخام'!$B$5:$B$104,MATCH($C63,'المواد الخام'!$A$5:$A$104,0)),"كود غير موجود"))</f>
        <v/>
      </c>
      <c r="E63" s="29"/>
      <c r="F63" s="24"/>
      <c r="G63" s="28" t="str">
        <f aca="false">IF($C63="","",IFERROR(INDEX('المواد الخام'!$D$5:$D$104,MATCH($C63,'المواد الخام'!$A$5:$A$104,0)),""))</f>
        <v/>
      </c>
      <c r="H63" s="31" t="str">
        <f aca="false">IF($C63="","",IFERROR(INDEX('المواد الخام'!$G$5:$G$104,MATCH($C63,'المواد الخام'!$A$5:$A$104,0)),0))</f>
        <v/>
      </c>
      <c r="I63" s="25" t="str">
        <f aca="false">IF($C63="","",N(F63)*N(H63))</f>
        <v/>
      </c>
      <c r="J63" s="25" t="str">
        <f aca="false">IF(OR($A63="",$C63=""),"",IF(E63="لكل حبة",I63,IFERROR(I63/INDEX(المنتجات!$G$5:$G$24,MATCH($A63,المنتجات!$A$5:$A$24,0)),0)))</f>
        <v/>
      </c>
      <c r="K63" s="27" t="str">
        <f aca="false">IF(OR($A63="",$C63=""),"",N(F63)*IF(E63="لكل حبة",SUMIFS(الإنتاج!$G$5:$G$504,الإنتاج!$C$5:$C$504,$A63),SUMIFS(الإنتاج!$E$5:$E$504,الإنتاج!$C$5:$C$504,$A63)))</f>
        <v/>
      </c>
      <c r="L63" s="29"/>
    </row>
    <row r="64" customFormat="false" ht="15" hidden="false" customHeight="false" outlineLevel="0" collapsed="false">
      <c r="A64" s="29"/>
      <c r="B64" s="28" t="str">
        <f aca="false">IF($A64="","",IFERROR(INDEX(المنتجات!$C$5:$C$24,MATCH($A64,المنتجات!$A$5:$A$24,0)),"كود غير موجود"))</f>
        <v/>
      </c>
      <c r="C64" s="29"/>
      <c r="D64" s="28" t="str">
        <f aca="false">IF($C64="","",IFERROR(INDEX('المواد الخام'!$B$5:$B$104,MATCH($C64,'المواد الخام'!$A$5:$A$104,0)),"كود غير موجود"))</f>
        <v/>
      </c>
      <c r="E64" s="29"/>
      <c r="F64" s="24"/>
      <c r="G64" s="28" t="str">
        <f aca="false">IF($C64="","",IFERROR(INDEX('المواد الخام'!$D$5:$D$104,MATCH($C64,'المواد الخام'!$A$5:$A$104,0)),""))</f>
        <v/>
      </c>
      <c r="H64" s="31" t="str">
        <f aca="false">IF($C64="","",IFERROR(INDEX('المواد الخام'!$G$5:$G$104,MATCH($C64,'المواد الخام'!$A$5:$A$104,0)),0))</f>
        <v/>
      </c>
      <c r="I64" s="25" t="str">
        <f aca="false">IF($C64="","",N(F64)*N(H64))</f>
        <v/>
      </c>
      <c r="J64" s="25" t="str">
        <f aca="false">IF(OR($A64="",$C64=""),"",IF(E64="لكل حبة",I64,IFERROR(I64/INDEX(المنتجات!$G$5:$G$24,MATCH($A64,المنتجات!$A$5:$A$24,0)),0)))</f>
        <v/>
      </c>
      <c r="K64" s="27" t="str">
        <f aca="false">IF(OR($A64="",$C64=""),"",N(F64)*IF(E64="لكل حبة",SUMIFS(الإنتاج!$G$5:$G$504,الإنتاج!$C$5:$C$504,$A64),SUMIFS(الإنتاج!$E$5:$E$504,الإنتاج!$C$5:$C$504,$A64)))</f>
        <v/>
      </c>
      <c r="L64" s="29"/>
    </row>
    <row r="65" customFormat="false" ht="15" hidden="false" customHeight="false" outlineLevel="0" collapsed="false">
      <c r="A65" s="29"/>
      <c r="B65" s="28" t="str">
        <f aca="false">IF($A65="","",IFERROR(INDEX(المنتجات!$C$5:$C$24,MATCH($A65,المنتجات!$A$5:$A$24,0)),"كود غير موجود"))</f>
        <v/>
      </c>
      <c r="C65" s="29"/>
      <c r="D65" s="28" t="str">
        <f aca="false">IF($C65="","",IFERROR(INDEX('المواد الخام'!$B$5:$B$104,MATCH($C65,'المواد الخام'!$A$5:$A$104,0)),"كود غير موجود"))</f>
        <v/>
      </c>
      <c r="E65" s="29"/>
      <c r="F65" s="24"/>
      <c r="G65" s="28" t="str">
        <f aca="false">IF($C65="","",IFERROR(INDEX('المواد الخام'!$D$5:$D$104,MATCH($C65,'المواد الخام'!$A$5:$A$104,0)),""))</f>
        <v/>
      </c>
      <c r="H65" s="31" t="str">
        <f aca="false">IF($C65="","",IFERROR(INDEX('المواد الخام'!$G$5:$G$104,MATCH($C65,'المواد الخام'!$A$5:$A$104,0)),0))</f>
        <v/>
      </c>
      <c r="I65" s="25" t="str">
        <f aca="false">IF($C65="","",N(F65)*N(H65))</f>
        <v/>
      </c>
      <c r="J65" s="25" t="str">
        <f aca="false">IF(OR($A65="",$C65=""),"",IF(E65="لكل حبة",I65,IFERROR(I65/INDEX(المنتجات!$G$5:$G$24,MATCH($A65,المنتجات!$A$5:$A$24,0)),0)))</f>
        <v/>
      </c>
      <c r="K65" s="27" t="str">
        <f aca="false">IF(OR($A65="",$C65=""),"",N(F65)*IF(E65="لكل حبة",SUMIFS(الإنتاج!$G$5:$G$504,الإنتاج!$C$5:$C$504,$A65),SUMIFS(الإنتاج!$E$5:$E$504,الإنتاج!$C$5:$C$504,$A65)))</f>
        <v/>
      </c>
      <c r="L65" s="29"/>
    </row>
    <row r="66" customFormat="false" ht="15" hidden="false" customHeight="false" outlineLevel="0" collapsed="false">
      <c r="A66" s="29"/>
      <c r="B66" s="28" t="str">
        <f aca="false">IF($A66="","",IFERROR(INDEX(المنتجات!$C$5:$C$24,MATCH($A66,المنتجات!$A$5:$A$24,0)),"كود غير موجود"))</f>
        <v/>
      </c>
      <c r="C66" s="29"/>
      <c r="D66" s="28" t="str">
        <f aca="false">IF($C66="","",IFERROR(INDEX('المواد الخام'!$B$5:$B$104,MATCH($C66,'المواد الخام'!$A$5:$A$104,0)),"كود غير موجود"))</f>
        <v/>
      </c>
      <c r="E66" s="29"/>
      <c r="F66" s="24"/>
      <c r="G66" s="28" t="str">
        <f aca="false">IF($C66="","",IFERROR(INDEX('المواد الخام'!$D$5:$D$104,MATCH($C66,'المواد الخام'!$A$5:$A$104,0)),""))</f>
        <v/>
      </c>
      <c r="H66" s="31" t="str">
        <f aca="false">IF($C66="","",IFERROR(INDEX('المواد الخام'!$G$5:$G$104,MATCH($C66,'المواد الخام'!$A$5:$A$104,0)),0))</f>
        <v/>
      </c>
      <c r="I66" s="25" t="str">
        <f aca="false">IF($C66="","",N(F66)*N(H66))</f>
        <v/>
      </c>
      <c r="J66" s="25" t="str">
        <f aca="false">IF(OR($A66="",$C66=""),"",IF(E66="لكل حبة",I66,IFERROR(I66/INDEX(المنتجات!$G$5:$G$24,MATCH($A66,المنتجات!$A$5:$A$24,0)),0)))</f>
        <v/>
      </c>
      <c r="K66" s="27" t="str">
        <f aca="false">IF(OR($A66="",$C66=""),"",N(F66)*IF(E66="لكل حبة",SUMIFS(الإنتاج!$G$5:$G$504,الإنتاج!$C$5:$C$504,$A66),SUMIFS(الإنتاج!$E$5:$E$504,الإنتاج!$C$5:$C$504,$A66)))</f>
        <v/>
      </c>
      <c r="L66" s="29"/>
    </row>
    <row r="67" customFormat="false" ht="15" hidden="false" customHeight="false" outlineLevel="0" collapsed="false">
      <c r="A67" s="29"/>
      <c r="B67" s="28" t="str">
        <f aca="false">IF($A67="","",IFERROR(INDEX(المنتجات!$C$5:$C$24,MATCH($A67,المنتجات!$A$5:$A$24,0)),"كود غير موجود"))</f>
        <v/>
      </c>
      <c r="C67" s="29"/>
      <c r="D67" s="28" t="str">
        <f aca="false">IF($C67="","",IFERROR(INDEX('المواد الخام'!$B$5:$B$104,MATCH($C67,'المواد الخام'!$A$5:$A$104,0)),"كود غير موجود"))</f>
        <v/>
      </c>
      <c r="E67" s="29"/>
      <c r="F67" s="24"/>
      <c r="G67" s="28" t="str">
        <f aca="false">IF($C67="","",IFERROR(INDEX('المواد الخام'!$D$5:$D$104,MATCH($C67,'المواد الخام'!$A$5:$A$104,0)),""))</f>
        <v/>
      </c>
      <c r="H67" s="31" t="str">
        <f aca="false">IF($C67="","",IFERROR(INDEX('المواد الخام'!$G$5:$G$104,MATCH($C67,'المواد الخام'!$A$5:$A$104,0)),0))</f>
        <v/>
      </c>
      <c r="I67" s="25" t="str">
        <f aca="false">IF($C67="","",N(F67)*N(H67))</f>
        <v/>
      </c>
      <c r="J67" s="25" t="str">
        <f aca="false">IF(OR($A67="",$C67=""),"",IF(E67="لكل حبة",I67,IFERROR(I67/INDEX(المنتجات!$G$5:$G$24,MATCH($A67,المنتجات!$A$5:$A$24,0)),0)))</f>
        <v/>
      </c>
      <c r="K67" s="27" t="str">
        <f aca="false">IF(OR($A67="",$C67=""),"",N(F67)*IF(E67="لكل حبة",SUMIFS(الإنتاج!$G$5:$G$504,الإنتاج!$C$5:$C$504,$A67),SUMIFS(الإنتاج!$E$5:$E$504,الإنتاج!$C$5:$C$504,$A67)))</f>
        <v/>
      </c>
      <c r="L67" s="29"/>
    </row>
    <row r="68" customFormat="false" ht="15" hidden="false" customHeight="false" outlineLevel="0" collapsed="false">
      <c r="A68" s="29"/>
      <c r="B68" s="28" t="str">
        <f aca="false">IF($A68="","",IFERROR(INDEX(المنتجات!$C$5:$C$24,MATCH($A68,المنتجات!$A$5:$A$24,0)),"كود غير موجود"))</f>
        <v/>
      </c>
      <c r="C68" s="29"/>
      <c r="D68" s="28" t="str">
        <f aca="false">IF($C68="","",IFERROR(INDEX('المواد الخام'!$B$5:$B$104,MATCH($C68,'المواد الخام'!$A$5:$A$104,0)),"كود غير موجود"))</f>
        <v/>
      </c>
      <c r="E68" s="29"/>
      <c r="F68" s="24"/>
      <c r="G68" s="28" t="str">
        <f aca="false">IF($C68="","",IFERROR(INDEX('المواد الخام'!$D$5:$D$104,MATCH($C68,'المواد الخام'!$A$5:$A$104,0)),""))</f>
        <v/>
      </c>
      <c r="H68" s="31" t="str">
        <f aca="false">IF($C68="","",IFERROR(INDEX('المواد الخام'!$G$5:$G$104,MATCH($C68,'المواد الخام'!$A$5:$A$104,0)),0))</f>
        <v/>
      </c>
      <c r="I68" s="25" t="str">
        <f aca="false">IF($C68="","",N(F68)*N(H68))</f>
        <v/>
      </c>
      <c r="J68" s="25" t="str">
        <f aca="false">IF(OR($A68="",$C68=""),"",IF(E68="لكل حبة",I68,IFERROR(I68/INDEX(المنتجات!$G$5:$G$24,MATCH($A68,المنتجات!$A$5:$A$24,0)),0)))</f>
        <v/>
      </c>
      <c r="K68" s="27" t="str">
        <f aca="false">IF(OR($A68="",$C68=""),"",N(F68)*IF(E68="لكل حبة",SUMIFS(الإنتاج!$G$5:$G$504,الإنتاج!$C$5:$C$504,$A68),SUMIFS(الإنتاج!$E$5:$E$504,الإنتاج!$C$5:$C$504,$A68)))</f>
        <v/>
      </c>
      <c r="L68" s="29"/>
    </row>
    <row r="69" customFormat="false" ht="15" hidden="false" customHeight="false" outlineLevel="0" collapsed="false">
      <c r="A69" s="29"/>
      <c r="B69" s="28" t="str">
        <f aca="false">IF($A69="","",IFERROR(INDEX(المنتجات!$C$5:$C$24,MATCH($A69,المنتجات!$A$5:$A$24,0)),"كود غير موجود"))</f>
        <v/>
      </c>
      <c r="C69" s="29"/>
      <c r="D69" s="28" t="str">
        <f aca="false">IF($C69="","",IFERROR(INDEX('المواد الخام'!$B$5:$B$104,MATCH($C69,'المواد الخام'!$A$5:$A$104,0)),"كود غير موجود"))</f>
        <v/>
      </c>
      <c r="E69" s="29"/>
      <c r="F69" s="24"/>
      <c r="G69" s="28" t="str">
        <f aca="false">IF($C69="","",IFERROR(INDEX('المواد الخام'!$D$5:$D$104,MATCH($C69,'المواد الخام'!$A$5:$A$104,0)),""))</f>
        <v/>
      </c>
      <c r="H69" s="31" t="str">
        <f aca="false">IF($C69="","",IFERROR(INDEX('المواد الخام'!$G$5:$G$104,MATCH($C69,'المواد الخام'!$A$5:$A$104,0)),0))</f>
        <v/>
      </c>
      <c r="I69" s="25" t="str">
        <f aca="false">IF($C69="","",N(F69)*N(H69))</f>
        <v/>
      </c>
      <c r="J69" s="25" t="str">
        <f aca="false">IF(OR($A69="",$C69=""),"",IF(E69="لكل حبة",I69,IFERROR(I69/INDEX(المنتجات!$G$5:$G$24,MATCH($A69,المنتجات!$A$5:$A$24,0)),0)))</f>
        <v/>
      </c>
      <c r="K69" s="27" t="str">
        <f aca="false">IF(OR($A69="",$C69=""),"",N(F69)*IF(E69="لكل حبة",SUMIFS(الإنتاج!$G$5:$G$504,الإنتاج!$C$5:$C$504,$A69),SUMIFS(الإنتاج!$E$5:$E$504,الإنتاج!$C$5:$C$504,$A69)))</f>
        <v/>
      </c>
      <c r="L69" s="29"/>
    </row>
    <row r="70" customFormat="false" ht="15" hidden="false" customHeight="false" outlineLevel="0" collapsed="false">
      <c r="A70" s="29"/>
      <c r="B70" s="28" t="str">
        <f aca="false">IF($A70="","",IFERROR(INDEX(المنتجات!$C$5:$C$24,MATCH($A70,المنتجات!$A$5:$A$24,0)),"كود غير موجود"))</f>
        <v/>
      </c>
      <c r="C70" s="29"/>
      <c r="D70" s="28" t="str">
        <f aca="false">IF($C70="","",IFERROR(INDEX('المواد الخام'!$B$5:$B$104,MATCH($C70,'المواد الخام'!$A$5:$A$104,0)),"كود غير موجود"))</f>
        <v/>
      </c>
      <c r="E70" s="29"/>
      <c r="F70" s="24"/>
      <c r="G70" s="28" t="str">
        <f aca="false">IF($C70="","",IFERROR(INDEX('المواد الخام'!$D$5:$D$104,MATCH($C70,'المواد الخام'!$A$5:$A$104,0)),""))</f>
        <v/>
      </c>
      <c r="H70" s="31" t="str">
        <f aca="false">IF($C70="","",IFERROR(INDEX('المواد الخام'!$G$5:$G$104,MATCH($C70,'المواد الخام'!$A$5:$A$104,0)),0))</f>
        <v/>
      </c>
      <c r="I70" s="25" t="str">
        <f aca="false">IF($C70="","",N(F70)*N(H70))</f>
        <v/>
      </c>
      <c r="J70" s="25" t="str">
        <f aca="false">IF(OR($A70="",$C70=""),"",IF(E70="لكل حبة",I70,IFERROR(I70/INDEX(المنتجات!$G$5:$G$24,MATCH($A70,المنتجات!$A$5:$A$24,0)),0)))</f>
        <v/>
      </c>
      <c r="K70" s="27" t="str">
        <f aca="false">IF(OR($A70="",$C70=""),"",N(F70)*IF(E70="لكل حبة",SUMIFS(الإنتاج!$G$5:$G$504,الإنتاج!$C$5:$C$504,$A70),SUMIFS(الإنتاج!$E$5:$E$504,الإنتاج!$C$5:$C$504,$A70)))</f>
        <v/>
      </c>
      <c r="L70" s="29"/>
    </row>
    <row r="71" customFormat="false" ht="15" hidden="false" customHeight="false" outlineLevel="0" collapsed="false">
      <c r="A71" s="29"/>
      <c r="B71" s="28" t="str">
        <f aca="false">IF($A71="","",IFERROR(INDEX(المنتجات!$C$5:$C$24,MATCH($A71,المنتجات!$A$5:$A$24,0)),"كود غير موجود"))</f>
        <v/>
      </c>
      <c r="C71" s="29"/>
      <c r="D71" s="28" t="str">
        <f aca="false">IF($C71="","",IFERROR(INDEX('المواد الخام'!$B$5:$B$104,MATCH($C71,'المواد الخام'!$A$5:$A$104,0)),"كود غير موجود"))</f>
        <v/>
      </c>
      <c r="E71" s="29"/>
      <c r="F71" s="24"/>
      <c r="G71" s="28" t="str">
        <f aca="false">IF($C71="","",IFERROR(INDEX('المواد الخام'!$D$5:$D$104,MATCH($C71,'المواد الخام'!$A$5:$A$104,0)),""))</f>
        <v/>
      </c>
      <c r="H71" s="31" t="str">
        <f aca="false">IF($C71="","",IFERROR(INDEX('المواد الخام'!$G$5:$G$104,MATCH($C71,'المواد الخام'!$A$5:$A$104,0)),0))</f>
        <v/>
      </c>
      <c r="I71" s="25" t="str">
        <f aca="false">IF($C71="","",N(F71)*N(H71))</f>
        <v/>
      </c>
      <c r="J71" s="25" t="str">
        <f aca="false">IF(OR($A71="",$C71=""),"",IF(E71="لكل حبة",I71,IFERROR(I71/INDEX(المنتجات!$G$5:$G$24,MATCH($A71,المنتجات!$A$5:$A$24,0)),0)))</f>
        <v/>
      </c>
      <c r="K71" s="27" t="str">
        <f aca="false">IF(OR($A71="",$C71=""),"",N(F71)*IF(E71="لكل حبة",SUMIFS(الإنتاج!$G$5:$G$504,الإنتاج!$C$5:$C$504,$A71),SUMIFS(الإنتاج!$E$5:$E$504,الإنتاج!$C$5:$C$504,$A71)))</f>
        <v/>
      </c>
      <c r="L71" s="29"/>
    </row>
    <row r="72" customFormat="false" ht="15" hidden="false" customHeight="false" outlineLevel="0" collapsed="false">
      <c r="A72" s="29"/>
      <c r="B72" s="28" t="str">
        <f aca="false">IF($A72="","",IFERROR(INDEX(المنتجات!$C$5:$C$24,MATCH($A72,المنتجات!$A$5:$A$24,0)),"كود غير موجود"))</f>
        <v/>
      </c>
      <c r="C72" s="29"/>
      <c r="D72" s="28" t="str">
        <f aca="false">IF($C72="","",IFERROR(INDEX('المواد الخام'!$B$5:$B$104,MATCH($C72,'المواد الخام'!$A$5:$A$104,0)),"كود غير موجود"))</f>
        <v/>
      </c>
      <c r="E72" s="29"/>
      <c r="F72" s="24"/>
      <c r="G72" s="28" t="str">
        <f aca="false">IF($C72="","",IFERROR(INDEX('المواد الخام'!$D$5:$D$104,MATCH($C72,'المواد الخام'!$A$5:$A$104,0)),""))</f>
        <v/>
      </c>
      <c r="H72" s="31" t="str">
        <f aca="false">IF($C72="","",IFERROR(INDEX('المواد الخام'!$G$5:$G$104,MATCH($C72,'المواد الخام'!$A$5:$A$104,0)),0))</f>
        <v/>
      </c>
      <c r="I72" s="25" t="str">
        <f aca="false">IF($C72="","",N(F72)*N(H72))</f>
        <v/>
      </c>
      <c r="J72" s="25" t="str">
        <f aca="false">IF(OR($A72="",$C72=""),"",IF(E72="لكل حبة",I72,IFERROR(I72/INDEX(المنتجات!$G$5:$G$24,MATCH($A72,المنتجات!$A$5:$A$24,0)),0)))</f>
        <v/>
      </c>
      <c r="K72" s="27" t="str">
        <f aca="false">IF(OR($A72="",$C72=""),"",N(F72)*IF(E72="لكل حبة",SUMIFS(الإنتاج!$G$5:$G$504,الإنتاج!$C$5:$C$504,$A72),SUMIFS(الإنتاج!$E$5:$E$504,الإنتاج!$C$5:$C$504,$A72)))</f>
        <v/>
      </c>
      <c r="L72" s="29"/>
    </row>
    <row r="73" customFormat="false" ht="15" hidden="false" customHeight="false" outlineLevel="0" collapsed="false">
      <c r="A73" s="29"/>
      <c r="B73" s="28" t="str">
        <f aca="false">IF($A73="","",IFERROR(INDEX(المنتجات!$C$5:$C$24,MATCH($A73,المنتجات!$A$5:$A$24,0)),"كود غير موجود"))</f>
        <v/>
      </c>
      <c r="C73" s="29"/>
      <c r="D73" s="28" t="str">
        <f aca="false">IF($C73="","",IFERROR(INDEX('المواد الخام'!$B$5:$B$104,MATCH($C73,'المواد الخام'!$A$5:$A$104,0)),"كود غير موجود"))</f>
        <v/>
      </c>
      <c r="E73" s="29"/>
      <c r="F73" s="24"/>
      <c r="G73" s="28" t="str">
        <f aca="false">IF($C73="","",IFERROR(INDEX('المواد الخام'!$D$5:$D$104,MATCH($C73,'المواد الخام'!$A$5:$A$104,0)),""))</f>
        <v/>
      </c>
      <c r="H73" s="31" t="str">
        <f aca="false">IF($C73="","",IFERROR(INDEX('المواد الخام'!$G$5:$G$104,MATCH($C73,'المواد الخام'!$A$5:$A$104,0)),0))</f>
        <v/>
      </c>
      <c r="I73" s="25" t="str">
        <f aca="false">IF($C73="","",N(F73)*N(H73))</f>
        <v/>
      </c>
      <c r="J73" s="25" t="str">
        <f aca="false">IF(OR($A73="",$C73=""),"",IF(E73="لكل حبة",I73,IFERROR(I73/INDEX(المنتجات!$G$5:$G$24,MATCH($A73,المنتجات!$A$5:$A$24,0)),0)))</f>
        <v/>
      </c>
      <c r="K73" s="27" t="str">
        <f aca="false">IF(OR($A73="",$C73=""),"",N(F73)*IF(E73="لكل حبة",SUMIFS(الإنتاج!$G$5:$G$504,الإنتاج!$C$5:$C$504,$A73),SUMIFS(الإنتاج!$E$5:$E$504,الإنتاج!$C$5:$C$504,$A73)))</f>
        <v/>
      </c>
      <c r="L73" s="29"/>
    </row>
    <row r="74" customFormat="false" ht="15" hidden="false" customHeight="false" outlineLevel="0" collapsed="false">
      <c r="A74" s="29"/>
      <c r="B74" s="28" t="str">
        <f aca="false">IF($A74="","",IFERROR(INDEX(المنتجات!$C$5:$C$24,MATCH($A74,المنتجات!$A$5:$A$24,0)),"كود غير موجود"))</f>
        <v/>
      </c>
      <c r="C74" s="29"/>
      <c r="D74" s="28" t="str">
        <f aca="false">IF($C74="","",IFERROR(INDEX('المواد الخام'!$B$5:$B$104,MATCH($C74,'المواد الخام'!$A$5:$A$104,0)),"كود غير موجود"))</f>
        <v/>
      </c>
      <c r="E74" s="29"/>
      <c r="F74" s="24"/>
      <c r="G74" s="28" t="str">
        <f aca="false">IF($C74="","",IFERROR(INDEX('المواد الخام'!$D$5:$D$104,MATCH($C74,'المواد الخام'!$A$5:$A$104,0)),""))</f>
        <v/>
      </c>
      <c r="H74" s="31" t="str">
        <f aca="false">IF($C74="","",IFERROR(INDEX('المواد الخام'!$G$5:$G$104,MATCH($C74,'المواد الخام'!$A$5:$A$104,0)),0))</f>
        <v/>
      </c>
      <c r="I74" s="25" t="str">
        <f aca="false">IF($C74="","",N(F74)*N(H74))</f>
        <v/>
      </c>
      <c r="J74" s="25" t="str">
        <f aca="false">IF(OR($A74="",$C74=""),"",IF(E74="لكل حبة",I74,IFERROR(I74/INDEX(المنتجات!$G$5:$G$24,MATCH($A74,المنتجات!$A$5:$A$24,0)),0)))</f>
        <v/>
      </c>
      <c r="K74" s="27" t="str">
        <f aca="false">IF(OR($A74="",$C74=""),"",N(F74)*IF(E74="لكل حبة",SUMIFS(الإنتاج!$G$5:$G$504,الإنتاج!$C$5:$C$504,$A74),SUMIFS(الإنتاج!$E$5:$E$504,الإنتاج!$C$5:$C$504,$A74)))</f>
        <v/>
      </c>
      <c r="L74" s="29"/>
    </row>
    <row r="75" customFormat="false" ht="15" hidden="false" customHeight="false" outlineLevel="0" collapsed="false">
      <c r="A75" s="29"/>
      <c r="B75" s="28" t="str">
        <f aca="false">IF($A75="","",IFERROR(INDEX(المنتجات!$C$5:$C$24,MATCH($A75,المنتجات!$A$5:$A$24,0)),"كود غير موجود"))</f>
        <v/>
      </c>
      <c r="C75" s="29"/>
      <c r="D75" s="28" t="str">
        <f aca="false">IF($C75="","",IFERROR(INDEX('المواد الخام'!$B$5:$B$104,MATCH($C75,'المواد الخام'!$A$5:$A$104,0)),"كود غير موجود"))</f>
        <v/>
      </c>
      <c r="E75" s="29"/>
      <c r="F75" s="24"/>
      <c r="G75" s="28" t="str">
        <f aca="false">IF($C75="","",IFERROR(INDEX('المواد الخام'!$D$5:$D$104,MATCH($C75,'المواد الخام'!$A$5:$A$104,0)),""))</f>
        <v/>
      </c>
      <c r="H75" s="31" t="str">
        <f aca="false">IF($C75="","",IFERROR(INDEX('المواد الخام'!$G$5:$G$104,MATCH($C75,'المواد الخام'!$A$5:$A$104,0)),0))</f>
        <v/>
      </c>
      <c r="I75" s="25" t="str">
        <f aca="false">IF($C75="","",N(F75)*N(H75))</f>
        <v/>
      </c>
      <c r="J75" s="25" t="str">
        <f aca="false">IF(OR($A75="",$C75=""),"",IF(E75="لكل حبة",I75,IFERROR(I75/INDEX(المنتجات!$G$5:$G$24,MATCH($A75,المنتجات!$A$5:$A$24,0)),0)))</f>
        <v/>
      </c>
      <c r="K75" s="27" t="str">
        <f aca="false">IF(OR($A75="",$C75=""),"",N(F75)*IF(E75="لكل حبة",SUMIFS(الإنتاج!$G$5:$G$504,الإنتاج!$C$5:$C$504,$A75),SUMIFS(الإنتاج!$E$5:$E$504,الإنتاج!$C$5:$C$504,$A75)))</f>
        <v/>
      </c>
      <c r="L75" s="29"/>
    </row>
    <row r="76" customFormat="false" ht="15" hidden="false" customHeight="false" outlineLevel="0" collapsed="false">
      <c r="A76" s="29"/>
      <c r="B76" s="28" t="str">
        <f aca="false">IF($A76="","",IFERROR(INDEX(المنتجات!$C$5:$C$24,MATCH($A76,المنتجات!$A$5:$A$24,0)),"كود غير موجود"))</f>
        <v/>
      </c>
      <c r="C76" s="29"/>
      <c r="D76" s="28" t="str">
        <f aca="false">IF($C76="","",IFERROR(INDEX('المواد الخام'!$B$5:$B$104,MATCH($C76,'المواد الخام'!$A$5:$A$104,0)),"كود غير موجود"))</f>
        <v/>
      </c>
      <c r="E76" s="29"/>
      <c r="F76" s="24"/>
      <c r="G76" s="28" t="str">
        <f aca="false">IF($C76="","",IFERROR(INDEX('المواد الخام'!$D$5:$D$104,MATCH($C76,'المواد الخام'!$A$5:$A$104,0)),""))</f>
        <v/>
      </c>
      <c r="H76" s="31" t="str">
        <f aca="false">IF($C76="","",IFERROR(INDEX('المواد الخام'!$G$5:$G$104,MATCH($C76,'المواد الخام'!$A$5:$A$104,0)),0))</f>
        <v/>
      </c>
      <c r="I76" s="25" t="str">
        <f aca="false">IF($C76="","",N(F76)*N(H76))</f>
        <v/>
      </c>
      <c r="J76" s="25" t="str">
        <f aca="false">IF(OR($A76="",$C76=""),"",IF(E76="لكل حبة",I76,IFERROR(I76/INDEX(المنتجات!$G$5:$G$24,MATCH($A76,المنتجات!$A$5:$A$24,0)),0)))</f>
        <v/>
      </c>
      <c r="K76" s="27" t="str">
        <f aca="false">IF(OR($A76="",$C76=""),"",N(F76)*IF(E76="لكل حبة",SUMIFS(الإنتاج!$G$5:$G$504,الإنتاج!$C$5:$C$504,$A76),SUMIFS(الإنتاج!$E$5:$E$504,الإنتاج!$C$5:$C$504,$A76)))</f>
        <v/>
      </c>
      <c r="L76" s="29"/>
    </row>
    <row r="77" customFormat="false" ht="15" hidden="false" customHeight="false" outlineLevel="0" collapsed="false">
      <c r="A77" s="29"/>
      <c r="B77" s="28" t="str">
        <f aca="false">IF($A77="","",IFERROR(INDEX(المنتجات!$C$5:$C$24,MATCH($A77,المنتجات!$A$5:$A$24,0)),"كود غير موجود"))</f>
        <v/>
      </c>
      <c r="C77" s="29"/>
      <c r="D77" s="28" t="str">
        <f aca="false">IF($C77="","",IFERROR(INDEX('المواد الخام'!$B$5:$B$104,MATCH($C77,'المواد الخام'!$A$5:$A$104,0)),"كود غير موجود"))</f>
        <v/>
      </c>
      <c r="E77" s="29"/>
      <c r="F77" s="24"/>
      <c r="G77" s="28" t="str">
        <f aca="false">IF($C77="","",IFERROR(INDEX('المواد الخام'!$D$5:$D$104,MATCH($C77,'المواد الخام'!$A$5:$A$104,0)),""))</f>
        <v/>
      </c>
      <c r="H77" s="31" t="str">
        <f aca="false">IF($C77="","",IFERROR(INDEX('المواد الخام'!$G$5:$G$104,MATCH($C77,'المواد الخام'!$A$5:$A$104,0)),0))</f>
        <v/>
      </c>
      <c r="I77" s="25" t="str">
        <f aca="false">IF($C77="","",N(F77)*N(H77))</f>
        <v/>
      </c>
      <c r="J77" s="25" t="str">
        <f aca="false">IF(OR($A77="",$C77=""),"",IF(E77="لكل حبة",I77,IFERROR(I77/INDEX(المنتجات!$G$5:$G$24,MATCH($A77,المنتجات!$A$5:$A$24,0)),0)))</f>
        <v/>
      </c>
      <c r="K77" s="27" t="str">
        <f aca="false">IF(OR($A77="",$C77=""),"",N(F77)*IF(E77="لكل حبة",SUMIFS(الإنتاج!$G$5:$G$504,الإنتاج!$C$5:$C$504,$A77),SUMIFS(الإنتاج!$E$5:$E$504,الإنتاج!$C$5:$C$504,$A77)))</f>
        <v/>
      </c>
      <c r="L77" s="29"/>
    </row>
    <row r="78" customFormat="false" ht="15" hidden="false" customHeight="false" outlineLevel="0" collapsed="false">
      <c r="A78" s="29"/>
      <c r="B78" s="28" t="str">
        <f aca="false">IF($A78="","",IFERROR(INDEX(المنتجات!$C$5:$C$24,MATCH($A78,المنتجات!$A$5:$A$24,0)),"كود غير موجود"))</f>
        <v/>
      </c>
      <c r="C78" s="29"/>
      <c r="D78" s="28" t="str">
        <f aca="false">IF($C78="","",IFERROR(INDEX('المواد الخام'!$B$5:$B$104,MATCH($C78,'المواد الخام'!$A$5:$A$104,0)),"كود غير موجود"))</f>
        <v/>
      </c>
      <c r="E78" s="29"/>
      <c r="F78" s="24"/>
      <c r="G78" s="28" t="str">
        <f aca="false">IF($C78="","",IFERROR(INDEX('المواد الخام'!$D$5:$D$104,MATCH($C78,'المواد الخام'!$A$5:$A$104,0)),""))</f>
        <v/>
      </c>
      <c r="H78" s="31" t="str">
        <f aca="false">IF($C78="","",IFERROR(INDEX('المواد الخام'!$G$5:$G$104,MATCH($C78,'المواد الخام'!$A$5:$A$104,0)),0))</f>
        <v/>
      </c>
      <c r="I78" s="25" t="str">
        <f aca="false">IF($C78="","",N(F78)*N(H78))</f>
        <v/>
      </c>
      <c r="J78" s="25" t="str">
        <f aca="false">IF(OR($A78="",$C78=""),"",IF(E78="لكل حبة",I78,IFERROR(I78/INDEX(المنتجات!$G$5:$G$24,MATCH($A78,المنتجات!$A$5:$A$24,0)),0)))</f>
        <v/>
      </c>
      <c r="K78" s="27" t="str">
        <f aca="false">IF(OR($A78="",$C78=""),"",N(F78)*IF(E78="لكل حبة",SUMIFS(الإنتاج!$G$5:$G$504,الإنتاج!$C$5:$C$504,$A78),SUMIFS(الإنتاج!$E$5:$E$504,الإنتاج!$C$5:$C$504,$A78)))</f>
        <v/>
      </c>
      <c r="L78" s="29"/>
    </row>
    <row r="79" customFormat="false" ht="15" hidden="false" customHeight="false" outlineLevel="0" collapsed="false">
      <c r="A79" s="29"/>
      <c r="B79" s="28" t="str">
        <f aca="false">IF($A79="","",IFERROR(INDEX(المنتجات!$C$5:$C$24,MATCH($A79,المنتجات!$A$5:$A$24,0)),"كود غير موجود"))</f>
        <v/>
      </c>
      <c r="C79" s="29"/>
      <c r="D79" s="28" t="str">
        <f aca="false">IF($C79="","",IFERROR(INDEX('المواد الخام'!$B$5:$B$104,MATCH($C79,'المواد الخام'!$A$5:$A$104,0)),"كود غير موجود"))</f>
        <v/>
      </c>
      <c r="E79" s="29"/>
      <c r="F79" s="24"/>
      <c r="G79" s="28" t="str">
        <f aca="false">IF($C79="","",IFERROR(INDEX('المواد الخام'!$D$5:$D$104,MATCH($C79,'المواد الخام'!$A$5:$A$104,0)),""))</f>
        <v/>
      </c>
      <c r="H79" s="31" t="str">
        <f aca="false">IF($C79="","",IFERROR(INDEX('المواد الخام'!$G$5:$G$104,MATCH($C79,'المواد الخام'!$A$5:$A$104,0)),0))</f>
        <v/>
      </c>
      <c r="I79" s="25" t="str">
        <f aca="false">IF($C79="","",N(F79)*N(H79))</f>
        <v/>
      </c>
      <c r="J79" s="25" t="str">
        <f aca="false">IF(OR($A79="",$C79=""),"",IF(E79="لكل حبة",I79,IFERROR(I79/INDEX(المنتجات!$G$5:$G$24,MATCH($A79,المنتجات!$A$5:$A$24,0)),0)))</f>
        <v/>
      </c>
      <c r="K79" s="27" t="str">
        <f aca="false">IF(OR($A79="",$C79=""),"",N(F79)*IF(E79="لكل حبة",SUMIFS(الإنتاج!$G$5:$G$504,الإنتاج!$C$5:$C$504,$A79),SUMIFS(الإنتاج!$E$5:$E$504,الإنتاج!$C$5:$C$504,$A79)))</f>
        <v/>
      </c>
      <c r="L79" s="29"/>
    </row>
    <row r="80" customFormat="false" ht="15" hidden="false" customHeight="false" outlineLevel="0" collapsed="false">
      <c r="A80" s="29"/>
      <c r="B80" s="28" t="str">
        <f aca="false">IF($A80="","",IFERROR(INDEX(المنتجات!$C$5:$C$24,MATCH($A80,المنتجات!$A$5:$A$24,0)),"كود غير موجود"))</f>
        <v/>
      </c>
      <c r="C80" s="29"/>
      <c r="D80" s="28" t="str">
        <f aca="false">IF($C80="","",IFERROR(INDEX('المواد الخام'!$B$5:$B$104,MATCH($C80,'المواد الخام'!$A$5:$A$104,0)),"كود غير موجود"))</f>
        <v/>
      </c>
      <c r="E80" s="29"/>
      <c r="F80" s="24"/>
      <c r="G80" s="28" t="str">
        <f aca="false">IF($C80="","",IFERROR(INDEX('المواد الخام'!$D$5:$D$104,MATCH($C80,'المواد الخام'!$A$5:$A$104,0)),""))</f>
        <v/>
      </c>
      <c r="H80" s="31" t="str">
        <f aca="false">IF($C80="","",IFERROR(INDEX('المواد الخام'!$G$5:$G$104,MATCH($C80,'المواد الخام'!$A$5:$A$104,0)),0))</f>
        <v/>
      </c>
      <c r="I80" s="25" t="str">
        <f aca="false">IF($C80="","",N(F80)*N(H80))</f>
        <v/>
      </c>
      <c r="J80" s="25" t="str">
        <f aca="false">IF(OR($A80="",$C80=""),"",IF(E80="لكل حبة",I80,IFERROR(I80/INDEX(المنتجات!$G$5:$G$24,MATCH($A80,المنتجات!$A$5:$A$24,0)),0)))</f>
        <v/>
      </c>
      <c r="K80" s="27" t="str">
        <f aca="false">IF(OR($A80="",$C80=""),"",N(F80)*IF(E80="لكل حبة",SUMIFS(الإنتاج!$G$5:$G$504,الإنتاج!$C$5:$C$504,$A80),SUMIFS(الإنتاج!$E$5:$E$504,الإنتاج!$C$5:$C$504,$A80)))</f>
        <v/>
      </c>
      <c r="L80" s="29"/>
    </row>
    <row r="81" customFormat="false" ht="15" hidden="false" customHeight="false" outlineLevel="0" collapsed="false">
      <c r="A81" s="29"/>
      <c r="B81" s="28" t="str">
        <f aca="false">IF($A81="","",IFERROR(INDEX(المنتجات!$C$5:$C$24,MATCH($A81,المنتجات!$A$5:$A$24,0)),"كود غير موجود"))</f>
        <v/>
      </c>
      <c r="C81" s="29"/>
      <c r="D81" s="28" t="str">
        <f aca="false">IF($C81="","",IFERROR(INDEX('المواد الخام'!$B$5:$B$104,MATCH($C81,'المواد الخام'!$A$5:$A$104,0)),"كود غير موجود"))</f>
        <v/>
      </c>
      <c r="E81" s="29"/>
      <c r="F81" s="24"/>
      <c r="G81" s="28" t="str">
        <f aca="false">IF($C81="","",IFERROR(INDEX('المواد الخام'!$D$5:$D$104,MATCH($C81,'المواد الخام'!$A$5:$A$104,0)),""))</f>
        <v/>
      </c>
      <c r="H81" s="31" t="str">
        <f aca="false">IF($C81="","",IFERROR(INDEX('المواد الخام'!$G$5:$G$104,MATCH($C81,'المواد الخام'!$A$5:$A$104,0)),0))</f>
        <v/>
      </c>
      <c r="I81" s="25" t="str">
        <f aca="false">IF($C81="","",N(F81)*N(H81))</f>
        <v/>
      </c>
      <c r="J81" s="25" t="str">
        <f aca="false">IF(OR($A81="",$C81=""),"",IF(E81="لكل حبة",I81,IFERROR(I81/INDEX(المنتجات!$G$5:$G$24,MATCH($A81,المنتجات!$A$5:$A$24,0)),0)))</f>
        <v/>
      </c>
      <c r="K81" s="27" t="str">
        <f aca="false">IF(OR($A81="",$C81=""),"",N(F81)*IF(E81="لكل حبة",SUMIFS(الإنتاج!$G$5:$G$504,الإنتاج!$C$5:$C$504,$A81),SUMIFS(الإنتاج!$E$5:$E$504,الإنتاج!$C$5:$C$504,$A81)))</f>
        <v/>
      </c>
      <c r="L81" s="29"/>
    </row>
    <row r="82" customFormat="false" ht="15" hidden="false" customHeight="false" outlineLevel="0" collapsed="false">
      <c r="A82" s="29"/>
      <c r="B82" s="28" t="str">
        <f aca="false">IF($A82="","",IFERROR(INDEX(المنتجات!$C$5:$C$24,MATCH($A82,المنتجات!$A$5:$A$24,0)),"كود غير موجود"))</f>
        <v/>
      </c>
      <c r="C82" s="29"/>
      <c r="D82" s="28" t="str">
        <f aca="false">IF($C82="","",IFERROR(INDEX('المواد الخام'!$B$5:$B$104,MATCH($C82,'المواد الخام'!$A$5:$A$104,0)),"كود غير موجود"))</f>
        <v/>
      </c>
      <c r="E82" s="29"/>
      <c r="F82" s="24"/>
      <c r="G82" s="28" t="str">
        <f aca="false">IF($C82="","",IFERROR(INDEX('المواد الخام'!$D$5:$D$104,MATCH($C82,'المواد الخام'!$A$5:$A$104,0)),""))</f>
        <v/>
      </c>
      <c r="H82" s="31" t="str">
        <f aca="false">IF($C82="","",IFERROR(INDEX('المواد الخام'!$G$5:$G$104,MATCH($C82,'المواد الخام'!$A$5:$A$104,0)),0))</f>
        <v/>
      </c>
      <c r="I82" s="25" t="str">
        <f aca="false">IF($C82="","",N(F82)*N(H82))</f>
        <v/>
      </c>
      <c r="J82" s="25" t="str">
        <f aca="false">IF(OR($A82="",$C82=""),"",IF(E82="لكل حبة",I82,IFERROR(I82/INDEX(المنتجات!$G$5:$G$24,MATCH($A82,المنتجات!$A$5:$A$24,0)),0)))</f>
        <v/>
      </c>
      <c r="K82" s="27" t="str">
        <f aca="false">IF(OR($A82="",$C82=""),"",N(F82)*IF(E82="لكل حبة",SUMIFS(الإنتاج!$G$5:$G$504,الإنتاج!$C$5:$C$504,$A82),SUMIFS(الإنتاج!$E$5:$E$504,الإنتاج!$C$5:$C$504,$A82)))</f>
        <v/>
      </c>
      <c r="L82" s="29"/>
    </row>
    <row r="83" customFormat="false" ht="15" hidden="false" customHeight="false" outlineLevel="0" collapsed="false">
      <c r="A83" s="29"/>
      <c r="B83" s="28" t="str">
        <f aca="false">IF($A83="","",IFERROR(INDEX(المنتجات!$C$5:$C$24,MATCH($A83,المنتجات!$A$5:$A$24,0)),"كود غير موجود"))</f>
        <v/>
      </c>
      <c r="C83" s="29"/>
      <c r="D83" s="28" t="str">
        <f aca="false">IF($C83="","",IFERROR(INDEX('المواد الخام'!$B$5:$B$104,MATCH($C83,'المواد الخام'!$A$5:$A$104,0)),"كود غير موجود"))</f>
        <v/>
      </c>
      <c r="E83" s="29"/>
      <c r="F83" s="24"/>
      <c r="G83" s="28" t="str">
        <f aca="false">IF($C83="","",IFERROR(INDEX('المواد الخام'!$D$5:$D$104,MATCH($C83,'المواد الخام'!$A$5:$A$104,0)),""))</f>
        <v/>
      </c>
      <c r="H83" s="31" t="str">
        <f aca="false">IF($C83="","",IFERROR(INDEX('المواد الخام'!$G$5:$G$104,MATCH($C83,'المواد الخام'!$A$5:$A$104,0)),0))</f>
        <v/>
      </c>
      <c r="I83" s="25" t="str">
        <f aca="false">IF($C83="","",N(F83)*N(H83))</f>
        <v/>
      </c>
      <c r="J83" s="25" t="str">
        <f aca="false">IF(OR($A83="",$C83=""),"",IF(E83="لكل حبة",I83,IFERROR(I83/INDEX(المنتجات!$G$5:$G$24,MATCH($A83,المنتجات!$A$5:$A$24,0)),0)))</f>
        <v/>
      </c>
      <c r="K83" s="27" t="str">
        <f aca="false">IF(OR($A83="",$C83=""),"",N(F83)*IF(E83="لكل حبة",SUMIFS(الإنتاج!$G$5:$G$504,الإنتاج!$C$5:$C$504,$A83),SUMIFS(الإنتاج!$E$5:$E$504,الإنتاج!$C$5:$C$504,$A83)))</f>
        <v/>
      </c>
      <c r="L83" s="29"/>
    </row>
    <row r="84" customFormat="false" ht="15" hidden="false" customHeight="false" outlineLevel="0" collapsed="false">
      <c r="A84" s="29"/>
      <c r="B84" s="28" t="str">
        <f aca="false">IF($A84="","",IFERROR(INDEX(المنتجات!$C$5:$C$24,MATCH($A84,المنتجات!$A$5:$A$24,0)),"كود غير موجود"))</f>
        <v/>
      </c>
      <c r="C84" s="29"/>
      <c r="D84" s="28" t="str">
        <f aca="false">IF($C84="","",IFERROR(INDEX('المواد الخام'!$B$5:$B$104,MATCH($C84,'المواد الخام'!$A$5:$A$104,0)),"كود غير موجود"))</f>
        <v/>
      </c>
      <c r="E84" s="29"/>
      <c r="F84" s="24"/>
      <c r="G84" s="28" t="str">
        <f aca="false">IF($C84="","",IFERROR(INDEX('المواد الخام'!$D$5:$D$104,MATCH($C84,'المواد الخام'!$A$5:$A$104,0)),""))</f>
        <v/>
      </c>
      <c r="H84" s="31" t="str">
        <f aca="false">IF($C84="","",IFERROR(INDEX('المواد الخام'!$G$5:$G$104,MATCH($C84,'المواد الخام'!$A$5:$A$104,0)),0))</f>
        <v/>
      </c>
      <c r="I84" s="25" t="str">
        <f aca="false">IF($C84="","",N(F84)*N(H84))</f>
        <v/>
      </c>
      <c r="J84" s="25" t="str">
        <f aca="false">IF(OR($A84="",$C84=""),"",IF(E84="لكل حبة",I84,IFERROR(I84/INDEX(المنتجات!$G$5:$G$24,MATCH($A84,المنتجات!$A$5:$A$24,0)),0)))</f>
        <v/>
      </c>
      <c r="K84" s="27" t="str">
        <f aca="false">IF(OR($A84="",$C84=""),"",N(F84)*IF(E84="لكل حبة",SUMIFS(الإنتاج!$G$5:$G$504,الإنتاج!$C$5:$C$504,$A84),SUMIFS(الإنتاج!$E$5:$E$504,الإنتاج!$C$5:$C$504,$A84)))</f>
        <v/>
      </c>
      <c r="L84" s="29"/>
    </row>
    <row r="85" customFormat="false" ht="15" hidden="false" customHeight="false" outlineLevel="0" collapsed="false">
      <c r="A85" s="29"/>
      <c r="B85" s="28" t="str">
        <f aca="false">IF($A85="","",IFERROR(INDEX(المنتجات!$C$5:$C$24,MATCH($A85,المنتجات!$A$5:$A$24,0)),"كود غير موجود"))</f>
        <v/>
      </c>
      <c r="C85" s="29"/>
      <c r="D85" s="28" t="str">
        <f aca="false">IF($C85="","",IFERROR(INDEX('المواد الخام'!$B$5:$B$104,MATCH($C85,'المواد الخام'!$A$5:$A$104,0)),"كود غير موجود"))</f>
        <v/>
      </c>
      <c r="E85" s="29"/>
      <c r="F85" s="24"/>
      <c r="G85" s="28" t="str">
        <f aca="false">IF($C85="","",IFERROR(INDEX('المواد الخام'!$D$5:$D$104,MATCH($C85,'المواد الخام'!$A$5:$A$104,0)),""))</f>
        <v/>
      </c>
      <c r="H85" s="31" t="str">
        <f aca="false">IF($C85="","",IFERROR(INDEX('المواد الخام'!$G$5:$G$104,MATCH($C85,'المواد الخام'!$A$5:$A$104,0)),0))</f>
        <v/>
      </c>
      <c r="I85" s="25" t="str">
        <f aca="false">IF($C85="","",N(F85)*N(H85))</f>
        <v/>
      </c>
      <c r="J85" s="25" t="str">
        <f aca="false">IF(OR($A85="",$C85=""),"",IF(E85="لكل حبة",I85,IFERROR(I85/INDEX(المنتجات!$G$5:$G$24,MATCH($A85,المنتجات!$A$5:$A$24,0)),0)))</f>
        <v/>
      </c>
      <c r="K85" s="27" t="str">
        <f aca="false">IF(OR($A85="",$C85=""),"",N(F85)*IF(E85="لكل حبة",SUMIFS(الإنتاج!$G$5:$G$504,الإنتاج!$C$5:$C$504,$A85),SUMIFS(الإنتاج!$E$5:$E$504,الإنتاج!$C$5:$C$504,$A85)))</f>
        <v/>
      </c>
      <c r="L85" s="29"/>
    </row>
    <row r="86" customFormat="false" ht="15" hidden="false" customHeight="false" outlineLevel="0" collapsed="false">
      <c r="A86" s="29"/>
      <c r="B86" s="28" t="str">
        <f aca="false">IF($A86="","",IFERROR(INDEX(المنتجات!$C$5:$C$24,MATCH($A86,المنتجات!$A$5:$A$24,0)),"كود غير موجود"))</f>
        <v/>
      </c>
      <c r="C86" s="29"/>
      <c r="D86" s="28" t="str">
        <f aca="false">IF($C86="","",IFERROR(INDEX('المواد الخام'!$B$5:$B$104,MATCH($C86,'المواد الخام'!$A$5:$A$104,0)),"كود غير موجود"))</f>
        <v/>
      </c>
      <c r="E86" s="29"/>
      <c r="F86" s="24"/>
      <c r="G86" s="28" t="str">
        <f aca="false">IF($C86="","",IFERROR(INDEX('المواد الخام'!$D$5:$D$104,MATCH($C86,'المواد الخام'!$A$5:$A$104,0)),""))</f>
        <v/>
      </c>
      <c r="H86" s="31" t="str">
        <f aca="false">IF($C86="","",IFERROR(INDEX('المواد الخام'!$G$5:$G$104,MATCH($C86,'المواد الخام'!$A$5:$A$104,0)),0))</f>
        <v/>
      </c>
      <c r="I86" s="25" t="str">
        <f aca="false">IF($C86="","",N(F86)*N(H86))</f>
        <v/>
      </c>
      <c r="J86" s="25" t="str">
        <f aca="false">IF(OR($A86="",$C86=""),"",IF(E86="لكل حبة",I86,IFERROR(I86/INDEX(المنتجات!$G$5:$G$24,MATCH($A86,المنتجات!$A$5:$A$24,0)),0)))</f>
        <v/>
      </c>
      <c r="K86" s="27" t="str">
        <f aca="false">IF(OR($A86="",$C86=""),"",N(F86)*IF(E86="لكل حبة",SUMIFS(الإنتاج!$G$5:$G$504,الإنتاج!$C$5:$C$504,$A86),SUMIFS(الإنتاج!$E$5:$E$504,الإنتاج!$C$5:$C$504,$A86)))</f>
        <v/>
      </c>
      <c r="L86" s="29"/>
    </row>
    <row r="87" customFormat="false" ht="15" hidden="false" customHeight="false" outlineLevel="0" collapsed="false">
      <c r="A87" s="29"/>
      <c r="B87" s="28" t="str">
        <f aca="false">IF($A87="","",IFERROR(INDEX(المنتجات!$C$5:$C$24,MATCH($A87,المنتجات!$A$5:$A$24,0)),"كود غير موجود"))</f>
        <v/>
      </c>
      <c r="C87" s="29"/>
      <c r="D87" s="28" t="str">
        <f aca="false">IF($C87="","",IFERROR(INDEX('المواد الخام'!$B$5:$B$104,MATCH($C87,'المواد الخام'!$A$5:$A$104,0)),"كود غير موجود"))</f>
        <v/>
      </c>
      <c r="E87" s="29"/>
      <c r="F87" s="24"/>
      <c r="G87" s="28" t="str">
        <f aca="false">IF($C87="","",IFERROR(INDEX('المواد الخام'!$D$5:$D$104,MATCH($C87,'المواد الخام'!$A$5:$A$104,0)),""))</f>
        <v/>
      </c>
      <c r="H87" s="31" t="str">
        <f aca="false">IF($C87="","",IFERROR(INDEX('المواد الخام'!$G$5:$G$104,MATCH($C87,'المواد الخام'!$A$5:$A$104,0)),0))</f>
        <v/>
      </c>
      <c r="I87" s="25" t="str">
        <f aca="false">IF($C87="","",N(F87)*N(H87))</f>
        <v/>
      </c>
      <c r="J87" s="25" t="str">
        <f aca="false">IF(OR($A87="",$C87=""),"",IF(E87="لكل حبة",I87,IFERROR(I87/INDEX(المنتجات!$G$5:$G$24,MATCH($A87,المنتجات!$A$5:$A$24,0)),0)))</f>
        <v/>
      </c>
      <c r="K87" s="27" t="str">
        <f aca="false">IF(OR($A87="",$C87=""),"",N(F87)*IF(E87="لكل حبة",SUMIFS(الإنتاج!$G$5:$G$504,الإنتاج!$C$5:$C$504,$A87),SUMIFS(الإنتاج!$E$5:$E$504,الإنتاج!$C$5:$C$504,$A87)))</f>
        <v/>
      </c>
      <c r="L87" s="29"/>
    </row>
    <row r="88" customFormat="false" ht="15" hidden="false" customHeight="false" outlineLevel="0" collapsed="false">
      <c r="A88" s="29"/>
      <c r="B88" s="28" t="str">
        <f aca="false">IF($A88="","",IFERROR(INDEX(المنتجات!$C$5:$C$24,MATCH($A88,المنتجات!$A$5:$A$24,0)),"كود غير موجود"))</f>
        <v/>
      </c>
      <c r="C88" s="29"/>
      <c r="D88" s="28" t="str">
        <f aca="false">IF($C88="","",IFERROR(INDEX('المواد الخام'!$B$5:$B$104,MATCH($C88,'المواد الخام'!$A$5:$A$104,0)),"كود غير موجود"))</f>
        <v/>
      </c>
      <c r="E88" s="29"/>
      <c r="F88" s="24"/>
      <c r="G88" s="28" t="str">
        <f aca="false">IF($C88="","",IFERROR(INDEX('المواد الخام'!$D$5:$D$104,MATCH($C88,'المواد الخام'!$A$5:$A$104,0)),""))</f>
        <v/>
      </c>
      <c r="H88" s="31" t="str">
        <f aca="false">IF($C88="","",IFERROR(INDEX('المواد الخام'!$G$5:$G$104,MATCH($C88,'المواد الخام'!$A$5:$A$104,0)),0))</f>
        <v/>
      </c>
      <c r="I88" s="25" t="str">
        <f aca="false">IF($C88="","",N(F88)*N(H88))</f>
        <v/>
      </c>
      <c r="J88" s="25" t="str">
        <f aca="false">IF(OR($A88="",$C88=""),"",IF(E88="لكل حبة",I88,IFERROR(I88/INDEX(المنتجات!$G$5:$G$24,MATCH($A88,المنتجات!$A$5:$A$24,0)),0)))</f>
        <v/>
      </c>
      <c r="K88" s="27" t="str">
        <f aca="false">IF(OR($A88="",$C88=""),"",N(F88)*IF(E88="لكل حبة",SUMIFS(الإنتاج!$G$5:$G$504,الإنتاج!$C$5:$C$504,$A88),SUMIFS(الإنتاج!$E$5:$E$504,الإنتاج!$C$5:$C$504,$A88)))</f>
        <v/>
      </c>
      <c r="L88" s="29"/>
    </row>
    <row r="89" customFormat="false" ht="15" hidden="false" customHeight="false" outlineLevel="0" collapsed="false">
      <c r="A89" s="29"/>
      <c r="B89" s="28" t="str">
        <f aca="false">IF($A89="","",IFERROR(INDEX(المنتجات!$C$5:$C$24,MATCH($A89,المنتجات!$A$5:$A$24,0)),"كود غير موجود"))</f>
        <v/>
      </c>
      <c r="C89" s="29"/>
      <c r="D89" s="28" t="str">
        <f aca="false">IF($C89="","",IFERROR(INDEX('المواد الخام'!$B$5:$B$104,MATCH($C89,'المواد الخام'!$A$5:$A$104,0)),"كود غير موجود"))</f>
        <v/>
      </c>
      <c r="E89" s="29"/>
      <c r="F89" s="24"/>
      <c r="G89" s="28" t="str">
        <f aca="false">IF($C89="","",IFERROR(INDEX('المواد الخام'!$D$5:$D$104,MATCH($C89,'المواد الخام'!$A$5:$A$104,0)),""))</f>
        <v/>
      </c>
      <c r="H89" s="31" t="str">
        <f aca="false">IF($C89="","",IFERROR(INDEX('المواد الخام'!$G$5:$G$104,MATCH($C89,'المواد الخام'!$A$5:$A$104,0)),0))</f>
        <v/>
      </c>
      <c r="I89" s="25" t="str">
        <f aca="false">IF($C89="","",N(F89)*N(H89))</f>
        <v/>
      </c>
      <c r="J89" s="25" t="str">
        <f aca="false">IF(OR($A89="",$C89=""),"",IF(E89="لكل حبة",I89,IFERROR(I89/INDEX(المنتجات!$G$5:$G$24,MATCH($A89,المنتجات!$A$5:$A$24,0)),0)))</f>
        <v/>
      </c>
      <c r="K89" s="27" t="str">
        <f aca="false">IF(OR($A89="",$C89=""),"",N(F89)*IF(E89="لكل حبة",SUMIFS(الإنتاج!$G$5:$G$504,الإنتاج!$C$5:$C$504,$A89),SUMIFS(الإنتاج!$E$5:$E$504,الإنتاج!$C$5:$C$504,$A89)))</f>
        <v/>
      </c>
      <c r="L89" s="29"/>
    </row>
    <row r="90" customFormat="false" ht="15" hidden="false" customHeight="false" outlineLevel="0" collapsed="false">
      <c r="A90" s="29"/>
      <c r="B90" s="28" t="str">
        <f aca="false">IF($A90="","",IFERROR(INDEX(المنتجات!$C$5:$C$24,MATCH($A90,المنتجات!$A$5:$A$24,0)),"كود غير موجود"))</f>
        <v/>
      </c>
      <c r="C90" s="29"/>
      <c r="D90" s="28" t="str">
        <f aca="false">IF($C90="","",IFERROR(INDEX('المواد الخام'!$B$5:$B$104,MATCH($C90,'المواد الخام'!$A$5:$A$104,0)),"كود غير موجود"))</f>
        <v/>
      </c>
      <c r="E90" s="29"/>
      <c r="F90" s="24"/>
      <c r="G90" s="28" t="str">
        <f aca="false">IF($C90="","",IFERROR(INDEX('المواد الخام'!$D$5:$D$104,MATCH($C90,'المواد الخام'!$A$5:$A$104,0)),""))</f>
        <v/>
      </c>
      <c r="H90" s="31" t="str">
        <f aca="false">IF($C90="","",IFERROR(INDEX('المواد الخام'!$G$5:$G$104,MATCH($C90,'المواد الخام'!$A$5:$A$104,0)),0))</f>
        <v/>
      </c>
      <c r="I90" s="25" t="str">
        <f aca="false">IF($C90="","",N(F90)*N(H90))</f>
        <v/>
      </c>
      <c r="J90" s="25" t="str">
        <f aca="false">IF(OR($A90="",$C90=""),"",IF(E90="لكل حبة",I90,IFERROR(I90/INDEX(المنتجات!$G$5:$G$24,MATCH($A90,المنتجات!$A$5:$A$24,0)),0)))</f>
        <v/>
      </c>
      <c r="K90" s="27" t="str">
        <f aca="false">IF(OR($A90="",$C90=""),"",N(F90)*IF(E90="لكل حبة",SUMIFS(الإنتاج!$G$5:$G$504,الإنتاج!$C$5:$C$504,$A90),SUMIFS(الإنتاج!$E$5:$E$504,الإنتاج!$C$5:$C$504,$A90)))</f>
        <v/>
      </c>
      <c r="L90" s="29"/>
    </row>
    <row r="91" customFormat="false" ht="15" hidden="false" customHeight="false" outlineLevel="0" collapsed="false">
      <c r="A91" s="29"/>
      <c r="B91" s="28" t="str">
        <f aca="false">IF($A91="","",IFERROR(INDEX(المنتجات!$C$5:$C$24,MATCH($A91,المنتجات!$A$5:$A$24,0)),"كود غير موجود"))</f>
        <v/>
      </c>
      <c r="C91" s="29"/>
      <c r="D91" s="28" t="str">
        <f aca="false">IF($C91="","",IFERROR(INDEX('المواد الخام'!$B$5:$B$104,MATCH($C91,'المواد الخام'!$A$5:$A$104,0)),"كود غير موجود"))</f>
        <v/>
      </c>
      <c r="E91" s="29"/>
      <c r="F91" s="24"/>
      <c r="G91" s="28" t="str">
        <f aca="false">IF($C91="","",IFERROR(INDEX('المواد الخام'!$D$5:$D$104,MATCH($C91,'المواد الخام'!$A$5:$A$104,0)),""))</f>
        <v/>
      </c>
      <c r="H91" s="31" t="str">
        <f aca="false">IF($C91="","",IFERROR(INDEX('المواد الخام'!$G$5:$G$104,MATCH($C91,'المواد الخام'!$A$5:$A$104,0)),0))</f>
        <v/>
      </c>
      <c r="I91" s="25" t="str">
        <f aca="false">IF($C91="","",N(F91)*N(H91))</f>
        <v/>
      </c>
      <c r="J91" s="25" t="str">
        <f aca="false">IF(OR($A91="",$C91=""),"",IF(E91="لكل حبة",I91,IFERROR(I91/INDEX(المنتجات!$G$5:$G$24,MATCH($A91,المنتجات!$A$5:$A$24,0)),0)))</f>
        <v/>
      </c>
      <c r="K91" s="27" t="str">
        <f aca="false">IF(OR($A91="",$C91=""),"",N(F91)*IF(E91="لكل حبة",SUMIFS(الإنتاج!$G$5:$G$504,الإنتاج!$C$5:$C$504,$A91),SUMIFS(الإنتاج!$E$5:$E$504,الإنتاج!$C$5:$C$504,$A91)))</f>
        <v/>
      </c>
      <c r="L91" s="29"/>
    </row>
    <row r="92" customFormat="false" ht="15" hidden="false" customHeight="false" outlineLevel="0" collapsed="false">
      <c r="A92" s="29"/>
      <c r="B92" s="28" t="str">
        <f aca="false">IF($A92="","",IFERROR(INDEX(المنتجات!$C$5:$C$24,MATCH($A92,المنتجات!$A$5:$A$24,0)),"كود غير موجود"))</f>
        <v/>
      </c>
      <c r="C92" s="29"/>
      <c r="D92" s="28" t="str">
        <f aca="false">IF($C92="","",IFERROR(INDEX('المواد الخام'!$B$5:$B$104,MATCH($C92,'المواد الخام'!$A$5:$A$104,0)),"كود غير موجود"))</f>
        <v/>
      </c>
      <c r="E92" s="29"/>
      <c r="F92" s="24"/>
      <c r="G92" s="28" t="str">
        <f aca="false">IF($C92="","",IFERROR(INDEX('المواد الخام'!$D$5:$D$104,MATCH($C92,'المواد الخام'!$A$5:$A$104,0)),""))</f>
        <v/>
      </c>
      <c r="H92" s="31" t="str">
        <f aca="false">IF($C92="","",IFERROR(INDEX('المواد الخام'!$G$5:$G$104,MATCH($C92,'المواد الخام'!$A$5:$A$104,0)),0))</f>
        <v/>
      </c>
      <c r="I92" s="25" t="str">
        <f aca="false">IF($C92="","",N(F92)*N(H92))</f>
        <v/>
      </c>
      <c r="J92" s="25" t="str">
        <f aca="false">IF(OR($A92="",$C92=""),"",IF(E92="لكل حبة",I92,IFERROR(I92/INDEX(المنتجات!$G$5:$G$24,MATCH($A92,المنتجات!$A$5:$A$24,0)),0)))</f>
        <v/>
      </c>
      <c r="K92" s="27" t="str">
        <f aca="false">IF(OR($A92="",$C92=""),"",N(F92)*IF(E92="لكل حبة",SUMIFS(الإنتاج!$G$5:$G$504,الإنتاج!$C$5:$C$504,$A92),SUMIFS(الإنتاج!$E$5:$E$504,الإنتاج!$C$5:$C$504,$A92)))</f>
        <v/>
      </c>
      <c r="L92" s="29"/>
    </row>
    <row r="93" customFormat="false" ht="15" hidden="false" customHeight="false" outlineLevel="0" collapsed="false">
      <c r="A93" s="29"/>
      <c r="B93" s="28" t="str">
        <f aca="false">IF($A93="","",IFERROR(INDEX(المنتجات!$C$5:$C$24,MATCH($A93,المنتجات!$A$5:$A$24,0)),"كود غير موجود"))</f>
        <v/>
      </c>
      <c r="C93" s="29"/>
      <c r="D93" s="28" t="str">
        <f aca="false">IF($C93="","",IFERROR(INDEX('المواد الخام'!$B$5:$B$104,MATCH($C93,'المواد الخام'!$A$5:$A$104,0)),"كود غير موجود"))</f>
        <v/>
      </c>
      <c r="E93" s="29"/>
      <c r="F93" s="24"/>
      <c r="G93" s="28" t="str">
        <f aca="false">IF($C93="","",IFERROR(INDEX('المواد الخام'!$D$5:$D$104,MATCH($C93,'المواد الخام'!$A$5:$A$104,0)),""))</f>
        <v/>
      </c>
      <c r="H93" s="31" t="str">
        <f aca="false">IF($C93="","",IFERROR(INDEX('المواد الخام'!$G$5:$G$104,MATCH($C93,'المواد الخام'!$A$5:$A$104,0)),0))</f>
        <v/>
      </c>
      <c r="I93" s="25" t="str">
        <f aca="false">IF($C93="","",N(F93)*N(H93))</f>
        <v/>
      </c>
      <c r="J93" s="25" t="str">
        <f aca="false">IF(OR($A93="",$C93=""),"",IF(E93="لكل حبة",I93,IFERROR(I93/INDEX(المنتجات!$G$5:$G$24,MATCH($A93,المنتجات!$A$5:$A$24,0)),0)))</f>
        <v/>
      </c>
      <c r="K93" s="27" t="str">
        <f aca="false">IF(OR($A93="",$C93=""),"",N(F93)*IF(E93="لكل حبة",SUMIFS(الإنتاج!$G$5:$G$504,الإنتاج!$C$5:$C$504,$A93),SUMIFS(الإنتاج!$E$5:$E$504,الإنتاج!$C$5:$C$504,$A93)))</f>
        <v/>
      </c>
      <c r="L93" s="29"/>
    </row>
    <row r="94" customFormat="false" ht="15" hidden="false" customHeight="false" outlineLevel="0" collapsed="false">
      <c r="A94" s="29"/>
      <c r="B94" s="28" t="str">
        <f aca="false">IF($A94="","",IFERROR(INDEX(المنتجات!$C$5:$C$24,MATCH($A94,المنتجات!$A$5:$A$24,0)),"كود غير موجود"))</f>
        <v/>
      </c>
      <c r="C94" s="29"/>
      <c r="D94" s="28" t="str">
        <f aca="false">IF($C94="","",IFERROR(INDEX('المواد الخام'!$B$5:$B$104,MATCH($C94,'المواد الخام'!$A$5:$A$104,0)),"كود غير موجود"))</f>
        <v/>
      </c>
      <c r="E94" s="29"/>
      <c r="F94" s="24"/>
      <c r="G94" s="28" t="str">
        <f aca="false">IF($C94="","",IFERROR(INDEX('المواد الخام'!$D$5:$D$104,MATCH($C94,'المواد الخام'!$A$5:$A$104,0)),""))</f>
        <v/>
      </c>
      <c r="H94" s="31" t="str">
        <f aca="false">IF($C94="","",IFERROR(INDEX('المواد الخام'!$G$5:$G$104,MATCH($C94,'المواد الخام'!$A$5:$A$104,0)),0))</f>
        <v/>
      </c>
      <c r="I94" s="25" t="str">
        <f aca="false">IF($C94="","",N(F94)*N(H94))</f>
        <v/>
      </c>
      <c r="J94" s="25" t="str">
        <f aca="false">IF(OR($A94="",$C94=""),"",IF(E94="لكل حبة",I94,IFERROR(I94/INDEX(المنتجات!$G$5:$G$24,MATCH($A94,المنتجات!$A$5:$A$24,0)),0)))</f>
        <v/>
      </c>
      <c r="K94" s="27" t="str">
        <f aca="false">IF(OR($A94="",$C94=""),"",N(F94)*IF(E94="لكل حبة",SUMIFS(الإنتاج!$G$5:$G$504,الإنتاج!$C$5:$C$504,$A94),SUMIFS(الإنتاج!$E$5:$E$504,الإنتاج!$C$5:$C$504,$A94)))</f>
        <v/>
      </c>
      <c r="L94" s="29"/>
    </row>
    <row r="95" customFormat="false" ht="15" hidden="false" customHeight="false" outlineLevel="0" collapsed="false">
      <c r="A95" s="29"/>
      <c r="B95" s="28" t="str">
        <f aca="false">IF($A95="","",IFERROR(INDEX(المنتجات!$C$5:$C$24,MATCH($A95,المنتجات!$A$5:$A$24,0)),"كود غير موجود"))</f>
        <v/>
      </c>
      <c r="C95" s="29"/>
      <c r="D95" s="28" t="str">
        <f aca="false">IF($C95="","",IFERROR(INDEX('المواد الخام'!$B$5:$B$104,MATCH($C95,'المواد الخام'!$A$5:$A$104,0)),"كود غير موجود"))</f>
        <v/>
      </c>
      <c r="E95" s="29"/>
      <c r="F95" s="24"/>
      <c r="G95" s="28" t="str">
        <f aca="false">IF($C95="","",IFERROR(INDEX('المواد الخام'!$D$5:$D$104,MATCH($C95,'المواد الخام'!$A$5:$A$104,0)),""))</f>
        <v/>
      </c>
      <c r="H95" s="31" t="str">
        <f aca="false">IF($C95="","",IFERROR(INDEX('المواد الخام'!$G$5:$G$104,MATCH($C95,'المواد الخام'!$A$5:$A$104,0)),0))</f>
        <v/>
      </c>
      <c r="I95" s="25" t="str">
        <f aca="false">IF($C95="","",N(F95)*N(H95))</f>
        <v/>
      </c>
      <c r="J95" s="25" t="str">
        <f aca="false">IF(OR($A95="",$C95=""),"",IF(E95="لكل حبة",I95,IFERROR(I95/INDEX(المنتجات!$G$5:$G$24,MATCH($A95,المنتجات!$A$5:$A$24,0)),0)))</f>
        <v/>
      </c>
      <c r="K95" s="27" t="str">
        <f aca="false">IF(OR($A95="",$C95=""),"",N(F95)*IF(E95="لكل حبة",SUMIFS(الإنتاج!$G$5:$G$504,الإنتاج!$C$5:$C$504,$A95),SUMIFS(الإنتاج!$E$5:$E$504,الإنتاج!$C$5:$C$504,$A95)))</f>
        <v/>
      </c>
      <c r="L95" s="29"/>
    </row>
    <row r="96" customFormat="false" ht="15" hidden="false" customHeight="false" outlineLevel="0" collapsed="false">
      <c r="A96" s="29"/>
      <c r="B96" s="28" t="str">
        <f aca="false">IF($A96="","",IFERROR(INDEX(المنتجات!$C$5:$C$24,MATCH($A96,المنتجات!$A$5:$A$24,0)),"كود غير موجود"))</f>
        <v/>
      </c>
      <c r="C96" s="29"/>
      <c r="D96" s="28" t="str">
        <f aca="false">IF($C96="","",IFERROR(INDEX('المواد الخام'!$B$5:$B$104,MATCH($C96,'المواد الخام'!$A$5:$A$104,0)),"كود غير موجود"))</f>
        <v/>
      </c>
      <c r="E96" s="29"/>
      <c r="F96" s="24"/>
      <c r="G96" s="28" t="str">
        <f aca="false">IF($C96="","",IFERROR(INDEX('المواد الخام'!$D$5:$D$104,MATCH($C96,'المواد الخام'!$A$5:$A$104,0)),""))</f>
        <v/>
      </c>
      <c r="H96" s="31" t="str">
        <f aca="false">IF($C96="","",IFERROR(INDEX('المواد الخام'!$G$5:$G$104,MATCH($C96,'المواد الخام'!$A$5:$A$104,0)),0))</f>
        <v/>
      </c>
      <c r="I96" s="25" t="str">
        <f aca="false">IF($C96="","",N(F96)*N(H96))</f>
        <v/>
      </c>
      <c r="J96" s="25" t="str">
        <f aca="false">IF(OR($A96="",$C96=""),"",IF(E96="لكل حبة",I96,IFERROR(I96/INDEX(المنتجات!$G$5:$G$24,MATCH($A96,المنتجات!$A$5:$A$24,0)),0)))</f>
        <v/>
      </c>
      <c r="K96" s="27" t="str">
        <f aca="false">IF(OR($A96="",$C96=""),"",N(F96)*IF(E96="لكل حبة",SUMIFS(الإنتاج!$G$5:$G$504,الإنتاج!$C$5:$C$504,$A96),SUMIFS(الإنتاج!$E$5:$E$504,الإنتاج!$C$5:$C$504,$A96)))</f>
        <v/>
      </c>
      <c r="L96" s="29"/>
    </row>
    <row r="97" customFormat="false" ht="15" hidden="false" customHeight="false" outlineLevel="0" collapsed="false">
      <c r="A97" s="29"/>
      <c r="B97" s="28" t="str">
        <f aca="false">IF($A97="","",IFERROR(INDEX(المنتجات!$C$5:$C$24,MATCH($A97,المنتجات!$A$5:$A$24,0)),"كود غير موجود"))</f>
        <v/>
      </c>
      <c r="C97" s="29"/>
      <c r="D97" s="28" t="str">
        <f aca="false">IF($C97="","",IFERROR(INDEX('المواد الخام'!$B$5:$B$104,MATCH($C97,'المواد الخام'!$A$5:$A$104,0)),"كود غير موجود"))</f>
        <v/>
      </c>
      <c r="E97" s="29"/>
      <c r="F97" s="24"/>
      <c r="G97" s="28" t="str">
        <f aca="false">IF($C97="","",IFERROR(INDEX('المواد الخام'!$D$5:$D$104,MATCH($C97,'المواد الخام'!$A$5:$A$104,0)),""))</f>
        <v/>
      </c>
      <c r="H97" s="31" t="str">
        <f aca="false">IF($C97="","",IFERROR(INDEX('المواد الخام'!$G$5:$G$104,MATCH($C97,'المواد الخام'!$A$5:$A$104,0)),0))</f>
        <v/>
      </c>
      <c r="I97" s="25" t="str">
        <f aca="false">IF($C97="","",N(F97)*N(H97))</f>
        <v/>
      </c>
      <c r="J97" s="25" t="str">
        <f aca="false">IF(OR($A97="",$C97=""),"",IF(E97="لكل حبة",I97,IFERROR(I97/INDEX(المنتجات!$G$5:$G$24,MATCH($A97,المنتجات!$A$5:$A$24,0)),0)))</f>
        <v/>
      </c>
      <c r="K97" s="27" t="str">
        <f aca="false">IF(OR($A97="",$C97=""),"",N(F97)*IF(E97="لكل حبة",SUMIFS(الإنتاج!$G$5:$G$504,الإنتاج!$C$5:$C$504,$A97),SUMIFS(الإنتاج!$E$5:$E$504,الإنتاج!$C$5:$C$504,$A97)))</f>
        <v/>
      </c>
      <c r="L97" s="29"/>
    </row>
    <row r="98" customFormat="false" ht="15" hidden="false" customHeight="false" outlineLevel="0" collapsed="false">
      <c r="A98" s="29"/>
      <c r="B98" s="28" t="str">
        <f aca="false">IF($A98="","",IFERROR(INDEX(المنتجات!$C$5:$C$24,MATCH($A98,المنتجات!$A$5:$A$24,0)),"كود غير موجود"))</f>
        <v/>
      </c>
      <c r="C98" s="29"/>
      <c r="D98" s="28" t="str">
        <f aca="false">IF($C98="","",IFERROR(INDEX('المواد الخام'!$B$5:$B$104,MATCH($C98,'المواد الخام'!$A$5:$A$104,0)),"كود غير موجود"))</f>
        <v/>
      </c>
      <c r="E98" s="29"/>
      <c r="F98" s="24"/>
      <c r="G98" s="28" t="str">
        <f aca="false">IF($C98="","",IFERROR(INDEX('المواد الخام'!$D$5:$D$104,MATCH($C98,'المواد الخام'!$A$5:$A$104,0)),""))</f>
        <v/>
      </c>
      <c r="H98" s="31" t="str">
        <f aca="false">IF($C98="","",IFERROR(INDEX('المواد الخام'!$G$5:$G$104,MATCH($C98,'المواد الخام'!$A$5:$A$104,0)),0))</f>
        <v/>
      </c>
      <c r="I98" s="25" t="str">
        <f aca="false">IF($C98="","",N(F98)*N(H98))</f>
        <v/>
      </c>
      <c r="J98" s="25" t="str">
        <f aca="false">IF(OR($A98="",$C98=""),"",IF(E98="لكل حبة",I98,IFERROR(I98/INDEX(المنتجات!$G$5:$G$24,MATCH($A98,المنتجات!$A$5:$A$24,0)),0)))</f>
        <v/>
      </c>
      <c r="K98" s="27" t="str">
        <f aca="false">IF(OR($A98="",$C98=""),"",N(F98)*IF(E98="لكل حبة",SUMIFS(الإنتاج!$G$5:$G$504,الإنتاج!$C$5:$C$504,$A98),SUMIFS(الإنتاج!$E$5:$E$504,الإنتاج!$C$5:$C$504,$A98)))</f>
        <v/>
      </c>
      <c r="L98" s="29"/>
    </row>
    <row r="99" customFormat="false" ht="15" hidden="false" customHeight="false" outlineLevel="0" collapsed="false">
      <c r="A99" s="29"/>
      <c r="B99" s="28" t="str">
        <f aca="false">IF($A99="","",IFERROR(INDEX(المنتجات!$C$5:$C$24,MATCH($A99,المنتجات!$A$5:$A$24,0)),"كود غير موجود"))</f>
        <v/>
      </c>
      <c r="C99" s="29"/>
      <c r="D99" s="28" t="str">
        <f aca="false">IF($C99="","",IFERROR(INDEX('المواد الخام'!$B$5:$B$104,MATCH($C99,'المواد الخام'!$A$5:$A$104,0)),"كود غير موجود"))</f>
        <v/>
      </c>
      <c r="E99" s="29"/>
      <c r="F99" s="24"/>
      <c r="G99" s="28" t="str">
        <f aca="false">IF($C99="","",IFERROR(INDEX('المواد الخام'!$D$5:$D$104,MATCH($C99,'المواد الخام'!$A$5:$A$104,0)),""))</f>
        <v/>
      </c>
      <c r="H99" s="31" t="str">
        <f aca="false">IF($C99="","",IFERROR(INDEX('المواد الخام'!$G$5:$G$104,MATCH($C99,'المواد الخام'!$A$5:$A$104,0)),0))</f>
        <v/>
      </c>
      <c r="I99" s="25" t="str">
        <f aca="false">IF($C99="","",N(F99)*N(H99))</f>
        <v/>
      </c>
      <c r="J99" s="25" t="str">
        <f aca="false">IF(OR($A99="",$C99=""),"",IF(E99="لكل حبة",I99,IFERROR(I99/INDEX(المنتجات!$G$5:$G$24,MATCH($A99,المنتجات!$A$5:$A$24,0)),0)))</f>
        <v/>
      </c>
      <c r="K99" s="27" t="str">
        <f aca="false">IF(OR($A99="",$C99=""),"",N(F99)*IF(E99="لكل حبة",SUMIFS(الإنتاج!$G$5:$G$504,الإنتاج!$C$5:$C$504,$A99),SUMIFS(الإنتاج!$E$5:$E$504,الإنتاج!$C$5:$C$504,$A99)))</f>
        <v/>
      </c>
      <c r="L99" s="29"/>
    </row>
    <row r="100" customFormat="false" ht="15" hidden="false" customHeight="false" outlineLevel="0" collapsed="false">
      <c r="A100" s="29"/>
      <c r="B100" s="28" t="str">
        <f aca="false">IF($A100="","",IFERROR(INDEX(المنتجات!$C$5:$C$24,MATCH($A100,المنتجات!$A$5:$A$24,0)),"كود غير موجود"))</f>
        <v/>
      </c>
      <c r="C100" s="29"/>
      <c r="D100" s="28" t="str">
        <f aca="false">IF($C100="","",IFERROR(INDEX('المواد الخام'!$B$5:$B$104,MATCH($C100,'المواد الخام'!$A$5:$A$104,0)),"كود غير موجود"))</f>
        <v/>
      </c>
      <c r="E100" s="29"/>
      <c r="F100" s="24"/>
      <c r="G100" s="28" t="str">
        <f aca="false">IF($C100="","",IFERROR(INDEX('المواد الخام'!$D$5:$D$104,MATCH($C100,'المواد الخام'!$A$5:$A$104,0)),""))</f>
        <v/>
      </c>
      <c r="H100" s="31" t="str">
        <f aca="false">IF($C100="","",IFERROR(INDEX('المواد الخام'!$G$5:$G$104,MATCH($C100,'المواد الخام'!$A$5:$A$104,0)),0))</f>
        <v/>
      </c>
      <c r="I100" s="25" t="str">
        <f aca="false">IF($C100="","",N(F100)*N(H100))</f>
        <v/>
      </c>
      <c r="J100" s="25" t="str">
        <f aca="false">IF(OR($A100="",$C100=""),"",IF(E100="لكل حبة",I100,IFERROR(I100/INDEX(المنتجات!$G$5:$G$24,MATCH($A100,المنتجات!$A$5:$A$24,0)),0)))</f>
        <v/>
      </c>
      <c r="K100" s="27" t="str">
        <f aca="false">IF(OR($A100="",$C100=""),"",N(F100)*IF(E100="لكل حبة",SUMIFS(الإنتاج!$G$5:$G$504,الإنتاج!$C$5:$C$504,$A100),SUMIFS(الإنتاج!$E$5:$E$504,الإنتاج!$C$5:$C$504,$A100)))</f>
        <v/>
      </c>
      <c r="L100" s="29"/>
    </row>
    <row r="101" customFormat="false" ht="15" hidden="false" customHeight="false" outlineLevel="0" collapsed="false">
      <c r="A101" s="29"/>
      <c r="B101" s="28" t="str">
        <f aca="false">IF($A101="","",IFERROR(INDEX(المنتجات!$C$5:$C$24,MATCH($A101,المنتجات!$A$5:$A$24,0)),"كود غير موجود"))</f>
        <v/>
      </c>
      <c r="C101" s="29"/>
      <c r="D101" s="28" t="str">
        <f aca="false">IF($C101="","",IFERROR(INDEX('المواد الخام'!$B$5:$B$104,MATCH($C101,'المواد الخام'!$A$5:$A$104,0)),"كود غير موجود"))</f>
        <v/>
      </c>
      <c r="E101" s="29"/>
      <c r="F101" s="24"/>
      <c r="G101" s="28" t="str">
        <f aca="false">IF($C101="","",IFERROR(INDEX('المواد الخام'!$D$5:$D$104,MATCH($C101,'المواد الخام'!$A$5:$A$104,0)),""))</f>
        <v/>
      </c>
      <c r="H101" s="31" t="str">
        <f aca="false">IF($C101="","",IFERROR(INDEX('المواد الخام'!$G$5:$G$104,MATCH($C101,'المواد الخام'!$A$5:$A$104,0)),0))</f>
        <v/>
      </c>
      <c r="I101" s="25" t="str">
        <f aca="false">IF($C101="","",N(F101)*N(H101))</f>
        <v/>
      </c>
      <c r="J101" s="25" t="str">
        <f aca="false">IF(OR($A101="",$C101=""),"",IF(E101="لكل حبة",I101,IFERROR(I101/INDEX(المنتجات!$G$5:$G$24,MATCH($A101,المنتجات!$A$5:$A$24,0)),0)))</f>
        <v/>
      </c>
      <c r="K101" s="27" t="str">
        <f aca="false">IF(OR($A101="",$C101=""),"",N(F101)*IF(E101="لكل حبة",SUMIFS(الإنتاج!$G$5:$G$504,الإنتاج!$C$5:$C$504,$A101),SUMIFS(الإنتاج!$E$5:$E$504,الإنتاج!$C$5:$C$504,$A101)))</f>
        <v/>
      </c>
      <c r="L101" s="29"/>
    </row>
    <row r="102" customFormat="false" ht="15" hidden="false" customHeight="false" outlineLevel="0" collapsed="false">
      <c r="A102" s="29"/>
      <c r="B102" s="28" t="str">
        <f aca="false">IF($A102="","",IFERROR(INDEX(المنتجات!$C$5:$C$24,MATCH($A102,المنتجات!$A$5:$A$24,0)),"كود غير موجود"))</f>
        <v/>
      </c>
      <c r="C102" s="29"/>
      <c r="D102" s="28" t="str">
        <f aca="false">IF($C102="","",IFERROR(INDEX('المواد الخام'!$B$5:$B$104,MATCH($C102,'المواد الخام'!$A$5:$A$104,0)),"كود غير موجود"))</f>
        <v/>
      </c>
      <c r="E102" s="29"/>
      <c r="F102" s="24"/>
      <c r="G102" s="28" t="str">
        <f aca="false">IF($C102="","",IFERROR(INDEX('المواد الخام'!$D$5:$D$104,MATCH($C102,'المواد الخام'!$A$5:$A$104,0)),""))</f>
        <v/>
      </c>
      <c r="H102" s="31" t="str">
        <f aca="false">IF($C102="","",IFERROR(INDEX('المواد الخام'!$G$5:$G$104,MATCH($C102,'المواد الخام'!$A$5:$A$104,0)),0))</f>
        <v/>
      </c>
      <c r="I102" s="25" t="str">
        <f aca="false">IF($C102="","",N(F102)*N(H102))</f>
        <v/>
      </c>
      <c r="J102" s="25" t="str">
        <f aca="false">IF(OR($A102="",$C102=""),"",IF(E102="لكل حبة",I102,IFERROR(I102/INDEX(المنتجات!$G$5:$G$24,MATCH($A102,المنتجات!$A$5:$A$24,0)),0)))</f>
        <v/>
      </c>
      <c r="K102" s="27" t="str">
        <f aca="false">IF(OR($A102="",$C102=""),"",N(F102)*IF(E102="لكل حبة",SUMIFS(الإنتاج!$G$5:$G$504,الإنتاج!$C$5:$C$504,$A102),SUMIFS(الإنتاج!$E$5:$E$504,الإنتاج!$C$5:$C$504,$A102)))</f>
        <v/>
      </c>
      <c r="L102" s="29"/>
    </row>
    <row r="103" customFormat="false" ht="15" hidden="false" customHeight="false" outlineLevel="0" collapsed="false">
      <c r="A103" s="29"/>
      <c r="B103" s="28" t="str">
        <f aca="false">IF($A103="","",IFERROR(INDEX(المنتجات!$C$5:$C$24,MATCH($A103,المنتجات!$A$5:$A$24,0)),"كود غير موجود"))</f>
        <v/>
      </c>
      <c r="C103" s="29"/>
      <c r="D103" s="28" t="str">
        <f aca="false">IF($C103="","",IFERROR(INDEX('المواد الخام'!$B$5:$B$104,MATCH($C103,'المواد الخام'!$A$5:$A$104,0)),"كود غير موجود"))</f>
        <v/>
      </c>
      <c r="E103" s="29"/>
      <c r="F103" s="24"/>
      <c r="G103" s="28" t="str">
        <f aca="false">IF($C103="","",IFERROR(INDEX('المواد الخام'!$D$5:$D$104,MATCH($C103,'المواد الخام'!$A$5:$A$104,0)),""))</f>
        <v/>
      </c>
      <c r="H103" s="31" t="str">
        <f aca="false">IF($C103="","",IFERROR(INDEX('المواد الخام'!$G$5:$G$104,MATCH($C103,'المواد الخام'!$A$5:$A$104,0)),0))</f>
        <v/>
      </c>
      <c r="I103" s="25" t="str">
        <f aca="false">IF($C103="","",N(F103)*N(H103))</f>
        <v/>
      </c>
      <c r="J103" s="25" t="str">
        <f aca="false">IF(OR($A103="",$C103=""),"",IF(E103="لكل حبة",I103,IFERROR(I103/INDEX(المنتجات!$G$5:$G$24,MATCH($A103,المنتجات!$A$5:$A$24,0)),0)))</f>
        <v/>
      </c>
      <c r="K103" s="27" t="str">
        <f aca="false">IF(OR($A103="",$C103=""),"",N(F103)*IF(E103="لكل حبة",SUMIFS(الإنتاج!$G$5:$G$504,الإنتاج!$C$5:$C$504,$A103),SUMIFS(الإنتاج!$E$5:$E$504,الإنتاج!$C$5:$C$504,$A103)))</f>
        <v/>
      </c>
      <c r="L103" s="29"/>
    </row>
    <row r="104" customFormat="false" ht="15" hidden="false" customHeight="false" outlineLevel="0" collapsed="false">
      <c r="A104" s="29"/>
      <c r="B104" s="28" t="str">
        <f aca="false">IF($A104="","",IFERROR(INDEX(المنتجات!$C$5:$C$24,MATCH($A104,المنتجات!$A$5:$A$24,0)),"كود غير موجود"))</f>
        <v/>
      </c>
      <c r="C104" s="29"/>
      <c r="D104" s="28" t="str">
        <f aca="false">IF($C104="","",IFERROR(INDEX('المواد الخام'!$B$5:$B$104,MATCH($C104,'المواد الخام'!$A$5:$A$104,0)),"كود غير موجود"))</f>
        <v/>
      </c>
      <c r="E104" s="29"/>
      <c r="F104" s="24"/>
      <c r="G104" s="28" t="str">
        <f aca="false">IF($C104="","",IFERROR(INDEX('المواد الخام'!$D$5:$D$104,MATCH($C104,'المواد الخام'!$A$5:$A$104,0)),""))</f>
        <v/>
      </c>
      <c r="H104" s="31" t="str">
        <f aca="false">IF($C104="","",IFERROR(INDEX('المواد الخام'!$G$5:$G$104,MATCH($C104,'المواد الخام'!$A$5:$A$104,0)),0))</f>
        <v/>
      </c>
      <c r="I104" s="25" t="str">
        <f aca="false">IF($C104="","",N(F104)*N(H104))</f>
        <v/>
      </c>
      <c r="J104" s="25" t="str">
        <f aca="false">IF(OR($A104="",$C104=""),"",IF(E104="لكل حبة",I104,IFERROR(I104/INDEX(المنتجات!$G$5:$G$24,MATCH($A104,المنتجات!$A$5:$A$24,0)),0)))</f>
        <v/>
      </c>
      <c r="K104" s="27" t="str">
        <f aca="false">IF(OR($A104="",$C104=""),"",N(F104)*IF(E104="لكل حبة",SUMIFS(الإنتاج!$G$5:$G$504,الإنتاج!$C$5:$C$504,$A104),SUMIFS(الإنتاج!$E$5:$E$504,الإنتاج!$C$5:$C$504,$A104)))</f>
        <v/>
      </c>
      <c r="L104" s="29"/>
    </row>
    <row r="105" customFormat="false" ht="15" hidden="false" customHeight="false" outlineLevel="0" collapsed="false">
      <c r="A105" s="29"/>
      <c r="B105" s="28" t="str">
        <f aca="false">IF($A105="","",IFERROR(INDEX(المنتجات!$C$5:$C$24,MATCH($A105,المنتجات!$A$5:$A$24,0)),"كود غير موجود"))</f>
        <v/>
      </c>
      <c r="C105" s="29"/>
      <c r="D105" s="28" t="str">
        <f aca="false">IF($C105="","",IFERROR(INDEX('المواد الخام'!$B$5:$B$104,MATCH($C105,'المواد الخام'!$A$5:$A$104,0)),"كود غير موجود"))</f>
        <v/>
      </c>
      <c r="E105" s="29"/>
      <c r="F105" s="24"/>
      <c r="G105" s="28" t="str">
        <f aca="false">IF($C105="","",IFERROR(INDEX('المواد الخام'!$D$5:$D$104,MATCH($C105,'المواد الخام'!$A$5:$A$104,0)),""))</f>
        <v/>
      </c>
      <c r="H105" s="31" t="str">
        <f aca="false">IF($C105="","",IFERROR(INDEX('المواد الخام'!$G$5:$G$104,MATCH($C105,'المواد الخام'!$A$5:$A$104,0)),0))</f>
        <v/>
      </c>
      <c r="I105" s="25" t="str">
        <f aca="false">IF($C105="","",N(F105)*N(H105))</f>
        <v/>
      </c>
      <c r="J105" s="25" t="str">
        <f aca="false">IF(OR($A105="",$C105=""),"",IF(E105="لكل حبة",I105,IFERROR(I105/INDEX(المنتجات!$G$5:$G$24,MATCH($A105,المنتجات!$A$5:$A$24,0)),0)))</f>
        <v/>
      </c>
      <c r="K105" s="27" t="str">
        <f aca="false">IF(OR($A105="",$C105=""),"",N(F105)*IF(E105="لكل حبة",SUMIFS(الإنتاج!$G$5:$G$504,الإنتاج!$C$5:$C$504,$A105),SUMIFS(الإنتاج!$E$5:$E$504,الإنتاج!$C$5:$C$504,$A105)))</f>
        <v/>
      </c>
      <c r="L105" s="29"/>
    </row>
    <row r="106" customFormat="false" ht="15" hidden="false" customHeight="false" outlineLevel="0" collapsed="false">
      <c r="A106" s="29"/>
      <c r="B106" s="28" t="str">
        <f aca="false">IF($A106="","",IFERROR(INDEX(المنتجات!$C$5:$C$24,MATCH($A106,المنتجات!$A$5:$A$24,0)),"كود غير موجود"))</f>
        <v/>
      </c>
      <c r="C106" s="29"/>
      <c r="D106" s="28" t="str">
        <f aca="false">IF($C106="","",IFERROR(INDEX('المواد الخام'!$B$5:$B$104,MATCH($C106,'المواد الخام'!$A$5:$A$104,0)),"كود غير موجود"))</f>
        <v/>
      </c>
      <c r="E106" s="29"/>
      <c r="F106" s="24"/>
      <c r="G106" s="28" t="str">
        <f aca="false">IF($C106="","",IFERROR(INDEX('المواد الخام'!$D$5:$D$104,MATCH($C106,'المواد الخام'!$A$5:$A$104,0)),""))</f>
        <v/>
      </c>
      <c r="H106" s="31" t="str">
        <f aca="false">IF($C106="","",IFERROR(INDEX('المواد الخام'!$G$5:$G$104,MATCH($C106,'المواد الخام'!$A$5:$A$104,0)),0))</f>
        <v/>
      </c>
      <c r="I106" s="25" t="str">
        <f aca="false">IF($C106="","",N(F106)*N(H106))</f>
        <v/>
      </c>
      <c r="J106" s="25" t="str">
        <f aca="false">IF(OR($A106="",$C106=""),"",IF(E106="لكل حبة",I106,IFERROR(I106/INDEX(المنتجات!$G$5:$G$24,MATCH($A106,المنتجات!$A$5:$A$24,0)),0)))</f>
        <v/>
      </c>
      <c r="K106" s="27" t="str">
        <f aca="false">IF(OR($A106="",$C106=""),"",N(F106)*IF(E106="لكل حبة",SUMIFS(الإنتاج!$G$5:$G$504,الإنتاج!$C$5:$C$504,$A106),SUMIFS(الإنتاج!$E$5:$E$504,الإنتاج!$C$5:$C$504,$A106)))</f>
        <v/>
      </c>
      <c r="L106" s="29"/>
    </row>
    <row r="107" customFormat="false" ht="15" hidden="false" customHeight="false" outlineLevel="0" collapsed="false">
      <c r="A107" s="29"/>
      <c r="B107" s="28" t="str">
        <f aca="false">IF($A107="","",IFERROR(INDEX(المنتجات!$C$5:$C$24,MATCH($A107,المنتجات!$A$5:$A$24,0)),"كود غير موجود"))</f>
        <v/>
      </c>
      <c r="C107" s="29"/>
      <c r="D107" s="28" t="str">
        <f aca="false">IF($C107="","",IFERROR(INDEX('المواد الخام'!$B$5:$B$104,MATCH($C107,'المواد الخام'!$A$5:$A$104,0)),"كود غير موجود"))</f>
        <v/>
      </c>
      <c r="E107" s="29"/>
      <c r="F107" s="24"/>
      <c r="G107" s="28" t="str">
        <f aca="false">IF($C107="","",IFERROR(INDEX('المواد الخام'!$D$5:$D$104,MATCH($C107,'المواد الخام'!$A$5:$A$104,0)),""))</f>
        <v/>
      </c>
      <c r="H107" s="31" t="str">
        <f aca="false">IF($C107="","",IFERROR(INDEX('المواد الخام'!$G$5:$G$104,MATCH($C107,'المواد الخام'!$A$5:$A$104,0)),0))</f>
        <v/>
      </c>
      <c r="I107" s="25" t="str">
        <f aca="false">IF($C107="","",N(F107)*N(H107))</f>
        <v/>
      </c>
      <c r="J107" s="25" t="str">
        <f aca="false">IF(OR($A107="",$C107=""),"",IF(E107="لكل حبة",I107,IFERROR(I107/INDEX(المنتجات!$G$5:$G$24,MATCH($A107,المنتجات!$A$5:$A$24,0)),0)))</f>
        <v/>
      </c>
      <c r="K107" s="27" t="str">
        <f aca="false">IF(OR($A107="",$C107=""),"",N(F107)*IF(E107="لكل حبة",SUMIFS(الإنتاج!$G$5:$G$504,الإنتاج!$C$5:$C$504,$A107),SUMIFS(الإنتاج!$E$5:$E$504,الإنتاج!$C$5:$C$504,$A107)))</f>
        <v/>
      </c>
      <c r="L107" s="29"/>
    </row>
    <row r="108" customFormat="false" ht="15" hidden="false" customHeight="false" outlineLevel="0" collapsed="false">
      <c r="A108" s="29"/>
      <c r="B108" s="28" t="str">
        <f aca="false">IF($A108="","",IFERROR(INDEX(المنتجات!$C$5:$C$24,MATCH($A108,المنتجات!$A$5:$A$24,0)),"كود غير موجود"))</f>
        <v/>
      </c>
      <c r="C108" s="29"/>
      <c r="D108" s="28" t="str">
        <f aca="false">IF($C108="","",IFERROR(INDEX('المواد الخام'!$B$5:$B$104,MATCH($C108,'المواد الخام'!$A$5:$A$104,0)),"كود غير موجود"))</f>
        <v/>
      </c>
      <c r="E108" s="29"/>
      <c r="F108" s="24"/>
      <c r="G108" s="28" t="str">
        <f aca="false">IF($C108="","",IFERROR(INDEX('المواد الخام'!$D$5:$D$104,MATCH($C108,'المواد الخام'!$A$5:$A$104,0)),""))</f>
        <v/>
      </c>
      <c r="H108" s="31" t="str">
        <f aca="false">IF($C108="","",IFERROR(INDEX('المواد الخام'!$G$5:$G$104,MATCH($C108,'المواد الخام'!$A$5:$A$104,0)),0))</f>
        <v/>
      </c>
      <c r="I108" s="25" t="str">
        <f aca="false">IF($C108="","",N(F108)*N(H108))</f>
        <v/>
      </c>
      <c r="J108" s="25" t="str">
        <f aca="false">IF(OR($A108="",$C108=""),"",IF(E108="لكل حبة",I108,IFERROR(I108/INDEX(المنتجات!$G$5:$G$24,MATCH($A108,المنتجات!$A$5:$A$24,0)),0)))</f>
        <v/>
      </c>
      <c r="K108" s="27" t="str">
        <f aca="false">IF(OR($A108="",$C108=""),"",N(F108)*IF(E108="لكل حبة",SUMIFS(الإنتاج!$G$5:$G$504,الإنتاج!$C$5:$C$504,$A108),SUMIFS(الإنتاج!$E$5:$E$504,الإنتاج!$C$5:$C$504,$A108)))</f>
        <v/>
      </c>
      <c r="L108" s="29"/>
    </row>
    <row r="109" customFormat="false" ht="15" hidden="false" customHeight="false" outlineLevel="0" collapsed="false">
      <c r="A109" s="29"/>
      <c r="B109" s="28" t="str">
        <f aca="false">IF($A109="","",IFERROR(INDEX(المنتجات!$C$5:$C$24,MATCH($A109,المنتجات!$A$5:$A$24,0)),"كود غير موجود"))</f>
        <v/>
      </c>
      <c r="C109" s="29"/>
      <c r="D109" s="28" t="str">
        <f aca="false">IF($C109="","",IFERROR(INDEX('المواد الخام'!$B$5:$B$104,MATCH($C109,'المواد الخام'!$A$5:$A$104,0)),"كود غير موجود"))</f>
        <v/>
      </c>
      <c r="E109" s="29"/>
      <c r="F109" s="24"/>
      <c r="G109" s="28" t="str">
        <f aca="false">IF($C109="","",IFERROR(INDEX('المواد الخام'!$D$5:$D$104,MATCH($C109,'المواد الخام'!$A$5:$A$104,0)),""))</f>
        <v/>
      </c>
      <c r="H109" s="31" t="str">
        <f aca="false">IF($C109="","",IFERROR(INDEX('المواد الخام'!$G$5:$G$104,MATCH($C109,'المواد الخام'!$A$5:$A$104,0)),0))</f>
        <v/>
      </c>
      <c r="I109" s="25" t="str">
        <f aca="false">IF($C109="","",N(F109)*N(H109))</f>
        <v/>
      </c>
      <c r="J109" s="25" t="str">
        <f aca="false">IF(OR($A109="",$C109=""),"",IF(E109="لكل حبة",I109,IFERROR(I109/INDEX(المنتجات!$G$5:$G$24,MATCH($A109,المنتجات!$A$5:$A$24,0)),0)))</f>
        <v/>
      </c>
      <c r="K109" s="27" t="str">
        <f aca="false">IF(OR($A109="",$C109=""),"",N(F109)*IF(E109="لكل حبة",SUMIFS(الإنتاج!$G$5:$G$504,الإنتاج!$C$5:$C$504,$A109),SUMIFS(الإنتاج!$E$5:$E$504,الإنتاج!$C$5:$C$504,$A109)))</f>
        <v/>
      </c>
      <c r="L109" s="29"/>
    </row>
    <row r="110" customFormat="false" ht="15" hidden="false" customHeight="false" outlineLevel="0" collapsed="false">
      <c r="A110" s="29"/>
      <c r="B110" s="28" t="str">
        <f aca="false">IF($A110="","",IFERROR(INDEX(المنتجات!$C$5:$C$24,MATCH($A110,المنتجات!$A$5:$A$24,0)),"كود غير موجود"))</f>
        <v/>
      </c>
      <c r="C110" s="29"/>
      <c r="D110" s="28" t="str">
        <f aca="false">IF($C110="","",IFERROR(INDEX('المواد الخام'!$B$5:$B$104,MATCH($C110,'المواد الخام'!$A$5:$A$104,0)),"كود غير موجود"))</f>
        <v/>
      </c>
      <c r="E110" s="29"/>
      <c r="F110" s="24"/>
      <c r="G110" s="28" t="str">
        <f aca="false">IF($C110="","",IFERROR(INDEX('المواد الخام'!$D$5:$D$104,MATCH($C110,'المواد الخام'!$A$5:$A$104,0)),""))</f>
        <v/>
      </c>
      <c r="H110" s="31" t="str">
        <f aca="false">IF($C110="","",IFERROR(INDEX('المواد الخام'!$G$5:$G$104,MATCH($C110,'المواد الخام'!$A$5:$A$104,0)),0))</f>
        <v/>
      </c>
      <c r="I110" s="25" t="str">
        <f aca="false">IF($C110="","",N(F110)*N(H110))</f>
        <v/>
      </c>
      <c r="J110" s="25" t="str">
        <f aca="false">IF(OR($A110="",$C110=""),"",IF(E110="لكل حبة",I110,IFERROR(I110/INDEX(المنتجات!$G$5:$G$24,MATCH($A110,المنتجات!$A$5:$A$24,0)),0)))</f>
        <v/>
      </c>
      <c r="K110" s="27" t="str">
        <f aca="false">IF(OR($A110="",$C110=""),"",N(F110)*IF(E110="لكل حبة",SUMIFS(الإنتاج!$G$5:$G$504,الإنتاج!$C$5:$C$504,$A110),SUMIFS(الإنتاج!$E$5:$E$504,الإنتاج!$C$5:$C$504,$A110)))</f>
        <v/>
      </c>
      <c r="L110" s="29"/>
    </row>
    <row r="111" customFormat="false" ht="15" hidden="false" customHeight="false" outlineLevel="0" collapsed="false">
      <c r="A111" s="29"/>
      <c r="B111" s="28" t="str">
        <f aca="false">IF($A111="","",IFERROR(INDEX(المنتجات!$C$5:$C$24,MATCH($A111,المنتجات!$A$5:$A$24,0)),"كود غير موجود"))</f>
        <v/>
      </c>
      <c r="C111" s="29"/>
      <c r="D111" s="28" t="str">
        <f aca="false">IF($C111="","",IFERROR(INDEX('المواد الخام'!$B$5:$B$104,MATCH($C111,'المواد الخام'!$A$5:$A$104,0)),"كود غير موجود"))</f>
        <v/>
      </c>
      <c r="E111" s="29"/>
      <c r="F111" s="24"/>
      <c r="G111" s="28" t="str">
        <f aca="false">IF($C111="","",IFERROR(INDEX('المواد الخام'!$D$5:$D$104,MATCH($C111,'المواد الخام'!$A$5:$A$104,0)),""))</f>
        <v/>
      </c>
      <c r="H111" s="31" t="str">
        <f aca="false">IF($C111="","",IFERROR(INDEX('المواد الخام'!$G$5:$G$104,MATCH($C111,'المواد الخام'!$A$5:$A$104,0)),0))</f>
        <v/>
      </c>
      <c r="I111" s="25" t="str">
        <f aca="false">IF($C111="","",N(F111)*N(H111))</f>
        <v/>
      </c>
      <c r="J111" s="25" t="str">
        <f aca="false">IF(OR($A111="",$C111=""),"",IF(E111="لكل حبة",I111,IFERROR(I111/INDEX(المنتجات!$G$5:$G$24,MATCH($A111,المنتجات!$A$5:$A$24,0)),0)))</f>
        <v/>
      </c>
      <c r="K111" s="27" t="str">
        <f aca="false">IF(OR($A111="",$C111=""),"",N(F111)*IF(E111="لكل حبة",SUMIFS(الإنتاج!$G$5:$G$504,الإنتاج!$C$5:$C$504,$A111),SUMIFS(الإنتاج!$E$5:$E$504,الإنتاج!$C$5:$C$504,$A111)))</f>
        <v/>
      </c>
      <c r="L111" s="29"/>
    </row>
    <row r="112" customFormat="false" ht="15" hidden="false" customHeight="false" outlineLevel="0" collapsed="false">
      <c r="A112" s="29"/>
      <c r="B112" s="28" t="str">
        <f aca="false">IF($A112="","",IFERROR(INDEX(المنتجات!$C$5:$C$24,MATCH($A112,المنتجات!$A$5:$A$24,0)),"كود غير موجود"))</f>
        <v/>
      </c>
      <c r="C112" s="29"/>
      <c r="D112" s="28" t="str">
        <f aca="false">IF($C112="","",IFERROR(INDEX('المواد الخام'!$B$5:$B$104,MATCH($C112,'المواد الخام'!$A$5:$A$104,0)),"كود غير موجود"))</f>
        <v/>
      </c>
      <c r="E112" s="29"/>
      <c r="F112" s="24"/>
      <c r="G112" s="28" t="str">
        <f aca="false">IF($C112="","",IFERROR(INDEX('المواد الخام'!$D$5:$D$104,MATCH($C112,'المواد الخام'!$A$5:$A$104,0)),""))</f>
        <v/>
      </c>
      <c r="H112" s="31" t="str">
        <f aca="false">IF($C112="","",IFERROR(INDEX('المواد الخام'!$G$5:$G$104,MATCH($C112,'المواد الخام'!$A$5:$A$104,0)),0))</f>
        <v/>
      </c>
      <c r="I112" s="25" t="str">
        <f aca="false">IF($C112="","",N(F112)*N(H112))</f>
        <v/>
      </c>
      <c r="J112" s="25" t="str">
        <f aca="false">IF(OR($A112="",$C112=""),"",IF(E112="لكل حبة",I112,IFERROR(I112/INDEX(المنتجات!$G$5:$G$24,MATCH($A112,المنتجات!$A$5:$A$24,0)),0)))</f>
        <v/>
      </c>
      <c r="K112" s="27" t="str">
        <f aca="false">IF(OR($A112="",$C112=""),"",N(F112)*IF(E112="لكل حبة",SUMIFS(الإنتاج!$G$5:$G$504,الإنتاج!$C$5:$C$504,$A112),SUMIFS(الإنتاج!$E$5:$E$504,الإنتاج!$C$5:$C$504,$A112)))</f>
        <v/>
      </c>
      <c r="L112" s="29"/>
    </row>
    <row r="113" customFormat="false" ht="15" hidden="false" customHeight="false" outlineLevel="0" collapsed="false">
      <c r="A113" s="29"/>
      <c r="B113" s="28" t="str">
        <f aca="false">IF($A113="","",IFERROR(INDEX(المنتجات!$C$5:$C$24,MATCH($A113,المنتجات!$A$5:$A$24,0)),"كود غير موجود"))</f>
        <v/>
      </c>
      <c r="C113" s="29"/>
      <c r="D113" s="28" t="str">
        <f aca="false">IF($C113="","",IFERROR(INDEX('المواد الخام'!$B$5:$B$104,MATCH($C113,'المواد الخام'!$A$5:$A$104,0)),"كود غير موجود"))</f>
        <v/>
      </c>
      <c r="E113" s="29"/>
      <c r="F113" s="24"/>
      <c r="G113" s="28" t="str">
        <f aca="false">IF($C113="","",IFERROR(INDEX('المواد الخام'!$D$5:$D$104,MATCH($C113,'المواد الخام'!$A$5:$A$104,0)),""))</f>
        <v/>
      </c>
      <c r="H113" s="31" t="str">
        <f aca="false">IF($C113="","",IFERROR(INDEX('المواد الخام'!$G$5:$G$104,MATCH($C113,'المواد الخام'!$A$5:$A$104,0)),0))</f>
        <v/>
      </c>
      <c r="I113" s="25" t="str">
        <f aca="false">IF($C113="","",N(F113)*N(H113))</f>
        <v/>
      </c>
      <c r="J113" s="25" t="str">
        <f aca="false">IF(OR($A113="",$C113=""),"",IF(E113="لكل حبة",I113,IFERROR(I113/INDEX(المنتجات!$G$5:$G$24,MATCH($A113,المنتجات!$A$5:$A$24,0)),0)))</f>
        <v/>
      </c>
      <c r="K113" s="27" t="str">
        <f aca="false">IF(OR($A113="",$C113=""),"",N(F113)*IF(E113="لكل حبة",SUMIFS(الإنتاج!$G$5:$G$504,الإنتاج!$C$5:$C$504,$A113),SUMIFS(الإنتاج!$E$5:$E$504,الإنتاج!$C$5:$C$504,$A113)))</f>
        <v/>
      </c>
      <c r="L113" s="29"/>
    </row>
    <row r="114" customFormat="false" ht="15" hidden="false" customHeight="false" outlineLevel="0" collapsed="false">
      <c r="A114" s="29"/>
      <c r="B114" s="28" t="str">
        <f aca="false">IF($A114="","",IFERROR(INDEX(المنتجات!$C$5:$C$24,MATCH($A114,المنتجات!$A$5:$A$24,0)),"كود غير موجود"))</f>
        <v/>
      </c>
      <c r="C114" s="29"/>
      <c r="D114" s="28" t="str">
        <f aca="false">IF($C114="","",IFERROR(INDEX('المواد الخام'!$B$5:$B$104,MATCH($C114,'المواد الخام'!$A$5:$A$104,0)),"كود غير موجود"))</f>
        <v/>
      </c>
      <c r="E114" s="29"/>
      <c r="F114" s="24"/>
      <c r="G114" s="28" t="str">
        <f aca="false">IF($C114="","",IFERROR(INDEX('المواد الخام'!$D$5:$D$104,MATCH($C114,'المواد الخام'!$A$5:$A$104,0)),""))</f>
        <v/>
      </c>
      <c r="H114" s="31" t="str">
        <f aca="false">IF($C114="","",IFERROR(INDEX('المواد الخام'!$G$5:$G$104,MATCH($C114,'المواد الخام'!$A$5:$A$104,0)),0))</f>
        <v/>
      </c>
      <c r="I114" s="25" t="str">
        <f aca="false">IF($C114="","",N(F114)*N(H114))</f>
        <v/>
      </c>
      <c r="J114" s="25" t="str">
        <f aca="false">IF(OR($A114="",$C114=""),"",IF(E114="لكل حبة",I114,IFERROR(I114/INDEX(المنتجات!$G$5:$G$24,MATCH($A114,المنتجات!$A$5:$A$24,0)),0)))</f>
        <v/>
      </c>
      <c r="K114" s="27" t="str">
        <f aca="false">IF(OR($A114="",$C114=""),"",N(F114)*IF(E114="لكل حبة",SUMIFS(الإنتاج!$G$5:$G$504,الإنتاج!$C$5:$C$504,$A114),SUMIFS(الإنتاج!$E$5:$E$504,الإنتاج!$C$5:$C$504,$A114)))</f>
        <v/>
      </c>
      <c r="L114" s="29"/>
    </row>
    <row r="115" customFormat="false" ht="15" hidden="false" customHeight="false" outlineLevel="0" collapsed="false">
      <c r="A115" s="29"/>
      <c r="B115" s="28" t="str">
        <f aca="false">IF($A115="","",IFERROR(INDEX(المنتجات!$C$5:$C$24,MATCH($A115,المنتجات!$A$5:$A$24,0)),"كود غير موجود"))</f>
        <v/>
      </c>
      <c r="C115" s="29"/>
      <c r="D115" s="28" t="str">
        <f aca="false">IF($C115="","",IFERROR(INDEX('المواد الخام'!$B$5:$B$104,MATCH($C115,'المواد الخام'!$A$5:$A$104,0)),"كود غير موجود"))</f>
        <v/>
      </c>
      <c r="E115" s="29"/>
      <c r="F115" s="24"/>
      <c r="G115" s="28" t="str">
        <f aca="false">IF($C115="","",IFERROR(INDEX('المواد الخام'!$D$5:$D$104,MATCH($C115,'المواد الخام'!$A$5:$A$104,0)),""))</f>
        <v/>
      </c>
      <c r="H115" s="31" t="str">
        <f aca="false">IF($C115="","",IFERROR(INDEX('المواد الخام'!$G$5:$G$104,MATCH($C115,'المواد الخام'!$A$5:$A$104,0)),0))</f>
        <v/>
      </c>
      <c r="I115" s="25" t="str">
        <f aca="false">IF($C115="","",N(F115)*N(H115))</f>
        <v/>
      </c>
      <c r="J115" s="25" t="str">
        <f aca="false">IF(OR($A115="",$C115=""),"",IF(E115="لكل حبة",I115,IFERROR(I115/INDEX(المنتجات!$G$5:$G$24,MATCH($A115,المنتجات!$A$5:$A$24,0)),0)))</f>
        <v/>
      </c>
      <c r="K115" s="27" t="str">
        <f aca="false">IF(OR($A115="",$C115=""),"",N(F115)*IF(E115="لكل حبة",SUMIFS(الإنتاج!$G$5:$G$504,الإنتاج!$C$5:$C$504,$A115),SUMIFS(الإنتاج!$E$5:$E$504,الإنتاج!$C$5:$C$504,$A115)))</f>
        <v/>
      </c>
      <c r="L115" s="29"/>
    </row>
    <row r="116" customFormat="false" ht="15" hidden="false" customHeight="false" outlineLevel="0" collapsed="false">
      <c r="A116" s="29"/>
      <c r="B116" s="28" t="str">
        <f aca="false">IF($A116="","",IFERROR(INDEX(المنتجات!$C$5:$C$24,MATCH($A116,المنتجات!$A$5:$A$24,0)),"كود غير موجود"))</f>
        <v/>
      </c>
      <c r="C116" s="29"/>
      <c r="D116" s="28" t="str">
        <f aca="false">IF($C116="","",IFERROR(INDEX('المواد الخام'!$B$5:$B$104,MATCH($C116,'المواد الخام'!$A$5:$A$104,0)),"كود غير موجود"))</f>
        <v/>
      </c>
      <c r="E116" s="29"/>
      <c r="F116" s="24"/>
      <c r="G116" s="28" t="str">
        <f aca="false">IF($C116="","",IFERROR(INDEX('المواد الخام'!$D$5:$D$104,MATCH($C116,'المواد الخام'!$A$5:$A$104,0)),""))</f>
        <v/>
      </c>
      <c r="H116" s="31" t="str">
        <f aca="false">IF($C116="","",IFERROR(INDEX('المواد الخام'!$G$5:$G$104,MATCH($C116,'المواد الخام'!$A$5:$A$104,0)),0))</f>
        <v/>
      </c>
      <c r="I116" s="25" t="str">
        <f aca="false">IF($C116="","",N(F116)*N(H116))</f>
        <v/>
      </c>
      <c r="J116" s="25" t="str">
        <f aca="false">IF(OR($A116="",$C116=""),"",IF(E116="لكل حبة",I116,IFERROR(I116/INDEX(المنتجات!$G$5:$G$24,MATCH($A116,المنتجات!$A$5:$A$24,0)),0)))</f>
        <v/>
      </c>
      <c r="K116" s="27" t="str">
        <f aca="false">IF(OR($A116="",$C116=""),"",N(F116)*IF(E116="لكل حبة",SUMIFS(الإنتاج!$G$5:$G$504,الإنتاج!$C$5:$C$504,$A116),SUMIFS(الإنتاج!$E$5:$E$504,الإنتاج!$C$5:$C$504,$A116)))</f>
        <v/>
      </c>
      <c r="L116" s="29"/>
    </row>
    <row r="117" customFormat="false" ht="15" hidden="false" customHeight="false" outlineLevel="0" collapsed="false">
      <c r="A117" s="29"/>
      <c r="B117" s="28" t="str">
        <f aca="false">IF($A117="","",IFERROR(INDEX(المنتجات!$C$5:$C$24,MATCH($A117,المنتجات!$A$5:$A$24,0)),"كود غير موجود"))</f>
        <v/>
      </c>
      <c r="C117" s="29"/>
      <c r="D117" s="28" t="str">
        <f aca="false">IF($C117="","",IFERROR(INDEX('المواد الخام'!$B$5:$B$104,MATCH($C117,'المواد الخام'!$A$5:$A$104,0)),"كود غير موجود"))</f>
        <v/>
      </c>
      <c r="E117" s="29"/>
      <c r="F117" s="24"/>
      <c r="G117" s="28" t="str">
        <f aca="false">IF($C117="","",IFERROR(INDEX('المواد الخام'!$D$5:$D$104,MATCH($C117,'المواد الخام'!$A$5:$A$104,0)),""))</f>
        <v/>
      </c>
      <c r="H117" s="31" t="str">
        <f aca="false">IF($C117="","",IFERROR(INDEX('المواد الخام'!$G$5:$G$104,MATCH($C117,'المواد الخام'!$A$5:$A$104,0)),0))</f>
        <v/>
      </c>
      <c r="I117" s="25" t="str">
        <f aca="false">IF($C117="","",N(F117)*N(H117))</f>
        <v/>
      </c>
      <c r="J117" s="25" t="str">
        <f aca="false">IF(OR($A117="",$C117=""),"",IF(E117="لكل حبة",I117,IFERROR(I117/INDEX(المنتجات!$G$5:$G$24,MATCH($A117,المنتجات!$A$5:$A$24,0)),0)))</f>
        <v/>
      </c>
      <c r="K117" s="27" t="str">
        <f aca="false">IF(OR($A117="",$C117=""),"",N(F117)*IF(E117="لكل حبة",SUMIFS(الإنتاج!$G$5:$G$504,الإنتاج!$C$5:$C$504,$A117),SUMIFS(الإنتاج!$E$5:$E$504,الإنتاج!$C$5:$C$504,$A117)))</f>
        <v/>
      </c>
      <c r="L117" s="29"/>
    </row>
    <row r="118" customFormat="false" ht="15" hidden="false" customHeight="false" outlineLevel="0" collapsed="false">
      <c r="A118" s="29"/>
      <c r="B118" s="28" t="str">
        <f aca="false">IF($A118="","",IFERROR(INDEX(المنتجات!$C$5:$C$24,MATCH($A118,المنتجات!$A$5:$A$24,0)),"كود غير موجود"))</f>
        <v/>
      </c>
      <c r="C118" s="29"/>
      <c r="D118" s="28" t="str">
        <f aca="false">IF($C118="","",IFERROR(INDEX('المواد الخام'!$B$5:$B$104,MATCH($C118,'المواد الخام'!$A$5:$A$104,0)),"كود غير موجود"))</f>
        <v/>
      </c>
      <c r="E118" s="29"/>
      <c r="F118" s="24"/>
      <c r="G118" s="28" t="str">
        <f aca="false">IF($C118="","",IFERROR(INDEX('المواد الخام'!$D$5:$D$104,MATCH($C118,'المواد الخام'!$A$5:$A$104,0)),""))</f>
        <v/>
      </c>
      <c r="H118" s="31" t="str">
        <f aca="false">IF($C118="","",IFERROR(INDEX('المواد الخام'!$G$5:$G$104,MATCH($C118,'المواد الخام'!$A$5:$A$104,0)),0))</f>
        <v/>
      </c>
      <c r="I118" s="25" t="str">
        <f aca="false">IF($C118="","",N(F118)*N(H118))</f>
        <v/>
      </c>
      <c r="J118" s="25" t="str">
        <f aca="false">IF(OR($A118="",$C118=""),"",IF(E118="لكل حبة",I118,IFERROR(I118/INDEX(المنتجات!$G$5:$G$24,MATCH($A118,المنتجات!$A$5:$A$24,0)),0)))</f>
        <v/>
      </c>
      <c r="K118" s="27" t="str">
        <f aca="false">IF(OR($A118="",$C118=""),"",N(F118)*IF(E118="لكل حبة",SUMIFS(الإنتاج!$G$5:$G$504,الإنتاج!$C$5:$C$504,$A118),SUMIFS(الإنتاج!$E$5:$E$504,الإنتاج!$C$5:$C$504,$A118)))</f>
        <v/>
      </c>
      <c r="L118" s="29"/>
    </row>
    <row r="119" customFormat="false" ht="15" hidden="false" customHeight="false" outlineLevel="0" collapsed="false">
      <c r="A119" s="29"/>
      <c r="B119" s="28" t="str">
        <f aca="false">IF($A119="","",IFERROR(INDEX(المنتجات!$C$5:$C$24,MATCH($A119,المنتجات!$A$5:$A$24,0)),"كود غير موجود"))</f>
        <v/>
      </c>
      <c r="C119" s="29"/>
      <c r="D119" s="28" t="str">
        <f aca="false">IF($C119="","",IFERROR(INDEX('المواد الخام'!$B$5:$B$104,MATCH($C119,'المواد الخام'!$A$5:$A$104,0)),"كود غير موجود"))</f>
        <v/>
      </c>
      <c r="E119" s="29"/>
      <c r="F119" s="24"/>
      <c r="G119" s="28" t="str">
        <f aca="false">IF($C119="","",IFERROR(INDEX('المواد الخام'!$D$5:$D$104,MATCH($C119,'المواد الخام'!$A$5:$A$104,0)),""))</f>
        <v/>
      </c>
      <c r="H119" s="31" t="str">
        <f aca="false">IF($C119="","",IFERROR(INDEX('المواد الخام'!$G$5:$G$104,MATCH($C119,'المواد الخام'!$A$5:$A$104,0)),0))</f>
        <v/>
      </c>
      <c r="I119" s="25" t="str">
        <f aca="false">IF($C119="","",N(F119)*N(H119))</f>
        <v/>
      </c>
      <c r="J119" s="25" t="str">
        <f aca="false">IF(OR($A119="",$C119=""),"",IF(E119="لكل حبة",I119,IFERROR(I119/INDEX(المنتجات!$G$5:$G$24,MATCH($A119,المنتجات!$A$5:$A$24,0)),0)))</f>
        <v/>
      </c>
      <c r="K119" s="27" t="str">
        <f aca="false">IF(OR($A119="",$C119=""),"",N(F119)*IF(E119="لكل حبة",SUMIFS(الإنتاج!$G$5:$G$504,الإنتاج!$C$5:$C$504,$A119),SUMIFS(الإنتاج!$E$5:$E$504,الإنتاج!$C$5:$C$504,$A119)))</f>
        <v/>
      </c>
      <c r="L119" s="29"/>
    </row>
    <row r="120" customFormat="false" ht="15" hidden="false" customHeight="false" outlineLevel="0" collapsed="false">
      <c r="A120" s="29"/>
      <c r="B120" s="28" t="str">
        <f aca="false">IF($A120="","",IFERROR(INDEX(المنتجات!$C$5:$C$24,MATCH($A120,المنتجات!$A$5:$A$24,0)),"كود غير موجود"))</f>
        <v/>
      </c>
      <c r="C120" s="29"/>
      <c r="D120" s="28" t="str">
        <f aca="false">IF($C120="","",IFERROR(INDEX('المواد الخام'!$B$5:$B$104,MATCH($C120,'المواد الخام'!$A$5:$A$104,0)),"كود غير موجود"))</f>
        <v/>
      </c>
      <c r="E120" s="29"/>
      <c r="F120" s="24"/>
      <c r="G120" s="28" t="str">
        <f aca="false">IF($C120="","",IFERROR(INDEX('المواد الخام'!$D$5:$D$104,MATCH($C120,'المواد الخام'!$A$5:$A$104,0)),""))</f>
        <v/>
      </c>
      <c r="H120" s="31" t="str">
        <f aca="false">IF($C120="","",IFERROR(INDEX('المواد الخام'!$G$5:$G$104,MATCH($C120,'المواد الخام'!$A$5:$A$104,0)),0))</f>
        <v/>
      </c>
      <c r="I120" s="25" t="str">
        <f aca="false">IF($C120="","",N(F120)*N(H120))</f>
        <v/>
      </c>
      <c r="J120" s="25" t="str">
        <f aca="false">IF(OR($A120="",$C120=""),"",IF(E120="لكل حبة",I120,IFERROR(I120/INDEX(المنتجات!$G$5:$G$24,MATCH($A120,المنتجات!$A$5:$A$24,0)),0)))</f>
        <v/>
      </c>
      <c r="K120" s="27" t="str">
        <f aca="false">IF(OR($A120="",$C120=""),"",N(F120)*IF(E120="لكل حبة",SUMIFS(الإنتاج!$G$5:$G$504,الإنتاج!$C$5:$C$504,$A120),SUMIFS(الإنتاج!$E$5:$E$504,الإنتاج!$C$5:$C$504,$A120)))</f>
        <v/>
      </c>
      <c r="L120" s="29"/>
    </row>
    <row r="121" customFormat="false" ht="15" hidden="false" customHeight="false" outlineLevel="0" collapsed="false">
      <c r="A121" s="29"/>
      <c r="B121" s="28" t="str">
        <f aca="false">IF($A121="","",IFERROR(INDEX(المنتجات!$C$5:$C$24,MATCH($A121,المنتجات!$A$5:$A$24,0)),"كود غير موجود"))</f>
        <v/>
      </c>
      <c r="C121" s="29"/>
      <c r="D121" s="28" t="str">
        <f aca="false">IF($C121="","",IFERROR(INDEX('المواد الخام'!$B$5:$B$104,MATCH($C121,'المواد الخام'!$A$5:$A$104,0)),"كود غير موجود"))</f>
        <v/>
      </c>
      <c r="E121" s="29"/>
      <c r="F121" s="24"/>
      <c r="G121" s="28" t="str">
        <f aca="false">IF($C121="","",IFERROR(INDEX('المواد الخام'!$D$5:$D$104,MATCH($C121,'المواد الخام'!$A$5:$A$104,0)),""))</f>
        <v/>
      </c>
      <c r="H121" s="31" t="str">
        <f aca="false">IF($C121="","",IFERROR(INDEX('المواد الخام'!$G$5:$G$104,MATCH($C121,'المواد الخام'!$A$5:$A$104,0)),0))</f>
        <v/>
      </c>
      <c r="I121" s="25" t="str">
        <f aca="false">IF($C121="","",N(F121)*N(H121))</f>
        <v/>
      </c>
      <c r="J121" s="25" t="str">
        <f aca="false">IF(OR($A121="",$C121=""),"",IF(E121="لكل حبة",I121,IFERROR(I121/INDEX(المنتجات!$G$5:$G$24,MATCH($A121,المنتجات!$A$5:$A$24,0)),0)))</f>
        <v/>
      </c>
      <c r="K121" s="27" t="str">
        <f aca="false">IF(OR($A121="",$C121=""),"",N(F121)*IF(E121="لكل حبة",SUMIFS(الإنتاج!$G$5:$G$504,الإنتاج!$C$5:$C$504,$A121),SUMIFS(الإنتاج!$E$5:$E$504,الإنتاج!$C$5:$C$504,$A121)))</f>
        <v/>
      </c>
      <c r="L121" s="29"/>
    </row>
    <row r="122" customFormat="false" ht="15" hidden="false" customHeight="false" outlineLevel="0" collapsed="false">
      <c r="A122" s="29"/>
      <c r="B122" s="28" t="str">
        <f aca="false">IF($A122="","",IFERROR(INDEX(المنتجات!$C$5:$C$24,MATCH($A122,المنتجات!$A$5:$A$24,0)),"كود غير موجود"))</f>
        <v/>
      </c>
      <c r="C122" s="29"/>
      <c r="D122" s="28" t="str">
        <f aca="false">IF($C122="","",IFERROR(INDEX('المواد الخام'!$B$5:$B$104,MATCH($C122,'المواد الخام'!$A$5:$A$104,0)),"كود غير موجود"))</f>
        <v/>
      </c>
      <c r="E122" s="29"/>
      <c r="F122" s="24"/>
      <c r="G122" s="28" t="str">
        <f aca="false">IF($C122="","",IFERROR(INDEX('المواد الخام'!$D$5:$D$104,MATCH($C122,'المواد الخام'!$A$5:$A$104,0)),""))</f>
        <v/>
      </c>
      <c r="H122" s="31" t="str">
        <f aca="false">IF($C122="","",IFERROR(INDEX('المواد الخام'!$G$5:$G$104,MATCH($C122,'المواد الخام'!$A$5:$A$104,0)),0))</f>
        <v/>
      </c>
      <c r="I122" s="25" t="str">
        <f aca="false">IF($C122="","",N(F122)*N(H122))</f>
        <v/>
      </c>
      <c r="J122" s="25" t="str">
        <f aca="false">IF(OR($A122="",$C122=""),"",IF(E122="لكل حبة",I122,IFERROR(I122/INDEX(المنتجات!$G$5:$G$24,MATCH($A122,المنتجات!$A$5:$A$24,0)),0)))</f>
        <v/>
      </c>
      <c r="K122" s="27" t="str">
        <f aca="false">IF(OR($A122="",$C122=""),"",N(F122)*IF(E122="لكل حبة",SUMIFS(الإنتاج!$G$5:$G$504,الإنتاج!$C$5:$C$504,$A122),SUMIFS(الإنتاج!$E$5:$E$504,الإنتاج!$C$5:$C$504,$A122)))</f>
        <v/>
      </c>
      <c r="L122" s="29"/>
    </row>
    <row r="123" customFormat="false" ht="15" hidden="false" customHeight="false" outlineLevel="0" collapsed="false">
      <c r="A123" s="29"/>
      <c r="B123" s="28" t="str">
        <f aca="false">IF($A123="","",IFERROR(INDEX(المنتجات!$C$5:$C$24,MATCH($A123,المنتجات!$A$5:$A$24,0)),"كود غير موجود"))</f>
        <v/>
      </c>
      <c r="C123" s="29"/>
      <c r="D123" s="28" t="str">
        <f aca="false">IF($C123="","",IFERROR(INDEX('المواد الخام'!$B$5:$B$104,MATCH($C123,'المواد الخام'!$A$5:$A$104,0)),"كود غير موجود"))</f>
        <v/>
      </c>
      <c r="E123" s="29"/>
      <c r="F123" s="24"/>
      <c r="G123" s="28" t="str">
        <f aca="false">IF($C123="","",IFERROR(INDEX('المواد الخام'!$D$5:$D$104,MATCH($C123,'المواد الخام'!$A$5:$A$104,0)),""))</f>
        <v/>
      </c>
      <c r="H123" s="31" t="str">
        <f aca="false">IF($C123="","",IFERROR(INDEX('المواد الخام'!$G$5:$G$104,MATCH($C123,'المواد الخام'!$A$5:$A$104,0)),0))</f>
        <v/>
      </c>
      <c r="I123" s="25" t="str">
        <f aca="false">IF($C123="","",N(F123)*N(H123))</f>
        <v/>
      </c>
      <c r="J123" s="25" t="str">
        <f aca="false">IF(OR($A123="",$C123=""),"",IF(E123="لكل حبة",I123,IFERROR(I123/INDEX(المنتجات!$G$5:$G$24,MATCH($A123,المنتجات!$A$5:$A$24,0)),0)))</f>
        <v/>
      </c>
      <c r="K123" s="27" t="str">
        <f aca="false">IF(OR($A123="",$C123=""),"",N(F123)*IF(E123="لكل حبة",SUMIFS(الإنتاج!$G$5:$G$504,الإنتاج!$C$5:$C$504,$A123),SUMIFS(الإنتاج!$E$5:$E$504,الإنتاج!$C$5:$C$504,$A123)))</f>
        <v/>
      </c>
      <c r="L123" s="29"/>
    </row>
    <row r="124" customFormat="false" ht="15" hidden="false" customHeight="false" outlineLevel="0" collapsed="false">
      <c r="A124" s="29"/>
      <c r="B124" s="28" t="str">
        <f aca="false">IF($A124="","",IFERROR(INDEX(المنتجات!$C$5:$C$24,MATCH($A124,المنتجات!$A$5:$A$24,0)),"كود غير موجود"))</f>
        <v/>
      </c>
      <c r="C124" s="29"/>
      <c r="D124" s="28" t="str">
        <f aca="false">IF($C124="","",IFERROR(INDEX('المواد الخام'!$B$5:$B$104,MATCH($C124,'المواد الخام'!$A$5:$A$104,0)),"كود غير موجود"))</f>
        <v/>
      </c>
      <c r="E124" s="29"/>
      <c r="F124" s="24"/>
      <c r="G124" s="28" t="str">
        <f aca="false">IF($C124="","",IFERROR(INDEX('المواد الخام'!$D$5:$D$104,MATCH($C124,'المواد الخام'!$A$5:$A$104,0)),""))</f>
        <v/>
      </c>
      <c r="H124" s="31" t="str">
        <f aca="false">IF($C124="","",IFERROR(INDEX('المواد الخام'!$G$5:$G$104,MATCH($C124,'المواد الخام'!$A$5:$A$104,0)),0))</f>
        <v/>
      </c>
      <c r="I124" s="25" t="str">
        <f aca="false">IF($C124="","",N(F124)*N(H124))</f>
        <v/>
      </c>
      <c r="J124" s="25" t="str">
        <f aca="false">IF(OR($A124="",$C124=""),"",IF(E124="لكل حبة",I124,IFERROR(I124/INDEX(المنتجات!$G$5:$G$24,MATCH($A124,المنتجات!$A$5:$A$24,0)),0)))</f>
        <v/>
      </c>
      <c r="K124" s="27" t="str">
        <f aca="false">IF(OR($A124="",$C124=""),"",N(F124)*IF(E124="لكل حبة",SUMIFS(الإنتاج!$G$5:$G$504,الإنتاج!$C$5:$C$504,$A124),SUMIFS(الإنتاج!$E$5:$E$504,الإنتاج!$C$5:$C$504,$A124)))</f>
        <v/>
      </c>
      <c r="L124" s="29"/>
    </row>
    <row r="125" customFormat="false" ht="15" hidden="false" customHeight="false" outlineLevel="0" collapsed="false">
      <c r="A125" s="29"/>
      <c r="B125" s="28" t="str">
        <f aca="false">IF($A125="","",IFERROR(INDEX(المنتجات!$C$5:$C$24,MATCH($A125,المنتجات!$A$5:$A$24,0)),"كود غير موجود"))</f>
        <v/>
      </c>
      <c r="C125" s="29"/>
      <c r="D125" s="28" t="str">
        <f aca="false">IF($C125="","",IFERROR(INDEX('المواد الخام'!$B$5:$B$104,MATCH($C125,'المواد الخام'!$A$5:$A$104,0)),"كود غير موجود"))</f>
        <v/>
      </c>
      <c r="E125" s="29"/>
      <c r="F125" s="24"/>
      <c r="G125" s="28" t="str">
        <f aca="false">IF($C125="","",IFERROR(INDEX('المواد الخام'!$D$5:$D$104,MATCH($C125,'المواد الخام'!$A$5:$A$104,0)),""))</f>
        <v/>
      </c>
      <c r="H125" s="31" t="str">
        <f aca="false">IF($C125="","",IFERROR(INDEX('المواد الخام'!$G$5:$G$104,MATCH($C125,'المواد الخام'!$A$5:$A$104,0)),0))</f>
        <v/>
      </c>
      <c r="I125" s="25" t="str">
        <f aca="false">IF($C125="","",N(F125)*N(H125))</f>
        <v/>
      </c>
      <c r="J125" s="25" t="str">
        <f aca="false">IF(OR($A125="",$C125=""),"",IF(E125="لكل حبة",I125,IFERROR(I125/INDEX(المنتجات!$G$5:$G$24,MATCH($A125,المنتجات!$A$5:$A$24,0)),0)))</f>
        <v/>
      </c>
      <c r="K125" s="27" t="str">
        <f aca="false">IF(OR($A125="",$C125=""),"",N(F125)*IF(E125="لكل حبة",SUMIFS(الإنتاج!$G$5:$G$504,الإنتاج!$C$5:$C$504,$A125),SUMIFS(الإنتاج!$E$5:$E$504,الإنتاج!$C$5:$C$504,$A125)))</f>
        <v/>
      </c>
      <c r="L125" s="29"/>
    </row>
    <row r="126" customFormat="false" ht="15" hidden="false" customHeight="false" outlineLevel="0" collapsed="false">
      <c r="A126" s="29"/>
      <c r="B126" s="28" t="str">
        <f aca="false">IF($A126="","",IFERROR(INDEX(المنتجات!$C$5:$C$24,MATCH($A126,المنتجات!$A$5:$A$24,0)),"كود غير موجود"))</f>
        <v/>
      </c>
      <c r="C126" s="29"/>
      <c r="D126" s="28" t="str">
        <f aca="false">IF($C126="","",IFERROR(INDEX('المواد الخام'!$B$5:$B$104,MATCH($C126,'المواد الخام'!$A$5:$A$104,0)),"كود غير موجود"))</f>
        <v/>
      </c>
      <c r="E126" s="29"/>
      <c r="F126" s="24"/>
      <c r="G126" s="28" t="str">
        <f aca="false">IF($C126="","",IFERROR(INDEX('المواد الخام'!$D$5:$D$104,MATCH($C126,'المواد الخام'!$A$5:$A$104,0)),""))</f>
        <v/>
      </c>
      <c r="H126" s="31" t="str">
        <f aca="false">IF($C126="","",IFERROR(INDEX('المواد الخام'!$G$5:$G$104,MATCH($C126,'المواد الخام'!$A$5:$A$104,0)),0))</f>
        <v/>
      </c>
      <c r="I126" s="25" t="str">
        <f aca="false">IF($C126="","",N(F126)*N(H126))</f>
        <v/>
      </c>
      <c r="J126" s="25" t="str">
        <f aca="false">IF(OR($A126="",$C126=""),"",IF(E126="لكل حبة",I126,IFERROR(I126/INDEX(المنتجات!$G$5:$G$24,MATCH($A126,المنتجات!$A$5:$A$24,0)),0)))</f>
        <v/>
      </c>
      <c r="K126" s="27" t="str">
        <f aca="false">IF(OR($A126="",$C126=""),"",N(F126)*IF(E126="لكل حبة",SUMIFS(الإنتاج!$G$5:$G$504,الإنتاج!$C$5:$C$504,$A126),SUMIFS(الإنتاج!$E$5:$E$504,الإنتاج!$C$5:$C$504,$A126)))</f>
        <v/>
      </c>
      <c r="L126" s="29"/>
    </row>
    <row r="127" customFormat="false" ht="15" hidden="false" customHeight="false" outlineLevel="0" collapsed="false">
      <c r="A127" s="29"/>
      <c r="B127" s="28" t="str">
        <f aca="false">IF($A127="","",IFERROR(INDEX(المنتجات!$C$5:$C$24,MATCH($A127,المنتجات!$A$5:$A$24,0)),"كود غير موجود"))</f>
        <v/>
      </c>
      <c r="C127" s="29"/>
      <c r="D127" s="28" t="str">
        <f aca="false">IF($C127="","",IFERROR(INDEX('المواد الخام'!$B$5:$B$104,MATCH($C127,'المواد الخام'!$A$5:$A$104,0)),"كود غير موجود"))</f>
        <v/>
      </c>
      <c r="E127" s="29"/>
      <c r="F127" s="24"/>
      <c r="G127" s="28" t="str">
        <f aca="false">IF($C127="","",IFERROR(INDEX('المواد الخام'!$D$5:$D$104,MATCH($C127,'المواد الخام'!$A$5:$A$104,0)),""))</f>
        <v/>
      </c>
      <c r="H127" s="31" t="str">
        <f aca="false">IF($C127="","",IFERROR(INDEX('المواد الخام'!$G$5:$G$104,MATCH($C127,'المواد الخام'!$A$5:$A$104,0)),0))</f>
        <v/>
      </c>
      <c r="I127" s="25" t="str">
        <f aca="false">IF($C127="","",N(F127)*N(H127))</f>
        <v/>
      </c>
      <c r="J127" s="25" t="str">
        <f aca="false">IF(OR($A127="",$C127=""),"",IF(E127="لكل حبة",I127,IFERROR(I127/INDEX(المنتجات!$G$5:$G$24,MATCH($A127,المنتجات!$A$5:$A$24,0)),0)))</f>
        <v/>
      </c>
      <c r="K127" s="27" t="str">
        <f aca="false">IF(OR($A127="",$C127=""),"",N(F127)*IF(E127="لكل حبة",SUMIFS(الإنتاج!$G$5:$G$504,الإنتاج!$C$5:$C$504,$A127),SUMIFS(الإنتاج!$E$5:$E$504,الإنتاج!$C$5:$C$504,$A127)))</f>
        <v/>
      </c>
      <c r="L127" s="29"/>
    </row>
    <row r="128" customFormat="false" ht="15" hidden="false" customHeight="false" outlineLevel="0" collapsed="false">
      <c r="A128" s="29"/>
      <c r="B128" s="28" t="str">
        <f aca="false">IF($A128="","",IFERROR(INDEX(المنتجات!$C$5:$C$24,MATCH($A128,المنتجات!$A$5:$A$24,0)),"كود غير موجود"))</f>
        <v/>
      </c>
      <c r="C128" s="29"/>
      <c r="D128" s="28" t="str">
        <f aca="false">IF($C128="","",IFERROR(INDEX('المواد الخام'!$B$5:$B$104,MATCH($C128,'المواد الخام'!$A$5:$A$104,0)),"كود غير موجود"))</f>
        <v/>
      </c>
      <c r="E128" s="29"/>
      <c r="F128" s="24"/>
      <c r="G128" s="28" t="str">
        <f aca="false">IF($C128="","",IFERROR(INDEX('المواد الخام'!$D$5:$D$104,MATCH($C128,'المواد الخام'!$A$5:$A$104,0)),""))</f>
        <v/>
      </c>
      <c r="H128" s="31" t="str">
        <f aca="false">IF($C128="","",IFERROR(INDEX('المواد الخام'!$G$5:$G$104,MATCH($C128,'المواد الخام'!$A$5:$A$104,0)),0))</f>
        <v/>
      </c>
      <c r="I128" s="25" t="str">
        <f aca="false">IF($C128="","",N(F128)*N(H128))</f>
        <v/>
      </c>
      <c r="J128" s="25" t="str">
        <f aca="false">IF(OR($A128="",$C128=""),"",IF(E128="لكل حبة",I128,IFERROR(I128/INDEX(المنتجات!$G$5:$G$24,MATCH($A128,المنتجات!$A$5:$A$24,0)),0)))</f>
        <v/>
      </c>
      <c r="K128" s="27" t="str">
        <f aca="false">IF(OR($A128="",$C128=""),"",N(F128)*IF(E128="لكل حبة",SUMIFS(الإنتاج!$G$5:$G$504,الإنتاج!$C$5:$C$504,$A128),SUMIFS(الإنتاج!$E$5:$E$504,الإنتاج!$C$5:$C$504,$A128)))</f>
        <v/>
      </c>
      <c r="L128" s="29"/>
    </row>
    <row r="129" customFormat="false" ht="15" hidden="false" customHeight="false" outlineLevel="0" collapsed="false">
      <c r="A129" s="29"/>
      <c r="B129" s="28" t="str">
        <f aca="false">IF($A129="","",IFERROR(INDEX(المنتجات!$C$5:$C$24,MATCH($A129,المنتجات!$A$5:$A$24,0)),"كود غير موجود"))</f>
        <v/>
      </c>
      <c r="C129" s="29"/>
      <c r="D129" s="28" t="str">
        <f aca="false">IF($C129="","",IFERROR(INDEX('المواد الخام'!$B$5:$B$104,MATCH($C129,'المواد الخام'!$A$5:$A$104,0)),"كود غير موجود"))</f>
        <v/>
      </c>
      <c r="E129" s="29"/>
      <c r="F129" s="24"/>
      <c r="G129" s="28" t="str">
        <f aca="false">IF($C129="","",IFERROR(INDEX('المواد الخام'!$D$5:$D$104,MATCH($C129,'المواد الخام'!$A$5:$A$104,0)),""))</f>
        <v/>
      </c>
      <c r="H129" s="31" t="str">
        <f aca="false">IF($C129="","",IFERROR(INDEX('المواد الخام'!$G$5:$G$104,MATCH($C129,'المواد الخام'!$A$5:$A$104,0)),0))</f>
        <v/>
      </c>
      <c r="I129" s="25" t="str">
        <f aca="false">IF($C129="","",N(F129)*N(H129))</f>
        <v/>
      </c>
      <c r="J129" s="25" t="str">
        <f aca="false">IF(OR($A129="",$C129=""),"",IF(E129="لكل حبة",I129,IFERROR(I129/INDEX(المنتجات!$G$5:$G$24,MATCH($A129,المنتجات!$A$5:$A$24,0)),0)))</f>
        <v/>
      </c>
      <c r="K129" s="27" t="str">
        <f aca="false">IF(OR($A129="",$C129=""),"",N(F129)*IF(E129="لكل حبة",SUMIFS(الإنتاج!$G$5:$G$504,الإنتاج!$C$5:$C$504,$A129),SUMIFS(الإنتاج!$E$5:$E$504,الإنتاج!$C$5:$C$504,$A129)))</f>
        <v/>
      </c>
      <c r="L129" s="29"/>
    </row>
    <row r="130" customFormat="false" ht="15" hidden="false" customHeight="false" outlineLevel="0" collapsed="false">
      <c r="A130" s="29"/>
      <c r="B130" s="28" t="str">
        <f aca="false">IF($A130="","",IFERROR(INDEX(المنتجات!$C$5:$C$24,MATCH($A130,المنتجات!$A$5:$A$24,0)),"كود غير موجود"))</f>
        <v/>
      </c>
      <c r="C130" s="29"/>
      <c r="D130" s="28" t="str">
        <f aca="false">IF($C130="","",IFERROR(INDEX('المواد الخام'!$B$5:$B$104,MATCH($C130,'المواد الخام'!$A$5:$A$104,0)),"كود غير موجود"))</f>
        <v/>
      </c>
      <c r="E130" s="29"/>
      <c r="F130" s="24"/>
      <c r="G130" s="28" t="str">
        <f aca="false">IF($C130="","",IFERROR(INDEX('المواد الخام'!$D$5:$D$104,MATCH($C130,'المواد الخام'!$A$5:$A$104,0)),""))</f>
        <v/>
      </c>
      <c r="H130" s="31" t="str">
        <f aca="false">IF($C130="","",IFERROR(INDEX('المواد الخام'!$G$5:$G$104,MATCH($C130,'المواد الخام'!$A$5:$A$104,0)),0))</f>
        <v/>
      </c>
      <c r="I130" s="25" t="str">
        <f aca="false">IF($C130="","",N(F130)*N(H130))</f>
        <v/>
      </c>
      <c r="J130" s="25" t="str">
        <f aca="false">IF(OR($A130="",$C130=""),"",IF(E130="لكل حبة",I130,IFERROR(I130/INDEX(المنتجات!$G$5:$G$24,MATCH($A130,المنتجات!$A$5:$A$24,0)),0)))</f>
        <v/>
      </c>
      <c r="K130" s="27" t="str">
        <f aca="false">IF(OR($A130="",$C130=""),"",N(F130)*IF(E130="لكل حبة",SUMIFS(الإنتاج!$G$5:$G$504,الإنتاج!$C$5:$C$504,$A130),SUMIFS(الإنتاج!$E$5:$E$504,الإنتاج!$C$5:$C$504,$A130)))</f>
        <v/>
      </c>
      <c r="L130" s="29"/>
    </row>
    <row r="131" customFormat="false" ht="15" hidden="false" customHeight="false" outlineLevel="0" collapsed="false">
      <c r="A131" s="29"/>
      <c r="B131" s="28" t="str">
        <f aca="false">IF($A131="","",IFERROR(INDEX(المنتجات!$C$5:$C$24,MATCH($A131,المنتجات!$A$5:$A$24,0)),"كود غير موجود"))</f>
        <v/>
      </c>
      <c r="C131" s="29"/>
      <c r="D131" s="28" t="str">
        <f aca="false">IF($C131="","",IFERROR(INDEX('المواد الخام'!$B$5:$B$104,MATCH($C131,'المواد الخام'!$A$5:$A$104,0)),"كود غير موجود"))</f>
        <v/>
      </c>
      <c r="E131" s="29"/>
      <c r="F131" s="24"/>
      <c r="G131" s="28" t="str">
        <f aca="false">IF($C131="","",IFERROR(INDEX('المواد الخام'!$D$5:$D$104,MATCH($C131,'المواد الخام'!$A$5:$A$104,0)),""))</f>
        <v/>
      </c>
      <c r="H131" s="31" t="str">
        <f aca="false">IF($C131="","",IFERROR(INDEX('المواد الخام'!$G$5:$G$104,MATCH($C131,'المواد الخام'!$A$5:$A$104,0)),0))</f>
        <v/>
      </c>
      <c r="I131" s="25" t="str">
        <f aca="false">IF($C131="","",N(F131)*N(H131))</f>
        <v/>
      </c>
      <c r="J131" s="25" t="str">
        <f aca="false">IF(OR($A131="",$C131=""),"",IF(E131="لكل حبة",I131,IFERROR(I131/INDEX(المنتجات!$G$5:$G$24,MATCH($A131,المنتجات!$A$5:$A$24,0)),0)))</f>
        <v/>
      </c>
      <c r="K131" s="27" t="str">
        <f aca="false">IF(OR($A131="",$C131=""),"",N(F131)*IF(E131="لكل حبة",SUMIFS(الإنتاج!$G$5:$G$504,الإنتاج!$C$5:$C$504,$A131),SUMIFS(الإنتاج!$E$5:$E$504,الإنتاج!$C$5:$C$504,$A131)))</f>
        <v/>
      </c>
      <c r="L131" s="29"/>
    </row>
    <row r="132" customFormat="false" ht="15" hidden="false" customHeight="false" outlineLevel="0" collapsed="false">
      <c r="A132" s="29"/>
      <c r="B132" s="28" t="str">
        <f aca="false">IF($A132="","",IFERROR(INDEX(المنتجات!$C$5:$C$24,MATCH($A132,المنتجات!$A$5:$A$24,0)),"كود غير موجود"))</f>
        <v/>
      </c>
      <c r="C132" s="29"/>
      <c r="D132" s="28" t="str">
        <f aca="false">IF($C132="","",IFERROR(INDEX('المواد الخام'!$B$5:$B$104,MATCH($C132,'المواد الخام'!$A$5:$A$104,0)),"كود غير موجود"))</f>
        <v/>
      </c>
      <c r="E132" s="29"/>
      <c r="F132" s="24"/>
      <c r="G132" s="28" t="str">
        <f aca="false">IF($C132="","",IFERROR(INDEX('المواد الخام'!$D$5:$D$104,MATCH($C132,'المواد الخام'!$A$5:$A$104,0)),""))</f>
        <v/>
      </c>
      <c r="H132" s="31" t="str">
        <f aca="false">IF($C132="","",IFERROR(INDEX('المواد الخام'!$G$5:$G$104,MATCH($C132,'المواد الخام'!$A$5:$A$104,0)),0))</f>
        <v/>
      </c>
      <c r="I132" s="25" t="str">
        <f aca="false">IF($C132="","",N(F132)*N(H132))</f>
        <v/>
      </c>
      <c r="J132" s="25" t="str">
        <f aca="false">IF(OR($A132="",$C132=""),"",IF(E132="لكل حبة",I132,IFERROR(I132/INDEX(المنتجات!$G$5:$G$24,MATCH($A132,المنتجات!$A$5:$A$24,0)),0)))</f>
        <v/>
      </c>
      <c r="K132" s="27" t="str">
        <f aca="false">IF(OR($A132="",$C132=""),"",N(F132)*IF(E132="لكل حبة",SUMIFS(الإنتاج!$G$5:$G$504,الإنتاج!$C$5:$C$504,$A132),SUMIFS(الإنتاج!$E$5:$E$504,الإنتاج!$C$5:$C$504,$A132)))</f>
        <v/>
      </c>
      <c r="L132" s="29"/>
    </row>
    <row r="133" customFormat="false" ht="15" hidden="false" customHeight="false" outlineLevel="0" collapsed="false">
      <c r="A133" s="29"/>
      <c r="B133" s="28" t="str">
        <f aca="false">IF($A133="","",IFERROR(INDEX(المنتجات!$C$5:$C$24,MATCH($A133,المنتجات!$A$5:$A$24,0)),"كود غير موجود"))</f>
        <v/>
      </c>
      <c r="C133" s="29"/>
      <c r="D133" s="28" t="str">
        <f aca="false">IF($C133="","",IFERROR(INDEX('المواد الخام'!$B$5:$B$104,MATCH($C133,'المواد الخام'!$A$5:$A$104,0)),"كود غير موجود"))</f>
        <v/>
      </c>
      <c r="E133" s="29"/>
      <c r="F133" s="24"/>
      <c r="G133" s="28" t="str">
        <f aca="false">IF($C133="","",IFERROR(INDEX('المواد الخام'!$D$5:$D$104,MATCH($C133,'المواد الخام'!$A$5:$A$104,0)),""))</f>
        <v/>
      </c>
      <c r="H133" s="31" t="str">
        <f aca="false">IF($C133="","",IFERROR(INDEX('المواد الخام'!$G$5:$G$104,MATCH($C133,'المواد الخام'!$A$5:$A$104,0)),0))</f>
        <v/>
      </c>
      <c r="I133" s="25" t="str">
        <f aca="false">IF($C133="","",N(F133)*N(H133))</f>
        <v/>
      </c>
      <c r="J133" s="25" t="str">
        <f aca="false">IF(OR($A133="",$C133=""),"",IF(E133="لكل حبة",I133,IFERROR(I133/INDEX(المنتجات!$G$5:$G$24,MATCH($A133,المنتجات!$A$5:$A$24,0)),0)))</f>
        <v/>
      </c>
      <c r="K133" s="27" t="str">
        <f aca="false">IF(OR($A133="",$C133=""),"",N(F133)*IF(E133="لكل حبة",SUMIFS(الإنتاج!$G$5:$G$504,الإنتاج!$C$5:$C$504,$A133),SUMIFS(الإنتاج!$E$5:$E$504,الإنتاج!$C$5:$C$504,$A133)))</f>
        <v/>
      </c>
      <c r="L133" s="29"/>
    </row>
    <row r="134" customFormat="false" ht="15" hidden="false" customHeight="false" outlineLevel="0" collapsed="false">
      <c r="A134" s="29"/>
      <c r="B134" s="28" t="str">
        <f aca="false">IF($A134="","",IFERROR(INDEX(المنتجات!$C$5:$C$24,MATCH($A134,المنتجات!$A$5:$A$24,0)),"كود غير موجود"))</f>
        <v/>
      </c>
      <c r="C134" s="29"/>
      <c r="D134" s="28" t="str">
        <f aca="false">IF($C134="","",IFERROR(INDEX('المواد الخام'!$B$5:$B$104,MATCH($C134,'المواد الخام'!$A$5:$A$104,0)),"كود غير موجود"))</f>
        <v/>
      </c>
      <c r="E134" s="29"/>
      <c r="F134" s="24"/>
      <c r="G134" s="28" t="str">
        <f aca="false">IF($C134="","",IFERROR(INDEX('المواد الخام'!$D$5:$D$104,MATCH($C134,'المواد الخام'!$A$5:$A$104,0)),""))</f>
        <v/>
      </c>
      <c r="H134" s="31" t="str">
        <f aca="false">IF($C134="","",IFERROR(INDEX('المواد الخام'!$G$5:$G$104,MATCH($C134,'المواد الخام'!$A$5:$A$104,0)),0))</f>
        <v/>
      </c>
      <c r="I134" s="25" t="str">
        <f aca="false">IF($C134="","",N(F134)*N(H134))</f>
        <v/>
      </c>
      <c r="J134" s="25" t="str">
        <f aca="false">IF(OR($A134="",$C134=""),"",IF(E134="لكل حبة",I134,IFERROR(I134/INDEX(المنتجات!$G$5:$G$24,MATCH($A134,المنتجات!$A$5:$A$24,0)),0)))</f>
        <v/>
      </c>
      <c r="K134" s="27" t="str">
        <f aca="false">IF(OR($A134="",$C134=""),"",N(F134)*IF(E134="لكل حبة",SUMIFS(الإنتاج!$G$5:$G$504,الإنتاج!$C$5:$C$504,$A134),SUMIFS(الإنتاج!$E$5:$E$504,الإنتاج!$C$5:$C$504,$A134)))</f>
        <v/>
      </c>
      <c r="L134" s="29"/>
    </row>
    <row r="135" customFormat="false" ht="15" hidden="false" customHeight="false" outlineLevel="0" collapsed="false">
      <c r="A135" s="29"/>
      <c r="B135" s="28" t="str">
        <f aca="false">IF($A135="","",IFERROR(INDEX(المنتجات!$C$5:$C$24,MATCH($A135,المنتجات!$A$5:$A$24,0)),"كود غير موجود"))</f>
        <v/>
      </c>
      <c r="C135" s="29"/>
      <c r="D135" s="28" t="str">
        <f aca="false">IF($C135="","",IFERROR(INDEX('المواد الخام'!$B$5:$B$104,MATCH($C135,'المواد الخام'!$A$5:$A$104,0)),"كود غير موجود"))</f>
        <v/>
      </c>
      <c r="E135" s="29"/>
      <c r="F135" s="24"/>
      <c r="G135" s="28" t="str">
        <f aca="false">IF($C135="","",IFERROR(INDEX('المواد الخام'!$D$5:$D$104,MATCH($C135,'المواد الخام'!$A$5:$A$104,0)),""))</f>
        <v/>
      </c>
      <c r="H135" s="31" t="str">
        <f aca="false">IF($C135="","",IFERROR(INDEX('المواد الخام'!$G$5:$G$104,MATCH($C135,'المواد الخام'!$A$5:$A$104,0)),0))</f>
        <v/>
      </c>
      <c r="I135" s="25" t="str">
        <f aca="false">IF($C135="","",N(F135)*N(H135))</f>
        <v/>
      </c>
      <c r="J135" s="25" t="str">
        <f aca="false">IF(OR($A135="",$C135=""),"",IF(E135="لكل حبة",I135,IFERROR(I135/INDEX(المنتجات!$G$5:$G$24,MATCH($A135,المنتجات!$A$5:$A$24,0)),0)))</f>
        <v/>
      </c>
      <c r="K135" s="27" t="str">
        <f aca="false">IF(OR($A135="",$C135=""),"",N(F135)*IF(E135="لكل حبة",SUMIFS(الإنتاج!$G$5:$G$504,الإنتاج!$C$5:$C$504,$A135),SUMIFS(الإنتاج!$E$5:$E$504,الإنتاج!$C$5:$C$504,$A135)))</f>
        <v/>
      </c>
      <c r="L135" s="29"/>
    </row>
    <row r="136" customFormat="false" ht="15" hidden="false" customHeight="false" outlineLevel="0" collapsed="false">
      <c r="A136" s="29"/>
      <c r="B136" s="28" t="str">
        <f aca="false">IF($A136="","",IFERROR(INDEX(المنتجات!$C$5:$C$24,MATCH($A136,المنتجات!$A$5:$A$24,0)),"كود غير موجود"))</f>
        <v/>
      </c>
      <c r="C136" s="29"/>
      <c r="D136" s="28" t="str">
        <f aca="false">IF($C136="","",IFERROR(INDEX('المواد الخام'!$B$5:$B$104,MATCH($C136,'المواد الخام'!$A$5:$A$104,0)),"كود غير موجود"))</f>
        <v/>
      </c>
      <c r="E136" s="29"/>
      <c r="F136" s="24"/>
      <c r="G136" s="28" t="str">
        <f aca="false">IF($C136="","",IFERROR(INDEX('المواد الخام'!$D$5:$D$104,MATCH($C136,'المواد الخام'!$A$5:$A$104,0)),""))</f>
        <v/>
      </c>
      <c r="H136" s="31" t="str">
        <f aca="false">IF($C136="","",IFERROR(INDEX('المواد الخام'!$G$5:$G$104,MATCH($C136,'المواد الخام'!$A$5:$A$104,0)),0))</f>
        <v/>
      </c>
      <c r="I136" s="25" t="str">
        <f aca="false">IF($C136="","",N(F136)*N(H136))</f>
        <v/>
      </c>
      <c r="J136" s="25" t="str">
        <f aca="false">IF(OR($A136="",$C136=""),"",IF(E136="لكل حبة",I136,IFERROR(I136/INDEX(المنتجات!$G$5:$G$24,MATCH($A136,المنتجات!$A$5:$A$24,0)),0)))</f>
        <v/>
      </c>
      <c r="K136" s="27" t="str">
        <f aca="false">IF(OR($A136="",$C136=""),"",N(F136)*IF(E136="لكل حبة",SUMIFS(الإنتاج!$G$5:$G$504,الإنتاج!$C$5:$C$504,$A136),SUMIFS(الإنتاج!$E$5:$E$504,الإنتاج!$C$5:$C$504,$A136)))</f>
        <v/>
      </c>
      <c r="L136" s="29"/>
    </row>
    <row r="137" customFormat="false" ht="15" hidden="false" customHeight="false" outlineLevel="0" collapsed="false">
      <c r="A137" s="29"/>
      <c r="B137" s="28" t="str">
        <f aca="false">IF($A137="","",IFERROR(INDEX(المنتجات!$C$5:$C$24,MATCH($A137,المنتجات!$A$5:$A$24,0)),"كود غير موجود"))</f>
        <v/>
      </c>
      <c r="C137" s="29"/>
      <c r="D137" s="28" t="str">
        <f aca="false">IF($C137="","",IFERROR(INDEX('المواد الخام'!$B$5:$B$104,MATCH($C137,'المواد الخام'!$A$5:$A$104,0)),"كود غير موجود"))</f>
        <v/>
      </c>
      <c r="E137" s="29"/>
      <c r="F137" s="24"/>
      <c r="G137" s="28" t="str">
        <f aca="false">IF($C137="","",IFERROR(INDEX('المواد الخام'!$D$5:$D$104,MATCH($C137,'المواد الخام'!$A$5:$A$104,0)),""))</f>
        <v/>
      </c>
      <c r="H137" s="31" t="str">
        <f aca="false">IF($C137="","",IFERROR(INDEX('المواد الخام'!$G$5:$G$104,MATCH($C137,'المواد الخام'!$A$5:$A$104,0)),0))</f>
        <v/>
      </c>
      <c r="I137" s="25" t="str">
        <f aca="false">IF($C137="","",N(F137)*N(H137))</f>
        <v/>
      </c>
      <c r="J137" s="25" t="str">
        <f aca="false">IF(OR($A137="",$C137=""),"",IF(E137="لكل حبة",I137,IFERROR(I137/INDEX(المنتجات!$G$5:$G$24,MATCH($A137,المنتجات!$A$5:$A$24,0)),0)))</f>
        <v/>
      </c>
      <c r="K137" s="27" t="str">
        <f aca="false">IF(OR($A137="",$C137=""),"",N(F137)*IF(E137="لكل حبة",SUMIFS(الإنتاج!$G$5:$G$504,الإنتاج!$C$5:$C$504,$A137),SUMIFS(الإنتاج!$E$5:$E$504,الإنتاج!$C$5:$C$504,$A137)))</f>
        <v/>
      </c>
      <c r="L137" s="29"/>
    </row>
    <row r="138" customFormat="false" ht="15" hidden="false" customHeight="false" outlineLevel="0" collapsed="false">
      <c r="A138" s="29"/>
      <c r="B138" s="28" t="str">
        <f aca="false">IF($A138="","",IFERROR(INDEX(المنتجات!$C$5:$C$24,MATCH($A138,المنتجات!$A$5:$A$24,0)),"كود غير موجود"))</f>
        <v/>
      </c>
      <c r="C138" s="29"/>
      <c r="D138" s="28" t="str">
        <f aca="false">IF($C138="","",IFERROR(INDEX('المواد الخام'!$B$5:$B$104,MATCH($C138,'المواد الخام'!$A$5:$A$104,0)),"كود غير موجود"))</f>
        <v/>
      </c>
      <c r="E138" s="29"/>
      <c r="F138" s="24"/>
      <c r="G138" s="28" t="str">
        <f aca="false">IF($C138="","",IFERROR(INDEX('المواد الخام'!$D$5:$D$104,MATCH($C138,'المواد الخام'!$A$5:$A$104,0)),""))</f>
        <v/>
      </c>
      <c r="H138" s="31" t="str">
        <f aca="false">IF($C138="","",IFERROR(INDEX('المواد الخام'!$G$5:$G$104,MATCH($C138,'المواد الخام'!$A$5:$A$104,0)),0))</f>
        <v/>
      </c>
      <c r="I138" s="25" t="str">
        <f aca="false">IF($C138="","",N(F138)*N(H138))</f>
        <v/>
      </c>
      <c r="J138" s="25" t="str">
        <f aca="false">IF(OR($A138="",$C138=""),"",IF(E138="لكل حبة",I138,IFERROR(I138/INDEX(المنتجات!$G$5:$G$24,MATCH($A138,المنتجات!$A$5:$A$24,0)),0)))</f>
        <v/>
      </c>
      <c r="K138" s="27" t="str">
        <f aca="false">IF(OR($A138="",$C138=""),"",N(F138)*IF(E138="لكل حبة",SUMIFS(الإنتاج!$G$5:$G$504,الإنتاج!$C$5:$C$504,$A138),SUMIFS(الإنتاج!$E$5:$E$504,الإنتاج!$C$5:$C$504,$A138)))</f>
        <v/>
      </c>
      <c r="L138" s="29"/>
    </row>
    <row r="139" customFormat="false" ht="15" hidden="false" customHeight="false" outlineLevel="0" collapsed="false">
      <c r="A139" s="29"/>
      <c r="B139" s="28" t="str">
        <f aca="false">IF($A139="","",IFERROR(INDEX(المنتجات!$C$5:$C$24,MATCH($A139,المنتجات!$A$5:$A$24,0)),"كود غير موجود"))</f>
        <v/>
      </c>
      <c r="C139" s="29"/>
      <c r="D139" s="28" t="str">
        <f aca="false">IF($C139="","",IFERROR(INDEX('المواد الخام'!$B$5:$B$104,MATCH($C139,'المواد الخام'!$A$5:$A$104,0)),"كود غير موجود"))</f>
        <v/>
      </c>
      <c r="E139" s="29"/>
      <c r="F139" s="24"/>
      <c r="G139" s="28" t="str">
        <f aca="false">IF($C139="","",IFERROR(INDEX('المواد الخام'!$D$5:$D$104,MATCH($C139,'المواد الخام'!$A$5:$A$104,0)),""))</f>
        <v/>
      </c>
      <c r="H139" s="31" t="str">
        <f aca="false">IF($C139="","",IFERROR(INDEX('المواد الخام'!$G$5:$G$104,MATCH($C139,'المواد الخام'!$A$5:$A$104,0)),0))</f>
        <v/>
      </c>
      <c r="I139" s="25" t="str">
        <f aca="false">IF($C139="","",N(F139)*N(H139))</f>
        <v/>
      </c>
      <c r="J139" s="25" t="str">
        <f aca="false">IF(OR($A139="",$C139=""),"",IF(E139="لكل حبة",I139,IFERROR(I139/INDEX(المنتجات!$G$5:$G$24,MATCH($A139,المنتجات!$A$5:$A$24,0)),0)))</f>
        <v/>
      </c>
      <c r="K139" s="27" t="str">
        <f aca="false">IF(OR($A139="",$C139=""),"",N(F139)*IF(E139="لكل حبة",SUMIFS(الإنتاج!$G$5:$G$504,الإنتاج!$C$5:$C$504,$A139),SUMIFS(الإنتاج!$E$5:$E$504,الإنتاج!$C$5:$C$504,$A139)))</f>
        <v/>
      </c>
      <c r="L139" s="29"/>
    </row>
    <row r="140" customFormat="false" ht="15" hidden="false" customHeight="false" outlineLevel="0" collapsed="false">
      <c r="A140" s="29"/>
      <c r="B140" s="28" t="str">
        <f aca="false">IF($A140="","",IFERROR(INDEX(المنتجات!$C$5:$C$24,MATCH($A140,المنتجات!$A$5:$A$24,0)),"كود غير موجود"))</f>
        <v/>
      </c>
      <c r="C140" s="29"/>
      <c r="D140" s="28" t="str">
        <f aca="false">IF($C140="","",IFERROR(INDEX('المواد الخام'!$B$5:$B$104,MATCH($C140,'المواد الخام'!$A$5:$A$104,0)),"كود غير موجود"))</f>
        <v/>
      </c>
      <c r="E140" s="29"/>
      <c r="F140" s="24"/>
      <c r="G140" s="28" t="str">
        <f aca="false">IF($C140="","",IFERROR(INDEX('المواد الخام'!$D$5:$D$104,MATCH($C140,'المواد الخام'!$A$5:$A$104,0)),""))</f>
        <v/>
      </c>
      <c r="H140" s="31" t="str">
        <f aca="false">IF($C140="","",IFERROR(INDEX('المواد الخام'!$G$5:$G$104,MATCH($C140,'المواد الخام'!$A$5:$A$104,0)),0))</f>
        <v/>
      </c>
      <c r="I140" s="25" t="str">
        <f aca="false">IF($C140="","",N(F140)*N(H140))</f>
        <v/>
      </c>
      <c r="J140" s="25" t="str">
        <f aca="false">IF(OR($A140="",$C140=""),"",IF(E140="لكل حبة",I140,IFERROR(I140/INDEX(المنتجات!$G$5:$G$24,MATCH($A140,المنتجات!$A$5:$A$24,0)),0)))</f>
        <v/>
      </c>
      <c r="K140" s="27" t="str">
        <f aca="false">IF(OR($A140="",$C140=""),"",N(F140)*IF(E140="لكل حبة",SUMIFS(الإنتاج!$G$5:$G$504,الإنتاج!$C$5:$C$504,$A140),SUMIFS(الإنتاج!$E$5:$E$504,الإنتاج!$C$5:$C$504,$A140)))</f>
        <v/>
      </c>
      <c r="L140" s="29"/>
    </row>
    <row r="141" customFormat="false" ht="15" hidden="false" customHeight="false" outlineLevel="0" collapsed="false">
      <c r="A141" s="29"/>
      <c r="B141" s="28" t="str">
        <f aca="false">IF($A141="","",IFERROR(INDEX(المنتجات!$C$5:$C$24,MATCH($A141,المنتجات!$A$5:$A$24,0)),"كود غير موجود"))</f>
        <v/>
      </c>
      <c r="C141" s="29"/>
      <c r="D141" s="28" t="str">
        <f aca="false">IF($C141="","",IFERROR(INDEX('المواد الخام'!$B$5:$B$104,MATCH($C141,'المواد الخام'!$A$5:$A$104,0)),"كود غير موجود"))</f>
        <v/>
      </c>
      <c r="E141" s="29"/>
      <c r="F141" s="24"/>
      <c r="G141" s="28" t="str">
        <f aca="false">IF($C141="","",IFERROR(INDEX('المواد الخام'!$D$5:$D$104,MATCH($C141,'المواد الخام'!$A$5:$A$104,0)),""))</f>
        <v/>
      </c>
      <c r="H141" s="31" t="str">
        <f aca="false">IF($C141="","",IFERROR(INDEX('المواد الخام'!$G$5:$G$104,MATCH($C141,'المواد الخام'!$A$5:$A$104,0)),0))</f>
        <v/>
      </c>
      <c r="I141" s="25" t="str">
        <f aca="false">IF($C141="","",N(F141)*N(H141))</f>
        <v/>
      </c>
      <c r="J141" s="25" t="str">
        <f aca="false">IF(OR($A141="",$C141=""),"",IF(E141="لكل حبة",I141,IFERROR(I141/INDEX(المنتجات!$G$5:$G$24,MATCH($A141,المنتجات!$A$5:$A$24,0)),0)))</f>
        <v/>
      </c>
      <c r="K141" s="27" t="str">
        <f aca="false">IF(OR($A141="",$C141=""),"",N(F141)*IF(E141="لكل حبة",SUMIFS(الإنتاج!$G$5:$G$504,الإنتاج!$C$5:$C$504,$A141),SUMIFS(الإنتاج!$E$5:$E$504,الإنتاج!$C$5:$C$504,$A141)))</f>
        <v/>
      </c>
      <c r="L141" s="29"/>
    </row>
    <row r="142" customFormat="false" ht="15" hidden="false" customHeight="false" outlineLevel="0" collapsed="false">
      <c r="A142" s="29"/>
      <c r="B142" s="28" t="str">
        <f aca="false">IF($A142="","",IFERROR(INDEX(المنتجات!$C$5:$C$24,MATCH($A142,المنتجات!$A$5:$A$24,0)),"كود غير موجود"))</f>
        <v/>
      </c>
      <c r="C142" s="29"/>
      <c r="D142" s="28" t="str">
        <f aca="false">IF($C142="","",IFERROR(INDEX('المواد الخام'!$B$5:$B$104,MATCH($C142,'المواد الخام'!$A$5:$A$104,0)),"كود غير موجود"))</f>
        <v/>
      </c>
      <c r="E142" s="29"/>
      <c r="F142" s="24"/>
      <c r="G142" s="28" t="str">
        <f aca="false">IF($C142="","",IFERROR(INDEX('المواد الخام'!$D$5:$D$104,MATCH($C142,'المواد الخام'!$A$5:$A$104,0)),""))</f>
        <v/>
      </c>
      <c r="H142" s="31" t="str">
        <f aca="false">IF($C142="","",IFERROR(INDEX('المواد الخام'!$G$5:$G$104,MATCH($C142,'المواد الخام'!$A$5:$A$104,0)),0))</f>
        <v/>
      </c>
      <c r="I142" s="25" t="str">
        <f aca="false">IF($C142="","",N(F142)*N(H142))</f>
        <v/>
      </c>
      <c r="J142" s="25" t="str">
        <f aca="false">IF(OR($A142="",$C142=""),"",IF(E142="لكل حبة",I142,IFERROR(I142/INDEX(المنتجات!$G$5:$G$24,MATCH($A142,المنتجات!$A$5:$A$24,0)),0)))</f>
        <v/>
      </c>
      <c r="K142" s="27" t="str">
        <f aca="false">IF(OR($A142="",$C142=""),"",N(F142)*IF(E142="لكل حبة",SUMIFS(الإنتاج!$G$5:$G$504,الإنتاج!$C$5:$C$504,$A142),SUMIFS(الإنتاج!$E$5:$E$504,الإنتاج!$C$5:$C$504,$A142)))</f>
        <v/>
      </c>
      <c r="L142" s="29"/>
    </row>
    <row r="143" customFormat="false" ht="15" hidden="false" customHeight="false" outlineLevel="0" collapsed="false">
      <c r="A143" s="29"/>
      <c r="B143" s="28" t="str">
        <f aca="false">IF($A143="","",IFERROR(INDEX(المنتجات!$C$5:$C$24,MATCH($A143,المنتجات!$A$5:$A$24,0)),"كود غير موجود"))</f>
        <v/>
      </c>
      <c r="C143" s="29"/>
      <c r="D143" s="28" t="str">
        <f aca="false">IF($C143="","",IFERROR(INDEX('المواد الخام'!$B$5:$B$104,MATCH($C143,'المواد الخام'!$A$5:$A$104,0)),"كود غير موجود"))</f>
        <v/>
      </c>
      <c r="E143" s="29"/>
      <c r="F143" s="24"/>
      <c r="G143" s="28" t="str">
        <f aca="false">IF($C143="","",IFERROR(INDEX('المواد الخام'!$D$5:$D$104,MATCH($C143,'المواد الخام'!$A$5:$A$104,0)),""))</f>
        <v/>
      </c>
      <c r="H143" s="31" t="str">
        <f aca="false">IF($C143="","",IFERROR(INDEX('المواد الخام'!$G$5:$G$104,MATCH($C143,'المواد الخام'!$A$5:$A$104,0)),0))</f>
        <v/>
      </c>
      <c r="I143" s="25" t="str">
        <f aca="false">IF($C143="","",N(F143)*N(H143))</f>
        <v/>
      </c>
      <c r="J143" s="25" t="str">
        <f aca="false">IF(OR($A143="",$C143=""),"",IF(E143="لكل حبة",I143,IFERROR(I143/INDEX(المنتجات!$G$5:$G$24,MATCH($A143,المنتجات!$A$5:$A$24,0)),0)))</f>
        <v/>
      </c>
      <c r="K143" s="27" t="str">
        <f aca="false">IF(OR($A143="",$C143=""),"",N(F143)*IF(E143="لكل حبة",SUMIFS(الإنتاج!$G$5:$G$504,الإنتاج!$C$5:$C$504,$A143),SUMIFS(الإنتاج!$E$5:$E$504,الإنتاج!$C$5:$C$504,$A143)))</f>
        <v/>
      </c>
      <c r="L143" s="29"/>
    </row>
    <row r="144" customFormat="false" ht="15" hidden="false" customHeight="false" outlineLevel="0" collapsed="false">
      <c r="A144" s="29"/>
      <c r="B144" s="28" t="str">
        <f aca="false">IF($A144="","",IFERROR(INDEX(المنتجات!$C$5:$C$24,MATCH($A144,المنتجات!$A$5:$A$24,0)),"كود غير موجود"))</f>
        <v/>
      </c>
      <c r="C144" s="29"/>
      <c r="D144" s="28" t="str">
        <f aca="false">IF($C144="","",IFERROR(INDEX('المواد الخام'!$B$5:$B$104,MATCH($C144,'المواد الخام'!$A$5:$A$104,0)),"كود غير موجود"))</f>
        <v/>
      </c>
      <c r="E144" s="29"/>
      <c r="F144" s="24"/>
      <c r="G144" s="28" t="str">
        <f aca="false">IF($C144="","",IFERROR(INDEX('المواد الخام'!$D$5:$D$104,MATCH($C144,'المواد الخام'!$A$5:$A$104,0)),""))</f>
        <v/>
      </c>
      <c r="H144" s="31" t="str">
        <f aca="false">IF($C144="","",IFERROR(INDEX('المواد الخام'!$G$5:$G$104,MATCH($C144,'المواد الخام'!$A$5:$A$104,0)),0))</f>
        <v/>
      </c>
      <c r="I144" s="25" t="str">
        <f aca="false">IF($C144="","",N(F144)*N(H144))</f>
        <v/>
      </c>
      <c r="J144" s="25" t="str">
        <f aca="false">IF(OR($A144="",$C144=""),"",IF(E144="لكل حبة",I144,IFERROR(I144/INDEX(المنتجات!$G$5:$G$24,MATCH($A144,المنتجات!$A$5:$A$24,0)),0)))</f>
        <v/>
      </c>
      <c r="K144" s="27" t="str">
        <f aca="false">IF(OR($A144="",$C144=""),"",N(F144)*IF(E144="لكل حبة",SUMIFS(الإنتاج!$G$5:$G$504,الإنتاج!$C$5:$C$504,$A144),SUMIFS(الإنتاج!$E$5:$E$504,الإنتاج!$C$5:$C$504,$A144)))</f>
        <v/>
      </c>
      <c r="L144" s="29"/>
    </row>
    <row r="145" customFormat="false" ht="15" hidden="false" customHeight="false" outlineLevel="0" collapsed="false">
      <c r="A145" s="29"/>
      <c r="B145" s="28" t="str">
        <f aca="false">IF($A145="","",IFERROR(INDEX(المنتجات!$C$5:$C$24,MATCH($A145,المنتجات!$A$5:$A$24,0)),"كود غير موجود"))</f>
        <v/>
      </c>
      <c r="C145" s="29"/>
      <c r="D145" s="28" t="str">
        <f aca="false">IF($C145="","",IFERROR(INDEX('المواد الخام'!$B$5:$B$104,MATCH($C145,'المواد الخام'!$A$5:$A$104,0)),"كود غير موجود"))</f>
        <v/>
      </c>
      <c r="E145" s="29"/>
      <c r="F145" s="24"/>
      <c r="G145" s="28" t="str">
        <f aca="false">IF($C145="","",IFERROR(INDEX('المواد الخام'!$D$5:$D$104,MATCH($C145,'المواد الخام'!$A$5:$A$104,0)),""))</f>
        <v/>
      </c>
      <c r="H145" s="31" t="str">
        <f aca="false">IF($C145="","",IFERROR(INDEX('المواد الخام'!$G$5:$G$104,MATCH($C145,'المواد الخام'!$A$5:$A$104,0)),0))</f>
        <v/>
      </c>
      <c r="I145" s="25" t="str">
        <f aca="false">IF($C145="","",N(F145)*N(H145))</f>
        <v/>
      </c>
      <c r="J145" s="25" t="str">
        <f aca="false">IF(OR($A145="",$C145=""),"",IF(E145="لكل حبة",I145,IFERROR(I145/INDEX(المنتجات!$G$5:$G$24,MATCH($A145,المنتجات!$A$5:$A$24,0)),0)))</f>
        <v/>
      </c>
      <c r="K145" s="27" t="str">
        <f aca="false">IF(OR($A145="",$C145=""),"",N(F145)*IF(E145="لكل حبة",SUMIFS(الإنتاج!$G$5:$G$504,الإنتاج!$C$5:$C$504,$A145),SUMIFS(الإنتاج!$E$5:$E$504,الإنتاج!$C$5:$C$504,$A145)))</f>
        <v/>
      </c>
      <c r="L145" s="29"/>
    </row>
    <row r="146" customFormat="false" ht="15" hidden="false" customHeight="false" outlineLevel="0" collapsed="false">
      <c r="A146" s="29"/>
      <c r="B146" s="28" t="str">
        <f aca="false">IF($A146="","",IFERROR(INDEX(المنتجات!$C$5:$C$24,MATCH($A146,المنتجات!$A$5:$A$24,0)),"كود غير موجود"))</f>
        <v/>
      </c>
      <c r="C146" s="29"/>
      <c r="D146" s="28" t="str">
        <f aca="false">IF($C146="","",IFERROR(INDEX('المواد الخام'!$B$5:$B$104,MATCH($C146,'المواد الخام'!$A$5:$A$104,0)),"كود غير موجود"))</f>
        <v/>
      </c>
      <c r="E146" s="29"/>
      <c r="F146" s="24"/>
      <c r="G146" s="28" t="str">
        <f aca="false">IF($C146="","",IFERROR(INDEX('المواد الخام'!$D$5:$D$104,MATCH($C146,'المواد الخام'!$A$5:$A$104,0)),""))</f>
        <v/>
      </c>
      <c r="H146" s="31" t="str">
        <f aca="false">IF($C146="","",IFERROR(INDEX('المواد الخام'!$G$5:$G$104,MATCH($C146,'المواد الخام'!$A$5:$A$104,0)),0))</f>
        <v/>
      </c>
      <c r="I146" s="25" t="str">
        <f aca="false">IF($C146="","",N(F146)*N(H146))</f>
        <v/>
      </c>
      <c r="J146" s="25" t="str">
        <f aca="false">IF(OR($A146="",$C146=""),"",IF(E146="لكل حبة",I146,IFERROR(I146/INDEX(المنتجات!$G$5:$G$24,MATCH($A146,المنتجات!$A$5:$A$24,0)),0)))</f>
        <v/>
      </c>
      <c r="K146" s="27" t="str">
        <f aca="false">IF(OR($A146="",$C146=""),"",N(F146)*IF(E146="لكل حبة",SUMIFS(الإنتاج!$G$5:$G$504,الإنتاج!$C$5:$C$504,$A146),SUMIFS(الإنتاج!$E$5:$E$504,الإنتاج!$C$5:$C$504,$A146)))</f>
        <v/>
      </c>
      <c r="L146" s="29"/>
    </row>
    <row r="147" customFormat="false" ht="15" hidden="false" customHeight="false" outlineLevel="0" collapsed="false">
      <c r="A147" s="29"/>
      <c r="B147" s="28" t="str">
        <f aca="false">IF($A147="","",IFERROR(INDEX(المنتجات!$C$5:$C$24,MATCH($A147,المنتجات!$A$5:$A$24,0)),"كود غير موجود"))</f>
        <v/>
      </c>
      <c r="C147" s="29"/>
      <c r="D147" s="28" t="str">
        <f aca="false">IF($C147="","",IFERROR(INDEX('المواد الخام'!$B$5:$B$104,MATCH($C147,'المواد الخام'!$A$5:$A$104,0)),"كود غير موجود"))</f>
        <v/>
      </c>
      <c r="E147" s="29"/>
      <c r="F147" s="24"/>
      <c r="G147" s="28" t="str">
        <f aca="false">IF($C147="","",IFERROR(INDEX('المواد الخام'!$D$5:$D$104,MATCH($C147,'المواد الخام'!$A$5:$A$104,0)),""))</f>
        <v/>
      </c>
      <c r="H147" s="31" t="str">
        <f aca="false">IF($C147="","",IFERROR(INDEX('المواد الخام'!$G$5:$G$104,MATCH($C147,'المواد الخام'!$A$5:$A$104,0)),0))</f>
        <v/>
      </c>
      <c r="I147" s="25" t="str">
        <f aca="false">IF($C147="","",N(F147)*N(H147))</f>
        <v/>
      </c>
      <c r="J147" s="25" t="str">
        <f aca="false">IF(OR($A147="",$C147=""),"",IF(E147="لكل حبة",I147,IFERROR(I147/INDEX(المنتجات!$G$5:$G$24,MATCH($A147,المنتجات!$A$5:$A$24,0)),0)))</f>
        <v/>
      </c>
      <c r="K147" s="27" t="str">
        <f aca="false">IF(OR($A147="",$C147=""),"",N(F147)*IF(E147="لكل حبة",SUMIFS(الإنتاج!$G$5:$G$504,الإنتاج!$C$5:$C$504,$A147),SUMIFS(الإنتاج!$E$5:$E$504,الإنتاج!$C$5:$C$504,$A147)))</f>
        <v/>
      </c>
      <c r="L147" s="29"/>
    </row>
    <row r="148" customFormat="false" ht="15" hidden="false" customHeight="false" outlineLevel="0" collapsed="false">
      <c r="A148" s="29"/>
      <c r="B148" s="28" t="str">
        <f aca="false">IF($A148="","",IFERROR(INDEX(المنتجات!$C$5:$C$24,MATCH($A148,المنتجات!$A$5:$A$24,0)),"كود غير موجود"))</f>
        <v/>
      </c>
      <c r="C148" s="29"/>
      <c r="D148" s="28" t="str">
        <f aca="false">IF($C148="","",IFERROR(INDEX('المواد الخام'!$B$5:$B$104,MATCH($C148,'المواد الخام'!$A$5:$A$104,0)),"كود غير موجود"))</f>
        <v/>
      </c>
      <c r="E148" s="29"/>
      <c r="F148" s="24"/>
      <c r="G148" s="28" t="str">
        <f aca="false">IF($C148="","",IFERROR(INDEX('المواد الخام'!$D$5:$D$104,MATCH($C148,'المواد الخام'!$A$5:$A$104,0)),""))</f>
        <v/>
      </c>
      <c r="H148" s="31" t="str">
        <f aca="false">IF($C148="","",IFERROR(INDEX('المواد الخام'!$G$5:$G$104,MATCH($C148,'المواد الخام'!$A$5:$A$104,0)),0))</f>
        <v/>
      </c>
      <c r="I148" s="25" t="str">
        <f aca="false">IF($C148="","",N(F148)*N(H148))</f>
        <v/>
      </c>
      <c r="J148" s="25" t="str">
        <f aca="false">IF(OR($A148="",$C148=""),"",IF(E148="لكل حبة",I148,IFERROR(I148/INDEX(المنتجات!$G$5:$G$24,MATCH($A148,المنتجات!$A$5:$A$24,0)),0)))</f>
        <v/>
      </c>
      <c r="K148" s="27" t="str">
        <f aca="false">IF(OR($A148="",$C148=""),"",N(F148)*IF(E148="لكل حبة",SUMIFS(الإنتاج!$G$5:$G$504,الإنتاج!$C$5:$C$504,$A148),SUMIFS(الإنتاج!$E$5:$E$504,الإنتاج!$C$5:$C$504,$A148)))</f>
        <v/>
      </c>
      <c r="L148" s="29"/>
    </row>
    <row r="149" customFormat="false" ht="15" hidden="false" customHeight="false" outlineLevel="0" collapsed="false">
      <c r="A149" s="29"/>
      <c r="B149" s="28" t="str">
        <f aca="false">IF($A149="","",IFERROR(INDEX(المنتجات!$C$5:$C$24,MATCH($A149,المنتجات!$A$5:$A$24,0)),"كود غير موجود"))</f>
        <v/>
      </c>
      <c r="C149" s="29"/>
      <c r="D149" s="28" t="str">
        <f aca="false">IF($C149="","",IFERROR(INDEX('المواد الخام'!$B$5:$B$104,MATCH($C149,'المواد الخام'!$A$5:$A$104,0)),"كود غير موجود"))</f>
        <v/>
      </c>
      <c r="E149" s="29"/>
      <c r="F149" s="24"/>
      <c r="G149" s="28" t="str">
        <f aca="false">IF($C149="","",IFERROR(INDEX('المواد الخام'!$D$5:$D$104,MATCH($C149,'المواد الخام'!$A$5:$A$104,0)),""))</f>
        <v/>
      </c>
      <c r="H149" s="31" t="str">
        <f aca="false">IF($C149="","",IFERROR(INDEX('المواد الخام'!$G$5:$G$104,MATCH($C149,'المواد الخام'!$A$5:$A$104,0)),0))</f>
        <v/>
      </c>
      <c r="I149" s="25" t="str">
        <f aca="false">IF($C149="","",N(F149)*N(H149))</f>
        <v/>
      </c>
      <c r="J149" s="25" t="str">
        <f aca="false">IF(OR($A149="",$C149=""),"",IF(E149="لكل حبة",I149,IFERROR(I149/INDEX(المنتجات!$G$5:$G$24,MATCH($A149,المنتجات!$A$5:$A$24,0)),0)))</f>
        <v/>
      </c>
      <c r="K149" s="27" t="str">
        <f aca="false">IF(OR($A149="",$C149=""),"",N(F149)*IF(E149="لكل حبة",SUMIFS(الإنتاج!$G$5:$G$504,الإنتاج!$C$5:$C$504,$A149),SUMIFS(الإنتاج!$E$5:$E$504,الإنتاج!$C$5:$C$504,$A149)))</f>
        <v/>
      </c>
      <c r="L149" s="29"/>
    </row>
    <row r="150" customFormat="false" ht="15" hidden="false" customHeight="false" outlineLevel="0" collapsed="false">
      <c r="A150" s="29"/>
      <c r="B150" s="28" t="str">
        <f aca="false">IF($A150="","",IFERROR(INDEX(المنتجات!$C$5:$C$24,MATCH($A150,المنتجات!$A$5:$A$24,0)),"كود غير موجود"))</f>
        <v/>
      </c>
      <c r="C150" s="29"/>
      <c r="D150" s="28" t="str">
        <f aca="false">IF($C150="","",IFERROR(INDEX('المواد الخام'!$B$5:$B$104,MATCH($C150,'المواد الخام'!$A$5:$A$104,0)),"كود غير موجود"))</f>
        <v/>
      </c>
      <c r="E150" s="29"/>
      <c r="F150" s="24"/>
      <c r="G150" s="28" t="str">
        <f aca="false">IF($C150="","",IFERROR(INDEX('المواد الخام'!$D$5:$D$104,MATCH($C150,'المواد الخام'!$A$5:$A$104,0)),""))</f>
        <v/>
      </c>
      <c r="H150" s="31" t="str">
        <f aca="false">IF($C150="","",IFERROR(INDEX('المواد الخام'!$G$5:$G$104,MATCH($C150,'المواد الخام'!$A$5:$A$104,0)),0))</f>
        <v/>
      </c>
      <c r="I150" s="25" t="str">
        <f aca="false">IF($C150="","",N(F150)*N(H150))</f>
        <v/>
      </c>
      <c r="J150" s="25" t="str">
        <f aca="false">IF(OR($A150="",$C150=""),"",IF(E150="لكل حبة",I150,IFERROR(I150/INDEX(المنتجات!$G$5:$G$24,MATCH($A150,المنتجات!$A$5:$A$24,0)),0)))</f>
        <v/>
      </c>
      <c r="K150" s="27" t="str">
        <f aca="false">IF(OR($A150="",$C150=""),"",N(F150)*IF(E150="لكل حبة",SUMIFS(الإنتاج!$G$5:$G$504,الإنتاج!$C$5:$C$504,$A150),SUMIFS(الإنتاج!$E$5:$E$504,الإنتاج!$C$5:$C$504,$A150)))</f>
        <v/>
      </c>
      <c r="L150" s="29"/>
    </row>
    <row r="151" customFormat="false" ht="15" hidden="false" customHeight="false" outlineLevel="0" collapsed="false">
      <c r="A151" s="29"/>
      <c r="B151" s="28" t="str">
        <f aca="false">IF($A151="","",IFERROR(INDEX(المنتجات!$C$5:$C$24,MATCH($A151,المنتجات!$A$5:$A$24,0)),"كود غير موجود"))</f>
        <v/>
      </c>
      <c r="C151" s="29"/>
      <c r="D151" s="28" t="str">
        <f aca="false">IF($C151="","",IFERROR(INDEX('المواد الخام'!$B$5:$B$104,MATCH($C151,'المواد الخام'!$A$5:$A$104,0)),"كود غير موجود"))</f>
        <v/>
      </c>
      <c r="E151" s="29"/>
      <c r="F151" s="24"/>
      <c r="G151" s="28" t="str">
        <f aca="false">IF($C151="","",IFERROR(INDEX('المواد الخام'!$D$5:$D$104,MATCH($C151,'المواد الخام'!$A$5:$A$104,0)),""))</f>
        <v/>
      </c>
      <c r="H151" s="31" t="str">
        <f aca="false">IF($C151="","",IFERROR(INDEX('المواد الخام'!$G$5:$G$104,MATCH($C151,'المواد الخام'!$A$5:$A$104,0)),0))</f>
        <v/>
      </c>
      <c r="I151" s="25" t="str">
        <f aca="false">IF($C151="","",N(F151)*N(H151))</f>
        <v/>
      </c>
      <c r="J151" s="25" t="str">
        <f aca="false">IF(OR($A151="",$C151=""),"",IF(E151="لكل حبة",I151,IFERROR(I151/INDEX(المنتجات!$G$5:$G$24,MATCH($A151,المنتجات!$A$5:$A$24,0)),0)))</f>
        <v/>
      </c>
      <c r="K151" s="27" t="str">
        <f aca="false">IF(OR($A151="",$C151=""),"",N(F151)*IF(E151="لكل حبة",SUMIFS(الإنتاج!$G$5:$G$504,الإنتاج!$C$5:$C$504,$A151),SUMIFS(الإنتاج!$E$5:$E$504,الإنتاج!$C$5:$C$504,$A151)))</f>
        <v/>
      </c>
      <c r="L151" s="29"/>
    </row>
    <row r="152" customFormat="false" ht="15" hidden="false" customHeight="false" outlineLevel="0" collapsed="false">
      <c r="A152" s="29"/>
      <c r="B152" s="28" t="str">
        <f aca="false">IF($A152="","",IFERROR(INDEX(المنتجات!$C$5:$C$24,MATCH($A152,المنتجات!$A$5:$A$24,0)),"كود غير موجود"))</f>
        <v/>
      </c>
      <c r="C152" s="29"/>
      <c r="D152" s="28" t="str">
        <f aca="false">IF($C152="","",IFERROR(INDEX('المواد الخام'!$B$5:$B$104,MATCH($C152,'المواد الخام'!$A$5:$A$104,0)),"كود غير موجود"))</f>
        <v/>
      </c>
      <c r="E152" s="29"/>
      <c r="F152" s="24"/>
      <c r="G152" s="28" t="str">
        <f aca="false">IF($C152="","",IFERROR(INDEX('المواد الخام'!$D$5:$D$104,MATCH($C152,'المواد الخام'!$A$5:$A$104,0)),""))</f>
        <v/>
      </c>
      <c r="H152" s="31" t="str">
        <f aca="false">IF($C152="","",IFERROR(INDEX('المواد الخام'!$G$5:$G$104,MATCH($C152,'المواد الخام'!$A$5:$A$104,0)),0))</f>
        <v/>
      </c>
      <c r="I152" s="25" t="str">
        <f aca="false">IF($C152="","",N(F152)*N(H152))</f>
        <v/>
      </c>
      <c r="J152" s="25" t="str">
        <f aca="false">IF(OR($A152="",$C152=""),"",IF(E152="لكل حبة",I152,IFERROR(I152/INDEX(المنتجات!$G$5:$G$24,MATCH($A152,المنتجات!$A$5:$A$24,0)),0)))</f>
        <v/>
      </c>
      <c r="K152" s="27" t="str">
        <f aca="false">IF(OR($A152="",$C152=""),"",N(F152)*IF(E152="لكل حبة",SUMIFS(الإنتاج!$G$5:$G$504,الإنتاج!$C$5:$C$504,$A152),SUMIFS(الإنتاج!$E$5:$E$504,الإنتاج!$C$5:$C$504,$A152)))</f>
        <v/>
      </c>
      <c r="L152" s="29"/>
    </row>
    <row r="153" customFormat="false" ht="15" hidden="false" customHeight="false" outlineLevel="0" collapsed="false">
      <c r="A153" s="29"/>
      <c r="B153" s="28" t="str">
        <f aca="false">IF($A153="","",IFERROR(INDEX(المنتجات!$C$5:$C$24,MATCH($A153,المنتجات!$A$5:$A$24,0)),"كود غير موجود"))</f>
        <v/>
      </c>
      <c r="C153" s="29"/>
      <c r="D153" s="28" t="str">
        <f aca="false">IF($C153="","",IFERROR(INDEX('المواد الخام'!$B$5:$B$104,MATCH($C153,'المواد الخام'!$A$5:$A$104,0)),"كود غير موجود"))</f>
        <v/>
      </c>
      <c r="E153" s="29"/>
      <c r="F153" s="24"/>
      <c r="G153" s="28" t="str">
        <f aca="false">IF($C153="","",IFERROR(INDEX('المواد الخام'!$D$5:$D$104,MATCH($C153,'المواد الخام'!$A$5:$A$104,0)),""))</f>
        <v/>
      </c>
      <c r="H153" s="31" t="str">
        <f aca="false">IF($C153="","",IFERROR(INDEX('المواد الخام'!$G$5:$G$104,MATCH($C153,'المواد الخام'!$A$5:$A$104,0)),0))</f>
        <v/>
      </c>
      <c r="I153" s="25" t="str">
        <f aca="false">IF($C153="","",N(F153)*N(H153))</f>
        <v/>
      </c>
      <c r="J153" s="25" t="str">
        <f aca="false">IF(OR($A153="",$C153=""),"",IF(E153="لكل حبة",I153,IFERROR(I153/INDEX(المنتجات!$G$5:$G$24,MATCH($A153,المنتجات!$A$5:$A$24,0)),0)))</f>
        <v/>
      </c>
      <c r="K153" s="27" t="str">
        <f aca="false">IF(OR($A153="",$C153=""),"",N(F153)*IF(E153="لكل حبة",SUMIFS(الإنتاج!$G$5:$G$504,الإنتاج!$C$5:$C$504,$A153),SUMIFS(الإنتاج!$E$5:$E$504,الإنتاج!$C$5:$C$504,$A153)))</f>
        <v/>
      </c>
      <c r="L153" s="29"/>
    </row>
    <row r="154" customFormat="false" ht="15" hidden="false" customHeight="false" outlineLevel="0" collapsed="false">
      <c r="A154" s="29"/>
      <c r="B154" s="28" t="str">
        <f aca="false">IF($A154="","",IFERROR(INDEX(المنتجات!$C$5:$C$24,MATCH($A154,المنتجات!$A$5:$A$24,0)),"كود غير موجود"))</f>
        <v/>
      </c>
      <c r="C154" s="29"/>
      <c r="D154" s="28" t="str">
        <f aca="false">IF($C154="","",IFERROR(INDEX('المواد الخام'!$B$5:$B$104,MATCH($C154,'المواد الخام'!$A$5:$A$104,0)),"كود غير موجود"))</f>
        <v/>
      </c>
      <c r="E154" s="29"/>
      <c r="F154" s="24"/>
      <c r="G154" s="28" t="str">
        <f aca="false">IF($C154="","",IFERROR(INDEX('المواد الخام'!$D$5:$D$104,MATCH($C154,'المواد الخام'!$A$5:$A$104,0)),""))</f>
        <v/>
      </c>
      <c r="H154" s="31" t="str">
        <f aca="false">IF($C154="","",IFERROR(INDEX('المواد الخام'!$G$5:$G$104,MATCH($C154,'المواد الخام'!$A$5:$A$104,0)),0))</f>
        <v/>
      </c>
      <c r="I154" s="25" t="str">
        <f aca="false">IF($C154="","",N(F154)*N(H154))</f>
        <v/>
      </c>
      <c r="J154" s="25" t="str">
        <f aca="false">IF(OR($A154="",$C154=""),"",IF(E154="لكل حبة",I154,IFERROR(I154/INDEX(المنتجات!$G$5:$G$24,MATCH($A154,المنتجات!$A$5:$A$24,0)),0)))</f>
        <v/>
      </c>
      <c r="K154" s="27" t="str">
        <f aca="false">IF(OR($A154="",$C154=""),"",N(F154)*IF(E154="لكل حبة",SUMIFS(الإنتاج!$G$5:$G$504,الإنتاج!$C$5:$C$504,$A154),SUMIFS(الإنتاج!$E$5:$E$504,الإنتاج!$C$5:$C$504,$A154)))</f>
        <v/>
      </c>
      <c r="L154" s="29"/>
    </row>
    <row r="155" customFormat="false" ht="15" hidden="false" customHeight="false" outlineLevel="0" collapsed="false">
      <c r="A155" s="29"/>
      <c r="B155" s="28" t="str">
        <f aca="false">IF($A155="","",IFERROR(INDEX(المنتجات!$C$5:$C$24,MATCH($A155,المنتجات!$A$5:$A$24,0)),"كود غير موجود"))</f>
        <v/>
      </c>
      <c r="C155" s="29"/>
      <c r="D155" s="28" t="str">
        <f aca="false">IF($C155="","",IFERROR(INDEX('المواد الخام'!$B$5:$B$104,MATCH($C155,'المواد الخام'!$A$5:$A$104,0)),"كود غير موجود"))</f>
        <v/>
      </c>
      <c r="E155" s="29"/>
      <c r="F155" s="24"/>
      <c r="G155" s="28" t="str">
        <f aca="false">IF($C155="","",IFERROR(INDEX('المواد الخام'!$D$5:$D$104,MATCH($C155,'المواد الخام'!$A$5:$A$104,0)),""))</f>
        <v/>
      </c>
      <c r="H155" s="31" t="str">
        <f aca="false">IF($C155="","",IFERROR(INDEX('المواد الخام'!$G$5:$G$104,MATCH($C155,'المواد الخام'!$A$5:$A$104,0)),0))</f>
        <v/>
      </c>
      <c r="I155" s="25" t="str">
        <f aca="false">IF($C155="","",N(F155)*N(H155))</f>
        <v/>
      </c>
      <c r="J155" s="25" t="str">
        <f aca="false">IF(OR($A155="",$C155=""),"",IF(E155="لكل حبة",I155,IFERROR(I155/INDEX(المنتجات!$G$5:$G$24,MATCH($A155,المنتجات!$A$5:$A$24,0)),0)))</f>
        <v/>
      </c>
      <c r="K155" s="27" t="str">
        <f aca="false">IF(OR($A155="",$C155=""),"",N(F155)*IF(E155="لكل حبة",SUMIFS(الإنتاج!$G$5:$G$504,الإنتاج!$C$5:$C$504,$A155),SUMIFS(الإنتاج!$E$5:$E$504,الإنتاج!$C$5:$C$504,$A155)))</f>
        <v/>
      </c>
      <c r="L155" s="29"/>
    </row>
    <row r="156" customFormat="false" ht="15" hidden="false" customHeight="false" outlineLevel="0" collapsed="false">
      <c r="A156" s="29"/>
      <c r="B156" s="28" t="str">
        <f aca="false">IF($A156="","",IFERROR(INDEX(المنتجات!$C$5:$C$24,MATCH($A156,المنتجات!$A$5:$A$24,0)),"كود غير موجود"))</f>
        <v/>
      </c>
      <c r="C156" s="29"/>
      <c r="D156" s="28" t="str">
        <f aca="false">IF($C156="","",IFERROR(INDEX('المواد الخام'!$B$5:$B$104,MATCH($C156,'المواد الخام'!$A$5:$A$104,0)),"كود غير موجود"))</f>
        <v/>
      </c>
      <c r="E156" s="29"/>
      <c r="F156" s="24"/>
      <c r="G156" s="28" t="str">
        <f aca="false">IF($C156="","",IFERROR(INDEX('المواد الخام'!$D$5:$D$104,MATCH($C156,'المواد الخام'!$A$5:$A$104,0)),""))</f>
        <v/>
      </c>
      <c r="H156" s="31" t="str">
        <f aca="false">IF($C156="","",IFERROR(INDEX('المواد الخام'!$G$5:$G$104,MATCH($C156,'المواد الخام'!$A$5:$A$104,0)),0))</f>
        <v/>
      </c>
      <c r="I156" s="25" t="str">
        <f aca="false">IF($C156="","",N(F156)*N(H156))</f>
        <v/>
      </c>
      <c r="J156" s="25" t="str">
        <f aca="false">IF(OR($A156="",$C156=""),"",IF(E156="لكل حبة",I156,IFERROR(I156/INDEX(المنتجات!$G$5:$G$24,MATCH($A156,المنتجات!$A$5:$A$24,0)),0)))</f>
        <v/>
      </c>
      <c r="K156" s="27" t="str">
        <f aca="false">IF(OR($A156="",$C156=""),"",N(F156)*IF(E156="لكل حبة",SUMIFS(الإنتاج!$G$5:$G$504,الإنتاج!$C$5:$C$504,$A156),SUMIFS(الإنتاج!$E$5:$E$504,الإنتاج!$C$5:$C$504,$A156)))</f>
        <v/>
      </c>
      <c r="L156" s="29"/>
    </row>
    <row r="157" customFormat="false" ht="15" hidden="false" customHeight="false" outlineLevel="0" collapsed="false">
      <c r="A157" s="29"/>
      <c r="B157" s="28" t="str">
        <f aca="false">IF($A157="","",IFERROR(INDEX(المنتجات!$C$5:$C$24,MATCH($A157,المنتجات!$A$5:$A$24,0)),"كود غير موجود"))</f>
        <v/>
      </c>
      <c r="C157" s="29"/>
      <c r="D157" s="28" t="str">
        <f aca="false">IF($C157="","",IFERROR(INDEX('المواد الخام'!$B$5:$B$104,MATCH($C157,'المواد الخام'!$A$5:$A$104,0)),"كود غير موجود"))</f>
        <v/>
      </c>
      <c r="E157" s="29"/>
      <c r="F157" s="24"/>
      <c r="G157" s="28" t="str">
        <f aca="false">IF($C157="","",IFERROR(INDEX('المواد الخام'!$D$5:$D$104,MATCH($C157,'المواد الخام'!$A$5:$A$104,0)),""))</f>
        <v/>
      </c>
      <c r="H157" s="31" t="str">
        <f aca="false">IF($C157="","",IFERROR(INDEX('المواد الخام'!$G$5:$G$104,MATCH($C157,'المواد الخام'!$A$5:$A$104,0)),0))</f>
        <v/>
      </c>
      <c r="I157" s="25" t="str">
        <f aca="false">IF($C157="","",N(F157)*N(H157))</f>
        <v/>
      </c>
      <c r="J157" s="25" t="str">
        <f aca="false">IF(OR($A157="",$C157=""),"",IF(E157="لكل حبة",I157,IFERROR(I157/INDEX(المنتجات!$G$5:$G$24,MATCH($A157,المنتجات!$A$5:$A$24,0)),0)))</f>
        <v/>
      </c>
      <c r="K157" s="27" t="str">
        <f aca="false">IF(OR($A157="",$C157=""),"",N(F157)*IF(E157="لكل حبة",SUMIFS(الإنتاج!$G$5:$G$504,الإنتاج!$C$5:$C$504,$A157),SUMIFS(الإنتاج!$E$5:$E$504,الإنتاج!$C$5:$C$504,$A157)))</f>
        <v/>
      </c>
      <c r="L157" s="29"/>
    </row>
    <row r="158" customFormat="false" ht="15" hidden="false" customHeight="false" outlineLevel="0" collapsed="false">
      <c r="A158" s="29"/>
      <c r="B158" s="28" t="str">
        <f aca="false">IF($A158="","",IFERROR(INDEX(المنتجات!$C$5:$C$24,MATCH($A158,المنتجات!$A$5:$A$24,0)),"كود غير موجود"))</f>
        <v/>
      </c>
      <c r="C158" s="29"/>
      <c r="D158" s="28" t="str">
        <f aca="false">IF($C158="","",IFERROR(INDEX('المواد الخام'!$B$5:$B$104,MATCH($C158,'المواد الخام'!$A$5:$A$104,0)),"كود غير موجود"))</f>
        <v/>
      </c>
      <c r="E158" s="29"/>
      <c r="F158" s="24"/>
      <c r="G158" s="28" t="str">
        <f aca="false">IF($C158="","",IFERROR(INDEX('المواد الخام'!$D$5:$D$104,MATCH($C158,'المواد الخام'!$A$5:$A$104,0)),""))</f>
        <v/>
      </c>
      <c r="H158" s="31" t="str">
        <f aca="false">IF($C158="","",IFERROR(INDEX('المواد الخام'!$G$5:$G$104,MATCH($C158,'المواد الخام'!$A$5:$A$104,0)),0))</f>
        <v/>
      </c>
      <c r="I158" s="25" t="str">
        <f aca="false">IF($C158="","",N(F158)*N(H158))</f>
        <v/>
      </c>
      <c r="J158" s="25" t="str">
        <f aca="false">IF(OR($A158="",$C158=""),"",IF(E158="لكل حبة",I158,IFERROR(I158/INDEX(المنتجات!$G$5:$G$24,MATCH($A158,المنتجات!$A$5:$A$24,0)),0)))</f>
        <v/>
      </c>
      <c r="K158" s="27" t="str">
        <f aca="false">IF(OR($A158="",$C158=""),"",N(F158)*IF(E158="لكل حبة",SUMIFS(الإنتاج!$G$5:$G$504,الإنتاج!$C$5:$C$504,$A158),SUMIFS(الإنتاج!$E$5:$E$504,الإنتاج!$C$5:$C$504,$A158)))</f>
        <v/>
      </c>
      <c r="L158" s="29"/>
    </row>
    <row r="159" customFormat="false" ht="15" hidden="false" customHeight="false" outlineLevel="0" collapsed="false">
      <c r="A159" s="29"/>
      <c r="B159" s="28" t="str">
        <f aca="false">IF($A159="","",IFERROR(INDEX(المنتجات!$C$5:$C$24,MATCH($A159,المنتجات!$A$5:$A$24,0)),"كود غير موجود"))</f>
        <v/>
      </c>
      <c r="C159" s="29"/>
      <c r="D159" s="28" t="str">
        <f aca="false">IF($C159="","",IFERROR(INDEX('المواد الخام'!$B$5:$B$104,MATCH($C159,'المواد الخام'!$A$5:$A$104,0)),"كود غير موجود"))</f>
        <v/>
      </c>
      <c r="E159" s="29"/>
      <c r="F159" s="24"/>
      <c r="G159" s="28" t="str">
        <f aca="false">IF($C159="","",IFERROR(INDEX('المواد الخام'!$D$5:$D$104,MATCH($C159,'المواد الخام'!$A$5:$A$104,0)),""))</f>
        <v/>
      </c>
      <c r="H159" s="31" t="str">
        <f aca="false">IF($C159="","",IFERROR(INDEX('المواد الخام'!$G$5:$G$104,MATCH($C159,'المواد الخام'!$A$5:$A$104,0)),0))</f>
        <v/>
      </c>
      <c r="I159" s="25" t="str">
        <f aca="false">IF($C159="","",N(F159)*N(H159))</f>
        <v/>
      </c>
      <c r="J159" s="25" t="str">
        <f aca="false">IF(OR($A159="",$C159=""),"",IF(E159="لكل حبة",I159,IFERROR(I159/INDEX(المنتجات!$G$5:$G$24,MATCH($A159,المنتجات!$A$5:$A$24,0)),0)))</f>
        <v/>
      </c>
      <c r="K159" s="27" t="str">
        <f aca="false">IF(OR($A159="",$C159=""),"",N(F159)*IF(E159="لكل حبة",SUMIFS(الإنتاج!$G$5:$G$504,الإنتاج!$C$5:$C$504,$A159),SUMIFS(الإنتاج!$E$5:$E$504,الإنتاج!$C$5:$C$504,$A159)))</f>
        <v/>
      </c>
      <c r="L159" s="29"/>
    </row>
    <row r="160" customFormat="false" ht="15" hidden="false" customHeight="false" outlineLevel="0" collapsed="false">
      <c r="A160" s="29"/>
      <c r="B160" s="28" t="str">
        <f aca="false">IF($A160="","",IFERROR(INDEX(المنتجات!$C$5:$C$24,MATCH($A160,المنتجات!$A$5:$A$24,0)),"كود غير موجود"))</f>
        <v/>
      </c>
      <c r="C160" s="29"/>
      <c r="D160" s="28" t="str">
        <f aca="false">IF($C160="","",IFERROR(INDEX('المواد الخام'!$B$5:$B$104,MATCH($C160,'المواد الخام'!$A$5:$A$104,0)),"كود غير موجود"))</f>
        <v/>
      </c>
      <c r="E160" s="29"/>
      <c r="F160" s="24"/>
      <c r="G160" s="28" t="str">
        <f aca="false">IF($C160="","",IFERROR(INDEX('المواد الخام'!$D$5:$D$104,MATCH($C160,'المواد الخام'!$A$5:$A$104,0)),""))</f>
        <v/>
      </c>
      <c r="H160" s="31" t="str">
        <f aca="false">IF($C160="","",IFERROR(INDEX('المواد الخام'!$G$5:$G$104,MATCH($C160,'المواد الخام'!$A$5:$A$104,0)),0))</f>
        <v/>
      </c>
      <c r="I160" s="25" t="str">
        <f aca="false">IF($C160="","",N(F160)*N(H160))</f>
        <v/>
      </c>
      <c r="J160" s="25" t="str">
        <f aca="false">IF(OR($A160="",$C160=""),"",IF(E160="لكل حبة",I160,IFERROR(I160/INDEX(المنتجات!$G$5:$G$24,MATCH($A160,المنتجات!$A$5:$A$24,0)),0)))</f>
        <v/>
      </c>
      <c r="K160" s="27" t="str">
        <f aca="false">IF(OR($A160="",$C160=""),"",N(F160)*IF(E160="لكل حبة",SUMIFS(الإنتاج!$G$5:$G$504,الإنتاج!$C$5:$C$504,$A160),SUMIFS(الإنتاج!$E$5:$E$504,الإنتاج!$C$5:$C$504,$A160)))</f>
        <v/>
      </c>
      <c r="L160" s="29"/>
    </row>
    <row r="161" customFormat="false" ht="15" hidden="false" customHeight="false" outlineLevel="0" collapsed="false">
      <c r="A161" s="29"/>
      <c r="B161" s="28" t="str">
        <f aca="false">IF($A161="","",IFERROR(INDEX(المنتجات!$C$5:$C$24,MATCH($A161,المنتجات!$A$5:$A$24,0)),"كود غير موجود"))</f>
        <v/>
      </c>
      <c r="C161" s="29"/>
      <c r="D161" s="28" t="str">
        <f aca="false">IF($C161="","",IFERROR(INDEX('المواد الخام'!$B$5:$B$104,MATCH($C161,'المواد الخام'!$A$5:$A$104,0)),"كود غير موجود"))</f>
        <v/>
      </c>
      <c r="E161" s="29"/>
      <c r="F161" s="24"/>
      <c r="G161" s="28" t="str">
        <f aca="false">IF($C161="","",IFERROR(INDEX('المواد الخام'!$D$5:$D$104,MATCH($C161,'المواد الخام'!$A$5:$A$104,0)),""))</f>
        <v/>
      </c>
      <c r="H161" s="31" t="str">
        <f aca="false">IF($C161="","",IFERROR(INDEX('المواد الخام'!$G$5:$G$104,MATCH($C161,'المواد الخام'!$A$5:$A$104,0)),0))</f>
        <v/>
      </c>
      <c r="I161" s="25" t="str">
        <f aca="false">IF($C161="","",N(F161)*N(H161))</f>
        <v/>
      </c>
      <c r="J161" s="25" t="str">
        <f aca="false">IF(OR($A161="",$C161=""),"",IF(E161="لكل حبة",I161,IFERROR(I161/INDEX(المنتجات!$G$5:$G$24,MATCH($A161,المنتجات!$A$5:$A$24,0)),0)))</f>
        <v/>
      </c>
      <c r="K161" s="27" t="str">
        <f aca="false">IF(OR($A161="",$C161=""),"",N(F161)*IF(E161="لكل حبة",SUMIFS(الإنتاج!$G$5:$G$504,الإنتاج!$C$5:$C$504,$A161),SUMIFS(الإنتاج!$E$5:$E$504,الإنتاج!$C$5:$C$504,$A161)))</f>
        <v/>
      </c>
      <c r="L161" s="29"/>
    </row>
    <row r="162" customFormat="false" ht="15" hidden="false" customHeight="false" outlineLevel="0" collapsed="false">
      <c r="A162" s="29"/>
      <c r="B162" s="28" t="str">
        <f aca="false">IF($A162="","",IFERROR(INDEX(المنتجات!$C$5:$C$24,MATCH($A162,المنتجات!$A$5:$A$24,0)),"كود غير موجود"))</f>
        <v/>
      </c>
      <c r="C162" s="29"/>
      <c r="D162" s="28" t="str">
        <f aca="false">IF($C162="","",IFERROR(INDEX('المواد الخام'!$B$5:$B$104,MATCH($C162,'المواد الخام'!$A$5:$A$104,0)),"كود غير موجود"))</f>
        <v/>
      </c>
      <c r="E162" s="29"/>
      <c r="F162" s="24"/>
      <c r="G162" s="28" t="str">
        <f aca="false">IF($C162="","",IFERROR(INDEX('المواد الخام'!$D$5:$D$104,MATCH($C162,'المواد الخام'!$A$5:$A$104,0)),""))</f>
        <v/>
      </c>
      <c r="H162" s="31" t="str">
        <f aca="false">IF($C162="","",IFERROR(INDEX('المواد الخام'!$G$5:$G$104,MATCH($C162,'المواد الخام'!$A$5:$A$104,0)),0))</f>
        <v/>
      </c>
      <c r="I162" s="25" t="str">
        <f aca="false">IF($C162="","",N(F162)*N(H162))</f>
        <v/>
      </c>
      <c r="J162" s="25" t="str">
        <f aca="false">IF(OR($A162="",$C162=""),"",IF(E162="لكل حبة",I162,IFERROR(I162/INDEX(المنتجات!$G$5:$G$24,MATCH($A162,المنتجات!$A$5:$A$24,0)),0)))</f>
        <v/>
      </c>
      <c r="K162" s="27" t="str">
        <f aca="false">IF(OR($A162="",$C162=""),"",N(F162)*IF(E162="لكل حبة",SUMIFS(الإنتاج!$G$5:$G$504,الإنتاج!$C$5:$C$504,$A162),SUMIFS(الإنتاج!$E$5:$E$504,الإنتاج!$C$5:$C$504,$A162)))</f>
        <v/>
      </c>
      <c r="L162" s="29"/>
    </row>
    <row r="163" customFormat="false" ht="15" hidden="false" customHeight="false" outlineLevel="0" collapsed="false">
      <c r="A163" s="29"/>
      <c r="B163" s="28" t="str">
        <f aca="false">IF($A163="","",IFERROR(INDEX(المنتجات!$C$5:$C$24,MATCH($A163,المنتجات!$A$5:$A$24,0)),"كود غير موجود"))</f>
        <v/>
      </c>
      <c r="C163" s="29"/>
      <c r="D163" s="28" t="str">
        <f aca="false">IF($C163="","",IFERROR(INDEX('المواد الخام'!$B$5:$B$104,MATCH($C163,'المواد الخام'!$A$5:$A$104,0)),"كود غير موجود"))</f>
        <v/>
      </c>
      <c r="E163" s="29"/>
      <c r="F163" s="24"/>
      <c r="G163" s="28" t="str">
        <f aca="false">IF($C163="","",IFERROR(INDEX('المواد الخام'!$D$5:$D$104,MATCH($C163,'المواد الخام'!$A$5:$A$104,0)),""))</f>
        <v/>
      </c>
      <c r="H163" s="31" t="str">
        <f aca="false">IF($C163="","",IFERROR(INDEX('المواد الخام'!$G$5:$G$104,MATCH($C163,'المواد الخام'!$A$5:$A$104,0)),0))</f>
        <v/>
      </c>
      <c r="I163" s="25" t="str">
        <f aca="false">IF($C163="","",N(F163)*N(H163))</f>
        <v/>
      </c>
      <c r="J163" s="25" t="str">
        <f aca="false">IF(OR($A163="",$C163=""),"",IF(E163="لكل حبة",I163,IFERROR(I163/INDEX(المنتجات!$G$5:$G$24,MATCH($A163,المنتجات!$A$5:$A$24,0)),0)))</f>
        <v/>
      </c>
      <c r="K163" s="27" t="str">
        <f aca="false">IF(OR($A163="",$C163=""),"",N(F163)*IF(E163="لكل حبة",SUMIFS(الإنتاج!$G$5:$G$504,الإنتاج!$C$5:$C$504,$A163),SUMIFS(الإنتاج!$E$5:$E$504,الإنتاج!$C$5:$C$504,$A163)))</f>
        <v/>
      </c>
      <c r="L163" s="29"/>
    </row>
    <row r="164" customFormat="false" ht="15" hidden="false" customHeight="false" outlineLevel="0" collapsed="false">
      <c r="A164" s="29"/>
      <c r="B164" s="28" t="str">
        <f aca="false">IF($A164="","",IFERROR(INDEX(المنتجات!$C$5:$C$24,MATCH($A164,المنتجات!$A$5:$A$24,0)),"كود غير موجود"))</f>
        <v/>
      </c>
      <c r="C164" s="29"/>
      <c r="D164" s="28" t="str">
        <f aca="false">IF($C164="","",IFERROR(INDEX('المواد الخام'!$B$5:$B$104,MATCH($C164,'المواد الخام'!$A$5:$A$104,0)),"كود غير موجود"))</f>
        <v/>
      </c>
      <c r="E164" s="29"/>
      <c r="F164" s="24"/>
      <c r="G164" s="28" t="str">
        <f aca="false">IF($C164="","",IFERROR(INDEX('المواد الخام'!$D$5:$D$104,MATCH($C164,'المواد الخام'!$A$5:$A$104,0)),""))</f>
        <v/>
      </c>
      <c r="H164" s="31" t="str">
        <f aca="false">IF($C164="","",IFERROR(INDEX('المواد الخام'!$G$5:$G$104,MATCH($C164,'المواد الخام'!$A$5:$A$104,0)),0))</f>
        <v/>
      </c>
      <c r="I164" s="25" t="str">
        <f aca="false">IF($C164="","",N(F164)*N(H164))</f>
        <v/>
      </c>
      <c r="J164" s="25" t="str">
        <f aca="false">IF(OR($A164="",$C164=""),"",IF(E164="لكل حبة",I164,IFERROR(I164/INDEX(المنتجات!$G$5:$G$24,MATCH($A164,المنتجات!$A$5:$A$24,0)),0)))</f>
        <v/>
      </c>
      <c r="K164" s="27" t="str">
        <f aca="false">IF(OR($A164="",$C164=""),"",N(F164)*IF(E164="لكل حبة",SUMIFS(الإنتاج!$G$5:$G$504,الإنتاج!$C$5:$C$504,$A164),SUMIFS(الإنتاج!$E$5:$E$504,الإنتاج!$C$5:$C$504,$A164)))</f>
        <v/>
      </c>
      <c r="L164" s="29"/>
    </row>
    <row r="165" customFormat="false" ht="15" hidden="false" customHeight="false" outlineLevel="0" collapsed="false">
      <c r="A165" s="29"/>
      <c r="B165" s="28" t="str">
        <f aca="false">IF($A165="","",IFERROR(INDEX(المنتجات!$C$5:$C$24,MATCH($A165,المنتجات!$A$5:$A$24,0)),"كود غير موجود"))</f>
        <v/>
      </c>
      <c r="C165" s="29"/>
      <c r="D165" s="28" t="str">
        <f aca="false">IF($C165="","",IFERROR(INDEX('المواد الخام'!$B$5:$B$104,MATCH($C165,'المواد الخام'!$A$5:$A$104,0)),"كود غير موجود"))</f>
        <v/>
      </c>
      <c r="E165" s="29"/>
      <c r="F165" s="24"/>
      <c r="G165" s="28" t="str">
        <f aca="false">IF($C165="","",IFERROR(INDEX('المواد الخام'!$D$5:$D$104,MATCH($C165,'المواد الخام'!$A$5:$A$104,0)),""))</f>
        <v/>
      </c>
      <c r="H165" s="31" t="str">
        <f aca="false">IF($C165="","",IFERROR(INDEX('المواد الخام'!$G$5:$G$104,MATCH($C165,'المواد الخام'!$A$5:$A$104,0)),0))</f>
        <v/>
      </c>
      <c r="I165" s="25" t="str">
        <f aca="false">IF($C165="","",N(F165)*N(H165))</f>
        <v/>
      </c>
      <c r="J165" s="25" t="str">
        <f aca="false">IF(OR($A165="",$C165=""),"",IF(E165="لكل حبة",I165,IFERROR(I165/INDEX(المنتجات!$G$5:$G$24,MATCH($A165,المنتجات!$A$5:$A$24,0)),0)))</f>
        <v/>
      </c>
      <c r="K165" s="27" t="str">
        <f aca="false">IF(OR($A165="",$C165=""),"",N(F165)*IF(E165="لكل حبة",SUMIFS(الإنتاج!$G$5:$G$504,الإنتاج!$C$5:$C$504,$A165),SUMIFS(الإنتاج!$E$5:$E$504,الإنتاج!$C$5:$C$504,$A165)))</f>
        <v/>
      </c>
      <c r="L165" s="29"/>
    </row>
    <row r="166" customFormat="false" ht="15" hidden="false" customHeight="false" outlineLevel="0" collapsed="false">
      <c r="A166" s="29"/>
      <c r="B166" s="28" t="str">
        <f aca="false">IF($A166="","",IFERROR(INDEX(المنتجات!$C$5:$C$24,MATCH($A166,المنتجات!$A$5:$A$24,0)),"كود غير موجود"))</f>
        <v/>
      </c>
      <c r="C166" s="29"/>
      <c r="D166" s="28" t="str">
        <f aca="false">IF($C166="","",IFERROR(INDEX('المواد الخام'!$B$5:$B$104,MATCH($C166,'المواد الخام'!$A$5:$A$104,0)),"كود غير موجود"))</f>
        <v/>
      </c>
      <c r="E166" s="29"/>
      <c r="F166" s="24"/>
      <c r="G166" s="28" t="str">
        <f aca="false">IF($C166="","",IFERROR(INDEX('المواد الخام'!$D$5:$D$104,MATCH($C166,'المواد الخام'!$A$5:$A$104,0)),""))</f>
        <v/>
      </c>
      <c r="H166" s="31" t="str">
        <f aca="false">IF($C166="","",IFERROR(INDEX('المواد الخام'!$G$5:$G$104,MATCH($C166,'المواد الخام'!$A$5:$A$104,0)),0))</f>
        <v/>
      </c>
      <c r="I166" s="25" t="str">
        <f aca="false">IF($C166="","",N(F166)*N(H166))</f>
        <v/>
      </c>
      <c r="J166" s="25" t="str">
        <f aca="false">IF(OR($A166="",$C166=""),"",IF(E166="لكل حبة",I166,IFERROR(I166/INDEX(المنتجات!$G$5:$G$24,MATCH($A166,المنتجات!$A$5:$A$24,0)),0)))</f>
        <v/>
      </c>
      <c r="K166" s="27" t="str">
        <f aca="false">IF(OR($A166="",$C166=""),"",N(F166)*IF(E166="لكل حبة",SUMIFS(الإنتاج!$G$5:$G$504,الإنتاج!$C$5:$C$504,$A166),SUMIFS(الإنتاج!$E$5:$E$504,الإنتاج!$C$5:$C$504,$A166)))</f>
        <v/>
      </c>
      <c r="L166" s="29"/>
    </row>
    <row r="167" customFormat="false" ht="15" hidden="false" customHeight="false" outlineLevel="0" collapsed="false">
      <c r="A167" s="29"/>
      <c r="B167" s="28" t="str">
        <f aca="false">IF($A167="","",IFERROR(INDEX(المنتجات!$C$5:$C$24,MATCH($A167,المنتجات!$A$5:$A$24,0)),"كود غير موجود"))</f>
        <v/>
      </c>
      <c r="C167" s="29"/>
      <c r="D167" s="28" t="str">
        <f aca="false">IF($C167="","",IFERROR(INDEX('المواد الخام'!$B$5:$B$104,MATCH($C167,'المواد الخام'!$A$5:$A$104,0)),"كود غير موجود"))</f>
        <v/>
      </c>
      <c r="E167" s="29"/>
      <c r="F167" s="24"/>
      <c r="G167" s="28" t="str">
        <f aca="false">IF($C167="","",IFERROR(INDEX('المواد الخام'!$D$5:$D$104,MATCH($C167,'المواد الخام'!$A$5:$A$104,0)),""))</f>
        <v/>
      </c>
      <c r="H167" s="31" t="str">
        <f aca="false">IF($C167="","",IFERROR(INDEX('المواد الخام'!$G$5:$G$104,MATCH($C167,'المواد الخام'!$A$5:$A$104,0)),0))</f>
        <v/>
      </c>
      <c r="I167" s="25" t="str">
        <f aca="false">IF($C167="","",N(F167)*N(H167))</f>
        <v/>
      </c>
      <c r="J167" s="25" t="str">
        <f aca="false">IF(OR($A167="",$C167=""),"",IF(E167="لكل حبة",I167,IFERROR(I167/INDEX(المنتجات!$G$5:$G$24,MATCH($A167,المنتجات!$A$5:$A$24,0)),0)))</f>
        <v/>
      </c>
      <c r="K167" s="27" t="str">
        <f aca="false">IF(OR($A167="",$C167=""),"",N(F167)*IF(E167="لكل حبة",SUMIFS(الإنتاج!$G$5:$G$504,الإنتاج!$C$5:$C$504,$A167),SUMIFS(الإنتاج!$E$5:$E$504,الإنتاج!$C$5:$C$504,$A167)))</f>
        <v/>
      </c>
      <c r="L167" s="29"/>
    </row>
    <row r="168" customFormat="false" ht="15" hidden="false" customHeight="false" outlineLevel="0" collapsed="false">
      <c r="A168" s="29"/>
      <c r="B168" s="28" t="str">
        <f aca="false">IF($A168="","",IFERROR(INDEX(المنتجات!$C$5:$C$24,MATCH($A168,المنتجات!$A$5:$A$24,0)),"كود غير موجود"))</f>
        <v/>
      </c>
      <c r="C168" s="29"/>
      <c r="D168" s="28" t="str">
        <f aca="false">IF($C168="","",IFERROR(INDEX('المواد الخام'!$B$5:$B$104,MATCH($C168,'المواد الخام'!$A$5:$A$104,0)),"كود غير موجود"))</f>
        <v/>
      </c>
      <c r="E168" s="29"/>
      <c r="F168" s="24"/>
      <c r="G168" s="28" t="str">
        <f aca="false">IF($C168="","",IFERROR(INDEX('المواد الخام'!$D$5:$D$104,MATCH($C168,'المواد الخام'!$A$5:$A$104,0)),""))</f>
        <v/>
      </c>
      <c r="H168" s="31" t="str">
        <f aca="false">IF($C168="","",IFERROR(INDEX('المواد الخام'!$G$5:$G$104,MATCH($C168,'المواد الخام'!$A$5:$A$104,0)),0))</f>
        <v/>
      </c>
      <c r="I168" s="25" t="str">
        <f aca="false">IF($C168="","",N(F168)*N(H168))</f>
        <v/>
      </c>
      <c r="J168" s="25" t="str">
        <f aca="false">IF(OR($A168="",$C168=""),"",IF(E168="لكل حبة",I168,IFERROR(I168/INDEX(المنتجات!$G$5:$G$24,MATCH($A168,المنتجات!$A$5:$A$24,0)),0)))</f>
        <v/>
      </c>
      <c r="K168" s="27" t="str">
        <f aca="false">IF(OR($A168="",$C168=""),"",N(F168)*IF(E168="لكل حبة",SUMIFS(الإنتاج!$G$5:$G$504,الإنتاج!$C$5:$C$504,$A168),SUMIFS(الإنتاج!$E$5:$E$504,الإنتاج!$C$5:$C$504,$A168)))</f>
        <v/>
      </c>
      <c r="L168" s="29"/>
    </row>
    <row r="169" customFormat="false" ht="15" hidden="false" customHeight="false" outlineLevel="0" collapsed="false">
      <c r="A169" s="29"/>
      <c r="B169" s="28" t="str">
        <f aca="false">IF($A169="","",IFERROR(INDEX(المنتجات!$C$5:$C$24,MATCH($A169,المنتجات!$A$5:$A$24,0)),"كود غير موجود"))</f>
        <v/>
      </c>
      <c r="C169" s="29"/>
      <c r="D169" s="28" t="str">
        <f aca="false">IF($C169="","",IFERROR(INDEX('المواد الخام'!$B$5:$B$104,MATCH($C169,'المواد الخام'!$A$5:$A$104,0)),"كود غير موجود"))</f>
        <v/>
      </c>
      <c r="E169" s="29"/>
      <c r="F169" s="24"/>
      <c r="G169" s="28" t="str">
        <f aca="false">IF($C169="","",IFERROR(INDEX('المواد الخام'!$D$5:$D$104,MATCH($C169,'المواد الخام'!$A$5:$A$104,0)),""))</f>
        <v/>
      </c>
      <c r="H169" s="31" t="str">
        <f aca="false">IF($C169="","",IFERROR(INDEX('المواد الخام'!$G$5:$G$104,MATCH($C169,'المواد الخام'!$A$5:$A$104,0)),0))</f>
        <v/>
      </c>
      <c r="I169" s="25" t="str">
        <f aca="false">IF($C169="","",N(F169)*N(H169))</f>
        <v/>
      </c>
      <c r="J169" s="25" t="str">
        <f aca="false">IF(OR($A169="",$C169=""),"",IF(E169="لكل حبة",I169,IFERROR(I169/INDEX(المنتجات!$G$5:$G$24,MATCH($A169,المنتجات!$A$5:$A$24,0)),0)))</f>
        <v/>
      </c>
      <c r="K169" s="27" t="str">
        <f aca="false">IF(OR($A169="",$C169=""),"",N(F169)*IF(E169="لكل حبة",SUMIFS(الإنتاج!$G$5:$G$504,الإنتاج!$C$5:$C$504,$A169),SUMIFS(الإنتاج!$E$5:$E$504,الإنتاج!$C$5:$C$504,$A169)))</f>
        <v/>
      </c>
      <c r="L169" s="29"/>
    </row>
    <row r="170" customFormat="false" ht="15" hidden="false" customHeight="false" outlineLevel="0" collapsed="false">
      <c r="A170" s="29"/>
      <c r="B170" s="28" t="str">
        <f aca="false">IF($A170="","",IFERROR(INDEX(المنتجات!$C$5:$C$24,MATCH($A170,المنتجات!$A$5:$A$24,0)),"كود غير موجود"))</f>
        <v/>
      </c>
      <c r="C170" s="29"/>
      <c r="D170" s="28" t="str">
        <f aca="false">IF($C170="","",IFERROR(INDEX('المواد الخام'!$B$5:$B$104,MATCH($C170,'المواد الخام'!$A$5:$A$104,0)),"كود غير موجود"))</f>
        <v/>
      </c>
      <c r="E170" s="29"/>
      <c r="F170" s="24"/>
      <c r="G170" s="28" t="str">
        <f aca="false">IF($C170="","",IFERROR(INDEX('المواد الخام'!$D$5:$D$104,MATCH($C170,'المواد الخام'!$A$5:$A$104,0)),""))</f>
        <v/>
      </c>
      <c r="H170" s="31" t="str">
        <f aca="false">IF($C170="","",IFERROR(INDEX('المواد الخام'!$G$5:$G$104,MATCH($C170,'المواد الخام'!$A$5:$A$104,0)),0))</f>
        <v/>
      </c>
      <c r="I170" s="25" t="str">
        <f aca="false">IF($C170="","",N(F170)*N(H170))</f>
        <v/>
      </c>
      <c r="J170" s="25" t="str">
        <f aca="false">IF(OR($A170="",$C170=""),"",IF(E170="لكل حبة",I170,IFERROR(I170/INDEX(المنتجات!$G$5:$G$24,MATCH($A170,المنتجات!$A$5:$A$24,0)),0)))</f>
        <v/>
      </c>
      <c r="K170" s="27" t="str">
        <f aca="false">IF(OR($A170="",$C170=""),"",N(F170)*IF(E170="لكل حبة",SUMIFS(الإنتاج!$G$5:$G$504,الإنتاج!$C$5:$C$504,$A170),SUMIFS(الإنتاج!$E$5:$E$504,الإنتاج!$C$5:$C$504,$A170)))</f>
        <v/>
      </c>
      <c r="L170" s="29"/>
    </row>
    <row r="171" customFormat="false" ht="15" hidden="false" customHeight="false" outlineLevel="0" collapsed="false">
      <c r="A171" s="29"/>
      <c r="B171" s="28" t="str">
        <f aca="false">IF($A171="","",IFERROR(INDEX(المنتجات!$C$5:$C$24,MATCH($A171,المنتجات!$A$5:$A$24,0)),"كود غير موجود"))</f>
        <v/>
      </c>
      <c r="C171" s="29"/>
      <c r="D171" s="28" t="str">
        <f aca="false">IF($C171="","",IFERROR(INDEX('المواد الخام'!$B$5:$B$104,MATCH($C171,'المواد الخام'!$A$5:$A$104,0)),"كود غير موجود"))</f>
        <v/>
      </c>
      <c r="E171" s="29"/>
      <c r="F171" s="24"/>
      <c r="G171" s="28" t="str">
        <f aca="false">IF($C171="","",IFERROR(INDEX('المواد الخام'!$D$5:$D$104,MATCH($C171,'المواد الخام'!$A$5:$A$104,0)),""))</f>
        <v/>
      </c>
      <c r="H171" s="31" t="str">
        <f aca="false">IF($C171="","",IFERROR(INDEX('المواد الخام'!$G$5:$G$104,MATCH($C171,'المواد الخام'!$A$5:$A$104,0)),0))</f>
        <v/>
      </c>
      <c r="I171" s="25" t="str">
        <f aca="false">IF($C171="","",N(F171)*N(H171))</f>
        <v/>
      </c>
      <c r="J171" s="25" t="str">
        <f aca="false">IF(OR($A171="",$C171=""),"",IF(E171="لكل حبة",I171,IFERROR(I171/INDEX(المنتجات!$G$5:$G$24,MATCH($A171,المنتجات!$A$5:$A$24,0)),0)))</f>
        <v/>
      </c>
      <c r="K171" s="27" t="str">
        <f aca="false">IF(OR($A171="",$C171=""),"",N(F171)*IF(E171="لكل حبة",SUMIFS(الإنتاج!$G$5:$G$504,الإنتاج!$C$5:$C$504,$A171),SUMIFS(الإنتاج!$E$5:$E$504,الإنتاج!$C$5:$C$504,$A171)))</f>
        <v/>
      </c>
      <c r="L171" s="29"/>
    </row>
    <row r="172" customFormat="false" ht="15" hidden="false" customHeight="false" outlineLevel="0" collapsed="false">
      <c r="A172" s="29"/>
      <c r="B172" s="28" t="str">
        <f aca="false">IF($A172="","",IFERROR(INDEX(المنتجات!$C$5:$C$24,MATCH($A172,المنتجات!$A$5:$A$24,0)),"كود غير موجود"))</f>
        <v/>
      </c>
      <c r="C172" s="29"/>
      <c r="D172" s="28" t="str">
        <f aca="false">IF($C172="","",IFERROR(INDEX('المواد الخام'!$B$5:$B$104,MATCH($C172,'المواد الخام'!$A$5:$A$104,0)),"كود غير موجود"))</f>
        <v/>
      </c>
      <c r="E172" s="29"/>
      <c r="F172" s="24"/>
      <c r="G172" s="28" t="str">
        <f aca="false">IF($C172="","",IFERROR(INDEX('المواد الخام'!$D$5:$D$104,MATCH($C172,'المواد الخام'!$A$5:$A$104,0)),""))</f>
        <v/>
      </c>
      <c r="H172" s="31" t="str">
        <f aca="false">IF($C172="","",IFERROR(INDEX('المواد الخام'!$G$5:$G$104,MATCH($C172,'المواد الخام'!$A$5:$A$104,0)),0))</f>
        <v/>
      </c>
      <c r="I172" s="25" t="str">
        <f aca="false">IF($C172="","",N(F172)*N(H172))</f>
        <v/>
      </c>
      <c r="J172" s="25" t="str">
        <f aca="false">IF(OR($A172="",$C172=""),"",IF(E172="لكل حبة",I172,IFERROR(I172/INDEX(المنتجات!$G$5:$G$24,MATCH($A172,المنتجات!$A$5:$A$24,0)),0)))</f>
        <v/>
      </c>
      <c r="K172" s="27" t="str">
        <f aca="false">IF(OR($A172="",$C172=""),"",N(F172)*IF(E172="لكل حبة",SUMIFS(الإنتاج!$G$5:$G$504,الإنتاج!$C$5:$C$504,$A172),SUMIFS(الإنتاج!$E$5:$E$504,الإنتاج!$C$5:$C$504,$A172)))</f>
        <v/>
      </c>
      <c r="L172" s="29"/>
    </row>
    <row r="173" customFormat="false" ht="15" hidden="false" customHeight="false" outlineLevel="0" collapsed="false">
      <c r="A173" s="29"/>
      <c r="B173" s="28" t="str">
        <f aca="false">IF($A173="","",IFERROR(INDEX(المنتجات!$C$5:$C$24,MATCH($A173,المنتجات!$A$5:$A$24,0)),"كود غير موجود"))</f>
        <v/>
      </c>
      <c r="C173" s="29"/>
      <c r="D173" s="28" t="str">
        <f aca="false">IF($C173="","",IFERROR(INDEX('المواد الخام'!$B$5:$B$104,MATCH($C173,'المواد الخام'!$A$5:$A$104,0)),"كود غير موجود"))</f>
        <v/>
      </c>
      <c r="E173" s="29"/>
      <c r="F173" s="24"/>
      <c r="G173" s="28" t="str">
        <f aca="false">IF($C173="","",IFERROR(INDEX('المواد الخام'!$D$5:$D$104,MATCH($C173,'المواد الخام'!$A$5:$A$104,0)),""))</f>
        <v/>
      </c>
      <c r="H173" s="31" t="str">
        <f aca="false">IF($C173="","",IFERROR(INDEX('المواد الخام'!$G$5:$G$104,MATCH($C173,'المواد الخام'!$A$5:$A$104,0)),0))</f>
        <v/>
      </c>
      <c r="I173" s="25" t="str">
        <f aca="false">IF($C173="","",N(F173)*N(H173))</f>
        <v/>
      </c>
      <c r="J173" s="25" t="str">
        <f aca="false">IF(OR($A173="",$C173=""),"",IF(E173="لكل حبة",I173,IFERROR(I173/INDEX(المنتجات!$G$5:$G$24,MATCH($A173,المنتجات!$A$5:$A$24,0)),0)))</f>
        <v/>
      </c>
      <c r="K173" s="27" t="str">
        <f aca="false">IF(OR($A173="",$C173=""),"",N(F173)*IF(E173="لكل حبة",SUMIFS(الإنتاج!$G$5:$G$504,الإنتاج!$C$5:$C$504,$A173),SUMIFS(الإنتاج!$E$5:$E$504,الإنتاج!$C$5:$C$504,$A173)))</f>
        <v/>
      </c>
      <c r="L173" s="29"/>
    </row>
    <row r="174" customFormat="false" ht="15" hidden="false" customHeight="false" outlineLevel="0" collapsed="false">
      <c r="A174" s="29"/>
      <c r="B174" s="28" t="str">
        <f aca="false">IF($A174="","",IFERROR(INDEX(المنتجات!$C$5:$C$24,MATCH($A174,المنتجات!$A$5:$A$24,0)),"كود غير موجود"))</f>
        <v/>
      </c>
      <c r="C174" s="29"/>
      <c r="D174" s="28" t="str">
        <f aca="false">IF($C174="","",IFERROR(INDEX('المواد الخام'!$B$5:$B$104,MATCH($C174,'المواد الخام'!$A$5:$A$104,0)),"كود غير موجود"))</f>
        <v/>
      </c>
      <c r="E174" s="29"/>
      <c r="F174" s="24"/>
      <c r="G174" s="28" t="str">
        <f aca="false">IF($C174="","",IFERROR(INDEX('المواد الخام'!$D$5:$D$104,MATCH($C174,'المواد الخام'!$A$5:$A$104,0)),""))</f>
        <v/>
      </c>
      <c r="H174" s="31" t="str">
        <f aca="false">IF($C174="","",IFERROR(INDEX('المواد الخام'!$G$5:$G$104,MATCH($C174,'المواد الخام'!$A$5:$A$104,0)),0))</f>
        <v/>
      </c>
      <c r="I174" s="25" t="str">
        <f aca="false">IF($C174="","",N(F174)*N(H174))</f>
        <v/>
      </c>
      <c r="J174" s="25" t="str">
        <f aca="false">IF(OR($A174="",$C174=""),"",IF(E174="لكل حبة",I174,IFERROR(I174/INDEX(المنتجات!$G$5:$G$24,MATCH($A174,المنتجات!$A$5:$A$24,0)),0)))</f>
        <v/>
      </c>
      <c r="K174" s="27" t="str">
        <f aca="false">IF(OR($A174="",$C174=""),"",N(F174)*IF(E174="لكل حبة",SUMIFS(الإنتاج!$G$5:$G$504,الإنتاج!$C$5:$C$504,$A174),SUMIFS(الإنتاج!$E$5:$E$504,الإنتاج!$C$5:$C$504,$A174)))</f>
        <v/>
      </c>
      <c r="L174" s="29"/>
    </row>
    <row r="175" customFormat="false" ht="15" hidden="false" customHeight="false" outlineLevel="0" collapsed="false">
      <c r="A175" s="29"/>
      <c r="B175" s="28" t="str">
        <f aca="false">IF($A175="","",IFERROR(INDEX(المنتجات!$C$5:$C$24,MATCH($A175,المنتجات!$A$5:$A$24,0)),"كود غير موجود"))</f>
        <v/>
      </c>
      <c r="C175" s="29"/>
      <c r="D175" s="28" t="str">
        <f aca="false">IF($C175="","",IFERROR(INDEX('المواد الخام'!$B$5:$B$104,MATCH($C175,'المواد الخام'!$A$5:$A$104,0)),"كود غير موجود"))</f>
        <v/>
      </c>
      <c r="E175" s="29"/>
      <c r="F175" s="24"/>
      <c r="G175" s="28" t="str">
        <f aca="false">IF($C175="","",IFERROR(INDEX('المواد الخام'!$D$5:$D$104,MATCH($C175,'المواد الخام'!$A$5:$A$104,0)),""))</f>
        <v/>
      </c>
      <c r="H175" s="31" t="str">
        <f aca="false">IF($C175="","",IFERROR(INDEX('المواد الخام'!$G$5:$G$104,MATCH($C175,'المواد الخام'!$A$5:$A$104,0)),0))</f>
        <v/>
      </c>
      <c r="I175" s="25" t="str">
        <f aca="false">IF($C175="","",N(F175)*N(H175))</f>
        <v/>
      </c>
      <c r="J175" s="25" t="str">
        <f aca="false">IF(OR($A175="",$C175=""),"",IF(E175="لكل حبة",I175,IFERROR(I175/INDEX(المنتجات!$G$5:$G$24,MATCH($A175,المنتجات!$A$5:$A$24,0)),0)))</f>
        <v/>
      </c>
      <c r="K175" s="27" t="str">
        <f aca="false">IF(OR($A175="",$C175=""),"",N(F175)*IF(E175="لكل حبة",SUMIFS(الإنتاج!$G$5:$G$504,الإنتاج!$C$5:$C$504,$A175),SUMIFS(الإنتاج!$E$5:$E$504,الإنتاج!$C$5:$C$504,$A175)))</f>
        <v/>
      </c>
      <c r="L175" s="29"/>
    </row>
    <row r="176" customFormat="false" ht="15" hidden="false" customHeight="false" outlineLevel="0" collapsed="false">
      <c r="A176" s="29"/>
      <c r="B176" s="28" t="str">
        <f aca="false">IF($A176="","",IFERROR(INDEX(المنتجات!$C$5:$C$24,MATCH($A176,المنتجات!$A$5:$A$24,0)),"كود غير موجود"))</f>
        <v/>
      </c>
      <c r="C176" s="29"/>
      <c r="D176" s="28" t="str">
        <f aca="false">IF($C176="","",IFERROR(INDEX('المواد الخام'!$B$5:$B$104,MATCH($C176,'المواد الخام'!$A$5:$A$104,0)),"كود غير موجود"))</f>
        <v/>
      </c>
      <c r="E176" s="29"/>
      <c r="F176" s="24"/>
      <c r="G176" s="28" t="str">
        <f aca="false">IF($C176="","",IFERROR(INDEX('المواد الخام'!$D$5:$D$104,MATCH($C176,'المواد الخام'!$A$5:$A$104,0)),""))</f>
        <v/>
      </c>
      <c r="H176" s="31" t="str">
        <f aca="false">IF($C176="","",IFERROR(INDEX('المواد الخام'!$G$5:$G$104,MATCH($C176,'المواد الخام'!$A$5:$A$104,0)),0))</f>
        <v/>
      </c>
      <c r="I176" s="25" t="str">
        <f aca="false">IF($C176="","",N(F176)*N(H176))</f>
        <v/>
      </c>
      <c r="J176" s="25" t="str">
        <f aca="false">IF(OR($A176="",$C176=""),"",IF(E176="لكل حبة",I176,IFERROR(I176/INDEX(المنتجات!$G$5:$G$24,MATCH($A176,المنتجات!$A$5:$A$24,0)),0)))</f>
        <v/>
      </c>
      <c r="K176" s="27" t="str">
        <f aca="false">IF(OR($A176="",$C176=""),"",N(F176)*IF(E176="لكل حبة",SUMIFS(الإنتاج!$G$5:$G$504,الإنتاج!$C$5:$C$504,$A176),SUMIFS(الإنتاج!$E$5:$E$504,الإنتاج!$C$5:$C$504,$A176)))</f>
        <v/>
      </c>
      <c r="L176" s="29"/>
    </row>
    <row r="177" customFormat="false" ht="15" hidden="false" customHeight="false" outlineLevel="0" collapsed="false">
      <c r="A177" s="29"/>
      <c r="B177" s="28" t="str">
        <f aca="false">IF($A177="","",IFERROR(INDEX(المنتجات!$C$5:$C$24,MATCH($A177,المنتجات!$A$5:$A$24,0)),"كود غير موجود"))</f>
        <v/>
      </c>
      <c r="C177" s="29"/>
      <c r="D177" s="28" t="str">
        <f aca="false">IF($C177="","",IFERROR(INDEX('المواد الخام'!$B$5:$B$104,MATCH($C177,'المواد الخام'!$A$5:$A$104,0)),"كود غير موجود"))</f>
        <v/>
      </c>
      <c r="E177" s="29"/>
      <c r="F177" s="24"/>
      <c r="G177" s="28" t="str">
        <f aca="false">IF($C177="","",IFERROR(INDEX('المواد الخام'!$D$5:$D$104,MATCH($C177,'المواد الخام'!$A$5:$A$104,0)),""))</f>
        <v/>
      </c>
      <c r="H177" s="31" t="str">
        <f aca="false">IF($C177="","",IFERROR(INDEX('المواد الخام'!$G$5:$G$104,MATCH($C177,'المواد الخام'!$A$5:$A$104,0)),0))</f>
        <v/>
      </c>
      <c r="I177" s="25" t="str">
        <f aca="false">IF($C177="","",N(F177)*N(H177))</f>
        <v/>
      </c>
      <c r="J177" s="25" t="str">
        <f aca="false">IF(OR($A177="",$C177=""),"",IF(E177="لكل حبة",I177,IFERROR(I177/INDEX(المنتجات!$G$5:$G$24,MATCH($A177,المنتجات!$A$5:$A$24,0)),0)))</f>
        <v/>
      </c>
      <c r="K177" s="27" t="str">
        <f aca="false">IF(OR($A177="",$C177=""),"",N(F177)*IF(E177="لكل حبة",SUMIFS(الإنتاج!$G$5:$G$504,الإنتاج!$C$5:$C$504,$A177),SUMIFS(الإنتاج!$E$5:$E$504,الإنتاج!$C$5:$C$504,$A177)))</f>
        <v/>
      </c>
      <c r="L177" s="29"/>
    </row>
    <row r="178" customFormat="false" ht="15" hidden="false" customHeight="false" outlineLevel="0" collapsed="false">
      <c r="A178" s="29"/>
      <c r="B178" s="28" t="str">
        <f aca="false">IF($A178="","",IFERROR(INDEX(المنتجات!$C$5:$C$24,MATCH($A178,المنتجات!$A$5:$A$24,0)),"كود غير موجود"))</f>
        <v/>
      </c>
      <c r="C178" s="29"/>
      <c r="D178" s="28" t="str">
        <f aca="false">IF($C178="","",IFERROR(INDEX('المواد الخام'!$B$5:$B$104,MATCH($C178,'المواد الخام'!$A$5:$A$104,0)),"كود غير موجود"))</f>
        <v/>
      </c>
      <c r="E178" s="29"/>
      <c r="F178" s="24"/>
      <c r="G178" s="28" t="str">
        <f aca="false">IF($C178="","",IFERROR(INDEX('المواد الخام'!$D$5:$D$104,MATCH($C178,'المواد الخام'!$A$5:$A$104,0)),""))</f>
        <v/>
      </c>
      <c r="H178" s="31" t="str">
        <f aca="false">IF($C178="","",IFERROR(INDEX('المواد الخام'!$G$5:$G$104,MATCH($C178,'المواد الخام'!$A$5:$A$104,0)),0))</f>
        <v/>
      </c>
      <c r="I178" s="25" t="str">
        <f aca="false">IF($C178="","",N(F178)*N(H178))</f>
        <v/>
      </c>
      <c r="J178" s="25" t="str">
        <f aca="false">IF(OR($A178="",$C178=""),"",IF(E178="لكل حبة",I178,IFERROR(I178/INDEX(المنتجات!$G$5:$G$24,MATCH($A178,المنتجات!$A$5:$A$24,0)),0)))</f>
        <v/>
      </c>
      <c r="K178" s="27" t="str">
        <f aca="false">IF(OR($A178="",$C178=""),"",N(F178)*IF(E178="لكل حبة",SUMIFS(الإنتاج!$G$5:$G$504,الإنتاج!$C$5:$C$504,$A178),SUMIFS(الإنتاج!$E$5:$E$504,الإنتاج!$C$5:$C$504,$A178)))</f>
        <v/>
      </c>
      <c r="L178" s="29"/>
    </row>
    <row r="179" customFormat="false" ht="15" hidden="false" customHeight="false" outlineLevel="0" collapsed="false">
      <c r="A179" s="29"/>
      <c r="B179" s="28" t="str">
        <f aca="false">IF($A179="","",IFERROR(INDEX(المنتجات!$C$5:$C$24,MATCH($A179,المنتجات!$A$5:$A$24,0)),"كود غير موجود"))</f>
        <v/>
      </c>
      <c r="C179" s="29"/>
      <c r="D179" s="28" t="str">
        <f aca="false">IF($C179="","",IFERROR(INDEX('المواد الخام'!$B$5:$B$104,MATCH($C179,'المواد الخام'!$A$5:$A$104,0)),"كود غير موجود"))</f>
        <v/>
      </c>
      <c r="E179" s="29"/>
      <c r="F179" s="24"/>
      <c r="G179" s="28" t="str">
        <f aca="false">IF($C179="","",IFERROR(INDEX('المواد الخام'!$D$5:$D$104,MATCH($C179,'المواد الخام'!$A$5:$A$104,0)),""))</f>
        <v/>
      </c>
      <c r="H179" s="31" t="str">
        <f aca="false">IF($C179="","",IFERROR(INDEX('المواد الخام'!$G$5:$G$104,MATCH($C179,'المواد الخام'!$A$5:$A$104,0)),0))</f>
        <v/>
      </c>
      <c r="I179" s="25" t="str">
        <f aca="false">IF($C179="","",N(F179)*N(H179))</f>
        <v/>
      </c>
      <c r="J179" s="25" t="str">
        <f aca="false">IF(OR($A179="",$C179=""),"",IF(E179="لكل حبة",I179,IFERROR(I179/INDEX(المنتجات!$G$5:$G$24,MATCH($A179,المنتجات!$A$5:$A$24,0)),0)))</f>
        <v/>
      </c>
      <c r="K179" s="27" t="str">
        <f aca="false">IF(OR($A179="",$C179=""),"",N(F179)*IF(E179="لكل حبة",SUMIFS(الإنتاج!$G$5:$G$504,الإنتاج!$C$5:$C$504,$A179),SUMIFS(الإنتاج!$E$5:$E$504,الإنتاج!$C$5:$C$504,$A179)))</f>
        <v/>
      </c>
      <c r="L179" s="29"/>
    </row>
    <row r="180" customFormat="false" ht="15" hidden="false" customHeight="false" outlineLevel="0" collapsed="false">
      <c r="A180" s="29"/>
      <c r="B180" s="28" t="str">
        <f aca="false">IF($A180="","",IFERROR(INDEX(المنتجات!$C$5:$C$24,MATCH($A180,المنتجات!$A$5:$A$24,0)),"كود غير موجود"))</f>
        <v/>
      </c>
      <c r="C180" s="29"/>
      <c r="D180" s="28" t="str">
        <f aca="false">IF($C180="","",IFERROR(INDEX('المواد الخام'!$B$5:$B$104,MATCH($C180,'المواد الخام'!$A$5:$A$104,0)),"كود غير موجود"))</f>
        <v/>
      </c>
      <c r="E180" s="29"/>
      <c r="F180" s="24"/>
      <c r="G180" s="28" t="str">
        <f aca="false">IF($C180="","",IFERROR(INDEX('المواد الخام'!$D$5:$D$104,MATCH($C180,'المواد الخام'!$A$5:$A$104,0)),""))</f>
        <v/>
      </c>
      <c r="H180" s="31" t="str">
        <f aca="false">IF($C180="","",IFERROR(INDEX('المواد الخام'!$G$5:$G$104,MATCH($C180,'المواد الخام'!$A$5:$A$104,0)),0))</f>
        <v/>
      </c>
      <c r="I180" s="25" t="str">
        <f aca="false">IF($C180="","",N(F180)*N(H180))</f>
        <v/>
      </c>
      <c r="J180" s="25" t="str">
        <f aca="false">IF(OR($A180="",$C180=""),"",IF(E180="لكل حبة",I180,IFERROR(I180/INDEX(المنتجات!$G$5:$G$24,MATCH($A180,المنتجات!$A$5:$A$24,0)),0)))</f>
        <v/>
      </c>
      <c r="K180" s="27" t="str">
        <f aca="false">IF(OR($A180="",$C180=""),"",N(F180)*IF(E180="لكل حبة",SUMIFS(الإنتاج!$G$5:$G$504,الإنتاج!$C$5:$C$504,$A180),SUMIFS(الإنتاج!$E$5:$E$504,الإنتاج!$C$5:$C$504,$A180)))</f>
        <v/>
      </c>
      <c r="L180" s="29"/>
    </row>
    <row r="181" customFormat="false" ht="15" hidden="false" customHeight="false" outlineLevel="0" collapsed="false">
      <c r="A181" s="29"/>
      <c r="B181" s="28" t="str">
        <f aca="false">IF($A181="","",IFERROR(INDEX(المنتجات!$C$5:$C$24,MATCH($A181,المنتجات!$A$5:$A$24,0)),"كود غير موجود"))</f>
        <v/>
      </c>
      <c r="C181" s="29"/>
      <c r="D181" s="28" t="str">
        <f aca="false">IF($C181="","",IFERROR(INDEX('المواد الخام'!$B$5:$B$104,MATCH($C181,'المواد الخام'!$A$5:$A$104,0)),"كود غير موجود"))</f>
        <v/>
      </c>
      <c r="E181" s="29"/>
      <c r="F181" s="24"/>
      <c r="G181" s="28" t="str">
        <f aca="false">IF($C181="","",IFERROR(INDEX('المواد الخام'!$D$5:$D$104,MATCH($C181,'المواد الخام'!$A$5:$A$104,0)),""))</f>
        <v/>
      </c>
      <c r="H181" s="31" t="str">
        <f aca="false">IF($C181="","",IFERROR(INDEX('المواد الخام'!$G$5:$G$104,MATCH($C181,'المواد الخام'!$A$5:$A$104,0)),0))</f>
        <v/>
      </c>
      <c r="I181" s="25" t="str">
        <f aca="false">IF($C181="","",N(F181)*N(H181))</f>
        <v/>
      </c>
      <c r="J181" s="25" t="str">
        <f aca="false">IF(OR($A181="",$C181=""),"",IF(E181="لكل حبة",I181,IFERROR(I181/INDEX(المنتجات!$G$5:$G$24,MATCH($A181,المنتجات!$A$5:$A$24,0)),0)))</f>
        <v/>
      </c>
      <c r="K181" s="27" t="str">
        <f aca="false">IF(OR($A181="",$C181=""),"",N(F181)*IF(E181="لكل حبة",SUMIFS(الإنتاج!$G$5:$G$504,الإنتاج!$C$5:$C$504,$A181),SUMIFS(الإنتاج!$E$5:$E$504,الإنتاج!$C$5:$C$504,$A181)))</f>
        <v/>
      </c>
      <c r="L181" s="29"/>
    </row>
    <row r="182" customFormat="false" ht="15" hidden="false" customHeight="false" outlineLevel="0" collapsed="false">
      <c r="A182" s="29"/>
      <c r="B182" s="28" t="str">
        <f aca="false">IF($A182="","",IFERROR(INDEX(المنتجات!$C$5:$C$24,MATCH($A182,المنتجات!$A$5:$A$24,0)),"كود غير موجود"))</f>
        <v/>
      </c>
      <c r="C182" s="29"/>
      <c r="D182" s="28" t="str">
        <f aca="false">IF($C182="","",IFERROR(INDEX('المواد الخام'!$B$5:$B$104,MATCH($C182,'المواد الخام'!$A$5:$A$104,0)),"كود غير موجود"))</f>
        <v/>
      </c>
      <c r="E182" s="29"/>
      <c r="F182" s="24"/>
      <c r="G182" s="28" t="str">
        <f aca="false">IF($C182="","",IFERROR(INDEX('المواد الخام'!$D$5:$D$104,MATCH($C182,'المواد الخام'!$A$5:$A$104,0)),""))</f>
        <v/>
      </c>
      <c r="H182" s="31" t="str">
        <f aca="false">IF($C182="","",IFERROR(INDEX('المواد الخام'!$G$5:$G$104,MATCH($C182,'المواد الخام'!$A$5:$A$104,0)),0))</f>
        <v/>
      </c>
      <c r="I182" s="25" t="str">
        <f aca="false">IF($C182="","",N(F182)*N(H182))</f>
        <v/>
      </c>
      <c r="J182" s="25" t="str">
        <f aca="false">IF(OR($A182="",$C182=""),"",IF(E182="لكل حبة",I182,IFERROR(I182/INDEX(المنتجات!$G$5:$G$24,MATCH($A182,المنتجات!$A$5:$A$24,0)),0)))</f>
        <v/>
      </c>
      <c r="K182" s="27" t="str">
        <f aca="false">IF(OR($A182="",$C182=""),"",N(F182)*IF(E182="لكل حبة",SUMIFS(الإنتاج!$G$5:$G$504,الإنتاج!$C$5:$C$504,$A182),SUMIFS(الإنتاج!$E$5:$E$504,الإنتاج!$C$5:$C$504,$A182)))</f>
        <v/>
      </c>
      <c r="L182" s="29"/>
    </row>
    <row r="183" customFormat="false" ht="15" hidden="false" customHeight="false" outlineLevel="0" collapsed="false">
      <c r="A183" s="29"/>
      <c r="B183" s="28" t="str">
        <f aca="false">IF($A183="","",IFERROR(INDEX(المنتجات!$C$5:$C$24,MATCH($A183,المنتجات!$A$5:$A$24,0)),"كود غير موجود"))</f>
        <v/>
      </c>
      <c r="C183" s="29"/>
      <c r="D183" s="28" t="str">
        <f aca="false">IF($C183="","",IFERROR(INDEX('المواد الخام'!$B$5:$B$104,MATCH($C183,'المواد الخام'!$A$5:$A$104,0)),"كود غير موجود"))</f>
        <v/>
      </c>
      <c r="E183" s="29"/>
      <c r="F183" s="24"/>
      <c r="G183" s="28" t="str">
        <f aca="false">IF($C183="","",IFERROR(INDEX('المواد الخام'!$D$5:$D$104,MATCH($C183,'المواد الخام'!$A$5:$A$104,0)),""))</f>
        <v/>
      </c>
      <c r="H183" s="31" t="str">
        <f aca="false">IF($C183="","",IFERROR(INDEX('المواد الخام'!$G$5:$G$104,MATCH($C183,'المواد الخام'!$A$5:$A$104,0)),0))</f>
        <v/>
      </c>
      <c r="I183" s="25" t="str">
        <f aca="false">IF($C183="","",N(F183)*N(H183))</f>
        <v/>
      </c>
      <c r="J183" s="25" t="str">
        <f aca="false">IF(OR($A183="",$C183=""),"",IF(E183="لكل حبة",I183,IFERROR(I183/INDEX(المنتجات!$G$5:$G$24,MATCH($A183,المنتجات!$A$5:$A$24,0)),0)))</f>
        <v/>
      </c>
      <c r="K183" s="27" t="str">
        <f aca="false">IF(OR($A183="",$C183=""),"",N(F183)*IF(E183="لكل حبة",SUMIFS(الإنتاج!$G$5:$G$504,الإنتاج!$C$5:$C$504,$A183),SUMIFS(الإنتاج!$E$5:$E$504,الإنتاج!$C$5:$C$504,$A183)))</f>
        <v/>
      </c>
      <c r="L183" s="29"/>
    </row>
    <row r="184" customFormat="false" ht="15" hidden="false" customHeight="false" outlineLevel="0" collapsed="false">
      <c r="A184" s="29"/>
      <c r="B184" s="28" t="str">
        <f aca="false">IF($A184="","",IFERROR(INDEX(المنتجات!$C$5:$C$24,MATCH($A184,المنتجات!$A$5:$A$24,0)),"كود غير موجود"))</f>
        <v/>
      </c>
      <c r="C184" s="29"/>
      <c r="D184" s="28" t="str">
        <f aca="false">IF($C184="","",IFERROR(INDEX('المواد الخام'!$B$5:$B$104,MATCH($C184,'المواد الخام'!$A$5:$A$104,0)),"كود غير موجود"))</f>
        <v/>
      </c>
      <c r="E184" s="29"/>
      <c r="F184" s="24"/>
      <c r="G184" s="28" t="str">
        <f aca="false">IF($C184="","",IFERROR(INDEX('المواد الخام'!$D$5:$D$104,MATCH($C184,'المواد الخام'!$A$5:$A$104,0)),""))</f>
        <v/>
      </c>
      <c r="H184" s="31" t="str">
        <f aca="false">IF($C184="","",IFERROR(INDEX('المواد الخام'!$G$5:$G$104,MATCH($C184,'المواد الخام'!$A$5:$A$104,0)),0))</f>
        <v/>
      </c>
      <c r="I184" s="25" t="str">
        <f aca="false">IF($C184="","",N(F184)*N(H184))</f>
        <v/>
      </c>
      <c r="J184" s="25" t="str">
        <f aca="false">IF(OR($A184="",$C184=""),"",IF(E184="لكل حبة",I184,IFERROR(I184/INDEX(المنتجات!$G$5:$G$24,MATCH($A184,المنتجات!$A$5:$A$24,0)),0)))</f>
        <v/>
      </c>
      <c r="K184" s="27" t="str">
        <f aca="false">IF(OR($A184="",$C184=""),"",N(F184)*IF(E184="لكل حبة",SUMIFS(الإنتاج!$G$5:$G$504,الإنتاج!$C$5:$C$504,$A184),SUMIFS(الإنتاج!$E$5:$E$504,الإنتاج!$C$5:$C$504,$A184)))</f>
        <v/>
      </c>
      <c r="L184" s="29"/>
    </row>
    <row r="185" customFormat="false" ht="15" hidden="false" customHeight="false" outlineLevel="0" collapsed="false">
      <c r="A185" s="29"/>
      <c r="B185" s="28" t="str">
        <f aca="false">IF($A185="","",IFERROR(INDEX(المنتجات!$C$5:$C$24,MATCH($A185,المنتجات!$A$5:$A$24,0)),"كود غير موجود"))</f>
        <v/>
      </c>
      <c r="C185" s="29"/>
      <c r="D185" s="28" t="str">
        <f aca="false">IF($C185="","",IFERROR(INDEX('المواد الخام'!$B$5:$B$104,MATCH($C185,'المواد الخام'!$A$5:$A$104,0)),"كود غير موجود"))</f>
        <v/>
      </c>
      <c r="E185" s="29"/>
      <c r="F185" s="24"/>
      <c r="G185" s="28" t="str">
        <f aca="false">IF($C185="","",IFERROR(INDEX('المواد الخام'!$D$5:$D$104,MATCH($C185,'المواد الخام'!$A$5:$A$104,0)),""))</f>
        <v/>
      </c>
      <c r="H185" s="31" t="str">
        <f aca="false">IF($C185="","",IFERROR(INDEX('المواد الخام'!$G$5:$G$104,MATCH($C185,'المواد الخام'!$A$5:$A$104,0)),0))</f>
        <v/>
      </c>
      <c r="I185" s="25" t="str">
        <f aca="false">IF($C185="","",N(F185)*N(H185))</f>
        <v/>
      </c>
      <c r="J185" s="25" t="str">
        <f aca="false">IF(OR($A185="",$C185=""),"",IF(E185="لكل حبة",I185,IFERROR(I185/INDEX(المنتجات!$G$5:$G$24,MATCH($A185,المنتجات!$A$5:$A$24,0)),0)))</f>
        <v/>
      </c>
      <c r="K185" s="27" t="str">
        <f aca="false">IF(OR($A185="",$C185=""),"",N(F185)*IF(E185="لكل حبة",SUMIFS(الإنتاج!$G$5:$G$504,الإنتاج!$C$5:$C$504,$A185),SUMIFS(الإنتاج!$E$5:$E$504,الإنتاج!$C$5:$C$504,$A185)))</f>
        <v/>
      </c>
      <c r="L185" s="29"/>
    </row>
    <row r="186" customFormat="false" ht="15" hidden="false" customHeight="false" outlineLevel="0" collapsed="false">
      <c r="A186" s="29"/>
      <c r="B186" s="28" t="str">
        <f aca="false">IF($A186="","",IFERROR(INDEX(المنتجات!$C$5:$C$24,MATCH($A186,المنتجات!$A$5:$A$24,0)),"كود غير موجود"))</f>
        <v/>
      </c>
      <c r="C186" s="29"/>
      <c r="D186" s="28" t="str">
        <f aca="false">IF($C186="","",IFERROR(INDEX('المواد الخام'!$B$5:$B$104,MATCH($C186,'المواد الخام'!$A$5:$A$104,0)),"كود غير موجود"))</f>
        <v/>
      </c>
      <c r="E186" s="29"/>
      <c r="F186" s="24"/>
      <c r="G186" s="28" t="str">
        <f aca="false">IF($C186="","",IFERROR(INDEX('المواد الخام'!$D$5:$D$104,MATCH($C186,'المواد الخام'!$A$5:$A$104,0)),""))</f>
        <v/>
      </c>
      <c r="H186" s="31" t="str">
        <f aca="false">IF($C186="","",IFERROR(INDEX('المواد الخام'!$G$5:$G$104,MATCH($C186,'المواد الخام'!$A$5:$A$104,0)),0))</f>
        <v/>
      </c>
      <c r="I186" s="25" t="str">
        <f aca="false">IF($C186="","",N(F186)*N(H186))</f>
        <v/>
      </c>
      <c r="J186" s="25" t="str">
        <f aca="false">IF(OR($A186="",$C186=""),"",IF(E186="لكل حبة",I186,IFERROR(I186/INDEX(المنتجات!$G$5:$G$24,MATCH($A186,المنتجات!$A$5:$A$24,0)),0)))</f>
        <v/>
      </c>
      <c r="K186" s="27" t="str">
        <f aca="false">IF(OR($A186="",$C186=""),"",N(F186)*IF(E186="لكل حبة",SUMIFS(الإنتاج!$G$5:$G$504,الإنتاج!$C$5:$C$504,$A186),SUMIFS(الإنتاج!$E$5:$E$504,الإنتاج!$C$5:$C$504,$A186)))</f>
        <v/>
      </c>
      <c r="L186" s="29"/>
    </row>
    <row r="187" customFormat="false" ht="15" hidden="false" customHeight="false" outlineLevel="0" collapsed="false">
      <c r="A187" s="29"/>
      <c r="B187" s="28" t="str">
        <f aca="false">IF($A187="","",IFERROR(INDEX(المنتجات!$C$5:$C$24,MATCH($A187,المنتجات!$A$5:$A$24,0)),"كود غير موجود"))</f>
        <v/>
      </c>
      <c r="C187" s="29"/>
      <c r="D187" s="28" t="str">
        <f aca="false">IF($C187="","",IFERROR(INDEX('المواد الخام'!$B$5:$B$104,MATCH($C187,'المواد الخام'!$A$5:$A$104,0)),"كود غير موجود"))</f>
        <v/>
      </c>
      <c r="E187" s="29"/>
      <c r="F187" s="24"/>
      <c r="G187" s="28" t="str">
        <f aca="false">IF($C187="","",IFERROR(INDEX('المواد الخام'!$D$5:$D$104,MATCH($C187,'المواد الخام'!$A$5:$A$104,0)),""))</f>
        <v/>
      </c>
      <c r="H187" s="31" t="str">
        <f aca="false">IF($C187="","",IFERROR(INDEX('المواد الخام'!$G$5:$G$104,MATCH($C187,'المواد الخام'!$A$5:$A$104,0)),0))</f>
        <v/>
      </c>
      <c r="I187" s="25" t="str">
        <f aca="false">IF($C187="","",N(F187)*N(H187))</f>
        <v/>
      </c>
      <c r="J187" s="25" t="str">
        <f aca="false">IF(OR($A187="",$C187=""),"",IF(E187="لكل حبة",I187,IFERROR(I187/INDEX(المنتجات!$G$5:$G$24,MATCH($A187,المنتجات!$A$5:$A$24,0)),0)))</f>
        <v/>
      </c>
      <c r="K187" s="27" t="str">
        <f aca="false">IF(OR($A187="",$C187=""),"",N(F187)*IF(E187="لكل حبة",SUMIFS(الإنتاج!$G$5:$G$504,الإنتاج!$C$5:$C$504,$A187),SUMIFS(الإنتاج!$E$5:$E$504,الإنتاج!$C$5:$C$504,$A187)))</f>
        <v/>
      </c>
      <c r="L187" s="29"/>
    </row>
    <row r="188" customFormat="false" ht="15" hidden="false" customHeight="false" outlineLevel="0" collapsed="false">
      <c r="A188" s="29"/>
      <c r="B188" s="28" t="str">
        <f aca="false">IF($A188="","",IFERROR(INDEX(المنتجات!$C$5:$C$24,MATCH($A188,المنتجات!$A$5:$A$24,0)),"كود غير موجود"))</f>
        <v/>
      </c>
      <c r="C188" s="29"/>
      <c r="D188" s="28" t="str">
        <f aca="false">IF($C188="","",IFERROR(INDEX('المواد الخام'!$B$5:$B$104,MATCH($C188,'المواد الخام'!$A$5:$A$104,0)),"كود غير موجود"))</f>
        <v/>
      </c>
      <c r="E188" s="29"/>
      <c r="F188" s="24"/>
      <c r="G188" s="28" t="str">
        <f aca="false">IF($C188="","",IFERROR(INDEX('المواد الخام'!$D$5:$D$104,MATCH($C188,'المواد الخام'!$A$5:$A$104,0)),""))</f>
        <v/>
      </c>
      <c r="H188" s="31" t="str">
        <f aca="false">IF($C188="","",IFERROR(INDEX('المواد الخام'!$G$5:$G$104,MATCH($C188,'المواد الخام'!$A$5:$A$104,0)),0))</f>
        <v/>
      </c>
      <c r="I188" s="25" t="str">
        <f aca="false">IF($C188="","",N(F188)*N(H188))</f>
        <v/>
      </c>
      <c r="J188" s="25" t="str">
        <f aca="false">IF(OR($A188="",$C188=""),"",IF(E188="لكل حبة",I188,IFERROR(I188/INDEX(المنتجات!$G$5:$G$24,MATCH($A188,المنتجات!$A$5:$A$24,0)),0)))</f>
        <v/>
      </c>
      <c r="K188" s="27" t="str">
        <f aca="false">IF(OR($A188="",$C188=""),"",N(F188)*IF(E188="لكل حبة",SUMIFS(الإنتاج!$G$5:$G$504,الإنتاج!$C$5:$C$504,$A188),SUMIFS(الإنتاج!$E$5:$E$504,الإنتاج!$C$5:$C$504,$A188)))</f>
        <v/>
      </c>
      <c r="L188" s="29"/>
    </row>
    <row r="189" customFormat="false" ht="15" hidden="false" customHeight="false" outlineLevel="0" collapsed="false">
      <c r="A189" s="29"/>
      <c r="B189" s="28" t="str">
        <f aca="false">IF($A189="","",IFERROR(INDEX(المنتجات!$C$5:$C$24,MATCH($A189,المنتجات!$A$5:$A$24,0)),"كود غير موجود"))</f>
        <v/>
      </c>
      <c r="C189" s="29"/>
      <c r="D189" s="28" t="str">
        <f aca="false">IF($C189="","",IFERROR(INDEX('المواد الخام'!$B$5:$B$104,MATCH($C189,'المواد الخام'!$A$5:$A$104,0)),"كود غير موجود"))</f>
        <v/>
      </c>
      <c r="E189" s="29"/>
      <c r="F189" s="24"/>
      <c r="G189" s="28" t="str">
        <f aca="false">IF($C189="","",IFERROR(INDEX('المواد الخام'!$D$5:$D$104,MATCH($C189,'المواد الخام'!$A$5:$A$104,0)),""))</f>
        <v/>
      </c>
      <c r="H189" s="31" t="str">
        <f aca="false">IF($C189="","",IFERROR(INDEX('المواد الخام'!$G$5:$G$104,MATCH($C189,'المواد الخام'!$A$5:$A$104,0)),0))</f>
        <v/>
      </c>
      <c r="I189" s="25" t="str">
        <f aca="false">IF($C189="","",N(F189)*N(H189))</f>
        <v/>
      </c>
      <c r="J189" s="25" t="str">
        <f aca="false">IF(OR($A189="",$C189=""),"",IF(E189="لكل حبة",I189,IFERROR(I189/INDEX(المنتجات!$G$5:$G$24,MATCH($A189,المنتجات!$A$5:$A$24,0)),0)))</f>
        <v/>
      </c>
      <c r="K189" s="27" t="str">
        <f aca="false">IF(OR($A189="",$C189=""),"",N(F189)*IF(E189="لكل حبة",SUMIFS(الإنتاج!$G$5:$G$504,الإنتاج!$C$5:$C$504,$A189),SUMIFS(الإنتاج!$E$5:$E$504,الإنتاج!$C$5:$C$504,$A189)))</f>
        <v/>
      </c>
      <c r="L189" s="29"/>
    </row>
    <row r="190" customFormat="false" ht="15" hidden="false" customHeight="false" outlineLevel="0" collapsed="false">
      <c r="A190" s="29"/>
      <c r="B190" s="28" t="str">
        <f aca="false">IF($A190="","",IFERROR(INDEX(المنتجات!$C$5:$C$24,MATCH($A190,المنتجات!$A$5:$A$24,0)),"كود غير موجود"))</f>
        <v/>
      </c>
      <c r="C190" s="29"/>
      <c r="D190" s="28" t="str">
        <f aca="false">IF($C190="","",IFERROR(INDEX('المواد الخام'!$B$5:$B$104,MATCH($C190,'المواد الخام'!$A$5:$A$104,0)),"كود غير موجود"))</f>
        <v/>
      </c>
      <c r="E190" s="29"/>
      <c r="F190" s="24"/>
      <c r="G190" s="28" t="str">
        <f aca="false">IF($C190="","",IFERROR(INDEX('المواد الخام'!$D$5:$D$104,MATCH($C190,'المواد الخام'!$A$5:$A$104,0)),""))</f>
        <v/>
      </c>
      <c r="H190" s="31" t="str">
        <f aca="false">IF($C190="","",IFERROR(INDEX('المواد الخام'!$G$5:$G$104,MATCH($C190,'المواد الخام'!$A$5:$A$104,0)),0))</f>
        <v/>
      </c>
      <c r="I190" s="25" t="str">
        <f aca="false">IF($C190="","",N(F190)*N(H190))</f>
        <v/>
      </c>
      <c r="J190" s="25" t="str">
        <f aca="false">IF(OR($A190="",$C190=""),"",IF(E190="لكل حبة",I190,IFERROR(I190/INDEX(المنتجات!$G$5:$G$24,MATCH($A190,المنتجات!$A$5:$A$24,0)),0)))</f>
        <v/>
      </c>
      <c r="K190" s="27" t="str">
        <f aca="false">IF(OR($A190="",$C190=""),"",N(F190)*IF(E190="لكل حبة",SUMIFS(الإنتاج!$G$5:$G$504,الإنتاج!$C$5:$C$504,$A190),SUMIFS(الإنتاج!$E$5:$E$504,الإنتاج!$C$5:$C$504,$A190)))</f>
        <v/>
      </c>
      <c r="L190" s="29"/>
    </row>
    <row r="191" customFormat="false" ht="15" hidden="false" customHeight="false" outlineLevel="0" collapsed="false">
      <c r="A191" s="29"/>
      <c r="B191" s="28" t="str">
        <f aca="false">IF($A191="","",IFERROR(INDEX(المنتجات!$C$5:$C$24,MATCH($A191,المنتجات!$A$5:$A$24,0)),"كود غير موجود"))</f>
        <v/>
      </c>
      <c r="C191" s="29"/>
      <c r="D191" s="28" t="str">
        <f aca="false">IF($C191="","",IFERROR(INDEX('المواد الخام'!$B$5:$B$104,MATCH($C191,'المواد الخام'!$A$5:$A$104,0)),"كود غير موجود"))</f>
        <v/>
      </c>
      <c r="E191" s="29"/>
      <c r="F191" s="24"/>
      <c r="G191" s="28" t="str">
        <f aca="false">IF($C191="","",IFERROR(INDEX('المواد الخام'!$D$5:$D$104,MATCH($C191,'المواد الخام'!$A$5:$A$104,0)),""))</f>
        <v/>
      </c>
      <c r="H191" s="31" t="str">
        <f aca="false">IF($C191="","",IFERROR(INDEX('المواد الخام'!$G$5:$G$104,MATCH($C191,'المواد الخام'!$A$5:$A$104,0)),0))</f>
        <v/>
      </c>
      <c r="I191" s="25" t="str">
        <f aca="false">IF($C191="","",N(F191)*N(H191))</f>
        <v/>
      </c>
      <c r="J191" s="25" t="str">
        <f aca="false">IF(OR($A191="",$C191=""),"",IF(E191="لكل حبة",I191,IFERROR(I191/INDEX(المنتجات!$G$5:$G$24,MATCH($A191,المنتجات!$A$5:$A$24,0)),0)))</f>
        <v/>
      </c>
      <c r="K191" s="27" t="str">
        <f aca="false">IF(OR($A191="",$C191=""),"",N(F191)*IF(E191="لكل حبة",SUMIFS(الإنتاج!$G$5:$G$504,الإنتاج!$C$5:$C$504,$A191),SUMIFS(الإنتاج!$E$5:$E$504,الإنتاج!$C$5:$C$504,$A191)))</f>
        <v/>
      </c>
      <c r="L191" s="29"/>
    </row>
    <row r="192" customFormat="false" ht="15" hidden="false" customHeight="false" outlineLevel="0" collapsed="false">
      <c r="A192" s="29"/>
      <c r="B192" s="28" t="str">
        <f aca="false">IF($A192="","",IFERROR(INDEX(المنتجات!$C$5:$C$24,MATCH($A192,المنتجات!$A$5:$A$24,0)),"كود غير موجود"))</f>
        <v/>
      </c>
      <c r="C192" s="29"/>
      <c r="D192" s="28" t="str">
        <f aca="false">IF($C192="","",IFERROR(INDEX('المواد الخام'!$B$5:$B$104,MATCH($C192,'المواد الخام'!$A$5:$A$104,0)),"كود غير موجود"))</f>
        <v/>
      </c>
      <c r="E192" s="29"/>
      <c r="F192" s="24"/>
      <c r="G192" s="28" t="str">
        <f aca="false">IF($C192="","",IFERROR(INDEX('المواد الخام'!$D$5:$D$104,MATCH($C192,'المواد الخام'!$A$5:$A$104,0)),""))</f>
        <v/>
      </c>
      <c r="H192" s="31" t="str">
        <f aca="false">IF($C192="","",IFERROR(INDEX('المواد الخام'!$G$5:$G$104,MATCH($C192,'المواد الخام'!$A$5:$A$104,0)),0))</f>
        <v/>
      </c>
      <c r="I192" s="25" t="str">
        <f aca="false">IF($C192="","",N(F192)*N(H192))</f>
        <v/>
      </c>
      <c r="J192" s="25" t="str">
        <f aca="false">IF(OR($A192="",$C192=""),"",IF(E192="لكل حبة",I192,IFERROR(I192/INDEX(المنتجات!$G$5:$G$24,MATCH($A192,المنتجات!$A$5:$A$24,0)),0)))</f>
        <v/>
      </c>
      <c r="K192" s="27" t="str">
        <f aca="false">IF(OR($A192="",$C192=""),"",N(F192)*IF(E192="لكل حبة",SUMIFS(الإنتاج!$G$5:$G$504,الإنتاج!$C$5:$C$504,$A192),SUMIFS(الإنتاج!$E$5:$E$504,الإنتاج!$C$5:$C$504,$A192)))</f>
        <v/>
      </c>
      <c r="L192" s="29"/>
    </row>
    <row r="193" customFormat="false" ht="15" hidden="false" customHeight="false" outlineLevel="0" collapsed="false">
      <c r="A193" s="29"/>
      <c r="B193" s="28" t="str">
        <f aca="false">IF($A193="","",IFERROR(INDEX(المنتجات!$C$5:$C$24,MATCH($A193,المنتجات!$A$5:$A$24,0)),"كود غير موجود"))</f>
        <v/>
      </c>
      <c r="C193" s="29"/>
      <c r="D193" s="28" t="str">
        <f aca="false">IF($C193="","",IFERROR(INDEX('المواد الخام'!$B$5:$B$104,MATCH($C193,'المواد الخام'!$A$5:$A$104,0)),"كود غير موجود"))</f>
        <v/>
      </c>
      <c r="E193" s="29"/>
      <c r="F193" s="24"/>
      <c r="G193" s="28" t="str">
        <f aca="false">IF($C193="","",IFERROR(INDEX('المواد الخام'!$D$5:$D$104,MATCH($C193,'المواد الخام'!$A$5:$A$104,0)),""))</f>
        <v/>
      </c>
      <c r="H193" s="31" t="str">
        <f aca="false">IF($C193="","",IFERROR(INDEX('المواد الخام'!$G$5:$G$104,MATCH($C193,'المواد الخام'!$A$5:$A$104,0)),0))</f>
        <v/>
      </c>
      <c r="I193" s="25" t="str">
        <f aca="false">IF($C193="","",N(F193)*N(H193))</f>
        <v/>
      </c>
      <c r="J193" s="25" t="str">
        <f aca="false">IF(OR($A193="",$C193=""),"",IF(E193="لكل حبة",I193,IFERROR(I193/INDEX(المنتجات!$G$5:$G$24,MATCH($A193,المنتجات!$A$5:$A$24,0)),0)))</f>
        <v/>
      </c>
      <c r="K193" s="27" t="str">
        <f aca="false">IF(OR($A193="",$C193=""),"",N(F193)*IF(E193="لكل حبة",SUMIFS(الإنتاج!$G$5:$G$504,الإنتاج!$C$5:$C$504,$A193),SUMIFS(الإنتاج!$E$5:$E$504,الإنتاج!$C$5:$C$504,$A193)))</f>
        <v/>
      </c>
      <c r="L193" s="29"/>
    </row>
    <row r="194" customFormat="false" ht="15" hidden="false" customHeight="false" outlineLevel="0" collapsed="false">
      <c r="A194" s="29"/>
      <c r="B194" s="28" t="str">
        <f aca="false">IF($A194="","",IFERROR(INDEX(المنتجات!$C$5:$C$24,MATCH($A194,المنتجات!$A$5:$A$24,0)),"كود غير موجود"))</f>
        <v/>
      </c>
      <c r="C194" s="29"/>
      <c r="D194" s="28" t="str">
        <f aca="false">IF($C194="","",IFERROR(INDEX('المواد الخام'!$B$5:$B$104,MATCH($C194,'المواد الخام'!$A$5:$A$104,0)),"كود غير موجود"))</f>
        <v/>
      </c>
      <c r="E194" s="29"/>
      <c r="F194" s="24"/>
      <c r="G194" s="28" t="str">
        <f aca="false">IF($C194="","",IFERROR(INDEX('المواد الخام'!$D$5:$D$104,MATCH($C194,'المواد الخام'!$A$5:$A$104,0)),""))</f>
        <v/>
      </c>
      <c r="H194" s="31" t="str">
        <f aca="false">IF($C194="","",IFERROR(INDEX('المواد الخام'!$G$5:$G$104,MATCH($C194,'المواد الخام'!$A$5:$A$104,0)),0))</f>
        <v/>
      </c>
      <c r="I194" s="25" t="str">
        <f aca="false">IF($C194="","",N(F194)*N(H194))</f>
        <v/>
      </c>
      <c r="J194" s="25" t="str">
        <f aca="false">IF(OR($A194="",$C194=""),"",IF(E194="لكل حبة",I194,IFERROR(I194/INDEX(المنتجات!$G$5:$G$24,MATCH($A194,المنتجات!$A$5:$A$24,0)),0)))</f>
        <v/>
      </c>
      <c r="K194" s="27" t="str">
        <f aca="false">IF(OR($A194="",$C194=""),"",N(F194)*IF(E194="لكل حبة",SUMIFS(الإنتاج!$G$5:$G$504,الإنتاج!$C$5:$C$504,$A194),SUMIFS(الإنتاج!$E$5:$E$504,الإنتاج!$C$5:$C$504,$A194)))</f>
        <v/>
      </c>
      <c r="L194" s="29"/>
    </row>
    <row r="195" customFormat="false" ht="15" hidden="false" customHeight="false" outlineLevel="0" collapsed="false">
      <c r="A195" s="29"/>
      <c r="B195" s="28" t="str">
        <f aca="false">IF($A195="","",IFERROR(INDEX(المنتجات!$C$5:$C$24,MATCH($A195,المنتجات!$A$5:$A$24,0)),"كود غير موجود"))</f>
        <v/>
      </c>
      <c r="C195" s="29"/>
      <c r="D195" s="28" t="str">
        <f aca="false">IF($C195="","",IFERROR(INDEX('المواد الخام'!$B$5:$B$104,MATCH($C195,'المواد الخام'!$A$5:$A$104,0)),"كود غير موجود"))</f>
        <v/>
      </c>
      <c r="E195" s="29"/>
      <c r="F195" s="24"/>
      <c r="G195" s="28" t="str">
        <f aca="false">IF($C195="","",IFERROR(INDEX('المواد الخام'!$D$5:$D$104,MATCH($C195,'المواد الخام'!$A$5:$A$104,0)),""))</f>
        <v/>
      </c>
      <c r="H195" s="31" t="str">
        <f aca="false">IF($C195="","",IFERROR(INDEX('المواد الخام'!$G$5:$G$104,MATCH($C195,'المواد الخام'!$A$5:$A$104,0)),0))</f>
        <v/>
      </c>
      <c r="I195" s="25" t="str">
        <f aca="false">IF($C195="","",N(F195)*N(H195))</f>
        <v/>
      </c>
      <c r="J195" s="25" t="str">
        <f aca="false">IF(OR($A195="",$C195=""),"",IF(E195="لكل حبة",I195,IFERROR(I195/INDEX(المنتجات!$G$5:$G$24,MATCH($A195,المنتجات!$A$5:$A$24,0)),0)))</f>
        <v/>
      </c>
      <c r="K195" s="27" t="str">
        <f aca="false">IF(OR($A195="",$C195=""),"",N(F195)*IF(E195="لكل حبة",SUMIFS(الإنتاج!$G$5:$G$504,الإنتاج!$C$5:$C$504,$A195),SUMIFS(الإنتاج!$E$5:$E$504,الإنتاج!$C$5:$C$504,$A195)))</f>
        <v/>
      </c>
      <c r="L195" s="29"/>
    </row>
    <row r="196" customFormat="false" ht="15" hidden="false" customHeight="false" outlineLevel="0" collapsed="false">
      <c r="A196" s="29"/>
      <c r="B196" s="28" t="str">
        <f aca="false">IF($A196="","",IFERROR(INDEX(المنتجات!$C$5:$C$24,MATCH($A196,المنتجات!$A$5:$A$24,0)),"كود غير موجود"))</f>
        <v/>
      </c>
      <c r="C196" s="29"/>
      <c r="D196" s="28" t="str">
        <f aca="false">IF($C196="","",IFERROR(INDEX('المواد الخام'!$B$5:$B$104,MATCH($C196,'المواد الخام'!$A$5:$A$104,0)),"كود غير موجود"))</f>
        <v/>
      </c>
      <c r="E196" s="29"/>
      <c r="F196" s="24"/>
      <c r="G196" s="28" t="str">
        <f aca="false">IF($C196="","",IFERROR(INDEX('المواد الخام'!$D$5:$D$104,MATCH($C196,'المواد الخام'!$A$5:$A$104,0)),""))</f>
        <v/>
      </c>
      <c r="H196" s="31" t="str">
        <f aca="false">IF($C196="","",IFERROR(INDEX('المواد الخام'!$G$5:$G$104,MATCH($C196,'المواد الخام'!$A$5:$A$104,0)),0))</f>
        <v/>
      </c>
      <c r="I196" s="25" t="str">
        <f aca="false">IF($C196="","",N(F196)*N(H196))</f>
        <v/>
      </c>
      <c r="J196" s="25" t="str">
        <f aca="false">IF(OR($A196="",$C196=""),"",IF(E196="لكل حبة",I196,IFERROR(I196/INDEX(المنتجات!$G$5:$G$24,MATCH($A196,المنتجات!$A$5:$A$24,0)),0)))</f>
        <v/>
      </c>
      <c r="K196" s="27" t="str">
        <f aca="false">IF(OR($A196="",$C196=""),"",N(F196)*IF(E196="لكل حبة",SUMIFS(الإنتاج!$G$5:$G$504,الإنتاج!$C$5:$C$504,$A196),SUMIFS(الإنتاج!$E$5:$E$504,الإنتاج!$C$5:$C$504,$A196)))</f>
        <v/>
      </c>
      <c r="L196" s="29"/>
    </row>
    <row r="197" customFormat="false" ht="15" hidden="false" customHeight="false" outlineLevel="0" collapsed="false">
      <c r="A197" s="29"/>
      <c r="B197" s="28" t="str">
        <f aca="false">IF($A197="","",IFERROR(INDEX(المنتجات!$C$5:$C$24,MATCH($A197,المنتجات!$A$5:$A$24,0)),"كود غير موجود"))</f>
        <v/>
      </c>
      <c r="C197" s="29"/>
      <c r="D197" s="28" t="str">
        <f aca="false">IF($C197="","",IFERROR(INDEX('المواد الخام'!$B$5:$B$104,MATCH($C197,'المواد الخام'!$A$5:$A$104,0)),"كود غير موجود"))</f>
        <v/>
      </c>
      <c r="E197" s="29"/>
      <c r="F197" s="24"/>
      <c r="G197" s="28" t="str">
        <f aca="false">IF($C197="","",IFERROR(INDEX('المواد الخام'!$D$5:$D$104,MATCH($C197,'المواد الخام'!$A$5:$A$104,0)),""))</f>
        <v/>
      </c>
      <c r="H197" s="31" t="str">
        <f aca="false">IF($C197="","",IFERROR(INDEX('المواد الخام'!$G$5:$G$104,MATCH($C197,'المواد الخام'!$A$5:$A$104,0)),0))</f>
        <v/>
      </c>
      <c r="I197" s="25" t="str">
        <f aca="false">IF($C197="","",N(F197)*N(H197))</f>
        <v/>
      </c>
      <c r="J197" s="25" t="str">
        <f aca="false">IF(OR($A197="",$C197=""),"",IF(E197="لكل حبة",I197,IFERROR(I197/INDEX(المنتجات!$G$5:$G$24,MATCH($A197,المنتجات!$A$5:$A$24,0)),0)))</f>
        <v/>
      </c>
      <c r="K197" s="27" t="str">
        <f aca="false">IF(OR($A197="",$C197=""),"",N(F197)*IF(E197="لكل حبة",SUMIFS(الإنتاج!$G$5:$G$504,الإنتاج!$C$5:$C$504,$A197),SUMIFS(الإنتاج!$E$5:$E$504,الإنتاج!$C$5:$C$504,$A197)))</f>
        <v/>
      </c>
      <c r="L197" s="29"/>
    </row>
    <row r="198" customFormat="false" ht="15" hidden="false" customHeight="false" outlineLevel="0" collapsed="false">
      <c r="A198" s="29"/>
      <c r="B198" s="28" t="str">
        <f aca="false">IF($A198="","",IFERROR(INDEX(المنتجات!$C$5:$C$24,MATCH($A198,المنتجات!$A$5:$A$24,0)),"كود غير موجود"))</f>
        <v/>
      </c>
      <c r="C198" s="29"/>
      <c r="D198" s="28" t="str">
        <f aca="false">IF($C198="","",IFERROR(INDEX('المواد الخام'!$B$5:$B$104,MATCH($C198,'المواد الخام'!$A$5:$A$104,0)),"كود غير موجود"))</f>
        <v/>
      </c>
      <c r="E198" s="29"/>
      <c r="F198" s="24"/>
      <c r="G198" s="28" t="str">
        <f aca="false">IF($C198="","",IFERROR(INDEX('المواد الخام'!$D$5:$D$104,MATCH($C198,'المواد الخام'!$A$5:$A$104,0)),""))</f>
        <v/>
      </c>
      <c r="H198" s="31" t="str">
        <f aca="false">IF($C198="","",IFERROR(INDEX('المواد الخام'!$G$5:$G$104,MATCH($C198,'المواد الخام'!$A$5:$A$104,0)),0))</f>
        <v/>
      </c>
      <c r="I198" s="25" t="str">
        <f aca="false">IF($C198="","",N(F198)*N(H198))</f>
        <v/>
      </c>
      <c r="J198" s="25" t="str">
        <f aca="false">IF(OR($A198="",$C198=""),"",IF(E198="لكل حبة",I198,IFERROR(I198/INDEX(المنتجات!$G$5:$G$24,MATCH($A198,المنتجات!$A$5:$A$24,0)),0)))</f>
        <v/>
      </c>
      <c r="K198" s="27" t="str">
        <f aca="false">IF(OR($A198="",$C198=""),"",N(F198)*IF(E198="لكل حبة",SUMIFS(الإنتاج!$G$5:$G$504,الإنتاج!$C$5:$C$504,$A198),SUMIFS(الإنتاج!$E$5:$E$504,الإنتاج!$C$5:$C$504,$A198)))</f>
        <v/>
      </c>
      <c r="L198" s="29"/>
    </row>
    <row r="199" customFormat="false" ht="15" hidden="false" customHeight="false" outlineLevel="0" collapsed="false">
      <c r="A199" s="29"/>
      <c r="B199" s="28" t="str">
        <f aca="false">IF($A199="","",IFERROR(INDEX(المنتجات!$C$5:$C$24,MATCH($A199,المنتجات!$A$5:$A$24,0)),"كود غير موجود"))</f>
        <v/>
      </c>
      <c r="C199" s="29"/>
      <c r="D199" s="28" t="str">
        <f aca="false">IF($C199="","",IFERROR(INDEX('المواد الخام'!$B$5:$B$104,MATCH($C199,'المواد الخام'!$A$5:$A$104,0)),"كود غير موجود"))</f>
        <v/>
      </c>
      <c r="E199" s="29"/>
      <c r="F199" s="24"/>
      <c r="G199" s="28" t="str">
        <f aca="false">IF($C199="","",IFERROR(INDEX('المواد الخام'!$D$5:$D$104,MATCH($C199,'المواد الخام'!$A$5:$A$104,0)),""))</f>
        <v/>
      </c>
      <c r="H199" s="31" t="str">
        <f aca="false">IF($C199="","",IFERROR(INDEX('المواد الخام'!$G$5:$G$104,MATCH($C199,'المواد الخام'!$A$5:$A$104,0)),0))</f>
        <v/>
      </c>
      <c r="I199" s="25" t="str">
        <f aca="false">IF($C199="","",N(F199)*N(H199))</f>
        <v/>
      </c>
      <c r="J199" s="25" t="str">
        <f aca="false">IF(OR($A199="",$C199=""),"",IF(E199="لكل حبة",I199,IFERROR(I199/INDEX(المنتجات!$G$5:$G$24,MATCH($A199,المنتجات!$A$5:$A$24,0)),0)))</f>
        <v/>
      </c>
      <c r="K199" s="27" t="str">
        <f aca="false">IF(OR($A199="",$C199=""),"",N(F199)*IF(E199="لكل حبة",SUMIFS(الإنتاج!$G$5:$G$504,الإنتاج!$C$5:$C$504,$A199),SUMIFS(الإنتاج!$E$5:$E$504,الإنتاج!$C$5:$C$504,$A199)))</f>
        <v/>
      </c>
      <c r="L199" s="29"/>
    </row>
    <row r="200" customFormat="false" ht="15" hidden="false" customHeight="false" outlineLevel="0" collapsed="false">
      <c r="A200" s="29"/>
      <c r="B200" s="28" t="str">
        <f aca="false">IF($A200="","",IFERROR(INDEX(المنتجات!$C$5:$C$24,MATCH($A200,المنتجات!$A$5:$A$24,0)),"كود غير موجود"))</f>
        <v/>
      </c>
      <c r="C200" s="29"/>
      <c r="D200" s="28" t="str">
        <f aca="false">IF($C200="","",IFERROR(INDEX('المواد الخام'!$B$5:$B$104,MATCH($C200,'المواد الخام'!$A$5:$A$104,0)),"كود غير موجود"))</f>
        <v/>
      </c>
      <c r="E200" s="29"/>
      <c r="F200" s="24"/>
      <c r="G200" s="28" t="str">
        <f aca="false">IF($C200="","",IFERROR(INDEX('المواد الخام'!$D$5:$D$104,MATCH($C200,'المواد الخام'!$A$5:$A$104,0)),""))</f>
        <v/>
      </c>
      <c r="H200" s="31" t="str">
        <f aca="false">IF($C200="","",IFERROR(INDEX('المواد الخام'!$G$5:$G$104,MATCH($C200,'المواد الخام'!$A$5:$A$104,0)),0))</f>
        <v/>
      </c>
      <c r="I200" s="25" t="str">
        <f aca="false">IF($C200="","",N(F200)*N(H200))</f>
        <v/>
      </c>
      <c r="J200" s="25" t="str">
        <f aca="false">IF(OR($A200="",$C200=""),"",IF(E200="لكل حبة",I200,IFERROR(I200/INDEX(المنتجات!$G$5:$G$24,MATCH($A200,المنتجات!$A$5:$A$24,0)),0)))</f>
        <v/>
      </c>
      <c r="K200" s="27" t="str">
        <f aca="false">IF(OR($A200="",$C200=""),"",N(F200)*IF(E200="لكل حبة",SUMIFS(الإنتاج!$G$5:$G$504,الإنتاج!$C$5:$C$504,$A200),SUMIFS(الإنتاج!$E$5:$E$504,الإنتاج!$C$5:$C$504,$A200)))</f>
        <v/>
      </c>
      <c r="L200" s="29"/>
    </row>
    <row r="201" customFormat="false" ht="15" hidden="false" customHeight="false" outlineLevel="0" collapsed="false">
      <c r="A201" s="29"/>
      <c r="B201" s="28" t="str">
        <f aca="false">IF($A201="","",IFERROR(INDEX(المنتجات!$C$5:$C$24,MATCH($A201,المنتجات!$A$5:$A$24,0)),"كود غير موجود"))</f>
        <v/>
      </c>
      <c r="C201" s="29"/>
      <c r="D201" s="28" t="str">
        <f aca="false">IF($C201="","",IFERROR(INDEX('المواد الخام'!$B$5:$B$104,MATCH($C201,'المواد الخام'!$A$5:$A$104,0)),"كود غير موجود"))</f>
        <v/>
      </c>
      <c r="E201" s="29"/>
      <c r="F201" s="24"/>
      <c r="G201" s="28" t="str">
        <f aca="false">IF($C201="","",IFERROR(INDEX('المواد الخام'!$D$5:$D$104,MATCH($C201,'المواد الخام'!$A$5:$A$104,0)),""))</f>
        <v/>
      </c>
      <c r="H201" s="31" t="str">
        <f aca="false">IF($C201="","",IFERROR(INDEX('المواد الخام'!$G$5:$G$104,MATCH($C201,'المواد الخام'!$A$5:$A$104,0)),0))</f>
        <v/>
      </c>
      <c r="I201" s="25" t="str">
        <f aca="false">IF($C201="","",N(F201)*N(H201))</f>
        <v/>
      </c>
      <c r="J201" s="25" t="str">
        <f aca="false">IF(OR($A201="",$C201=""),"",IF(E201="لكل حبة",I201,IFERROR(I201/INDEX(المنتجات!$G$5:$G$24,MATCH($A201,المنتجات!$A$5:$A$24,0)),0)))</f>
        <v/>
      </c>
      <c r="K201" s="27" t="str">
        <f aca="false">IF(OR($A201="",$C201=""),"",N(F201)*IF(E201="لكل حبة",SUMIFS(الإنتاج!$G$5:$G$504,الإنتاج!$C$5:$C$504,$A201),SUMIFS(الإنتاج!$E$5:$E$504,الإنتاج!$C$5:$C$504,$A201)))</f>
        <v/>
      </c>
      <c r="L201" s="29"/>
    </row>
    <row r="202" customFormat="false" ht="15" hidden="false" customHeight="false" outlineLevel="0" collapsed="false">
      <c r="A202" s="29"/>
      <c r="B202" s="28" t="str">
        <f aca="false">IF($A202="","",IFERROR(INDEX(المنتجات!$C$5:$C$24,MATCH($A202,المنتجات!$A$5:$A$24,0)),"كود غير موجود"))</f>
        <v/>
      </c>
      <c r="C202" s="29"/>
      <c r="D202" s="28" t="str">
        <f aca="false">IF($C202="","",IFERROR(INDEX('المواد الخام'!$B$5:$B$104,MATCH($C202,'المواد الخام'!$A$5:$A$104,0)),"كود غير موجود"))</f>
        <v/>
      </c>
      <c r="E202" s="29"/>
      <c r="F202" s="24"/>
      <c r="G202" s="28" t="str">
        <f aca="false">IF($C202="","",IFERROR(INDEX('المواد الخام'!$D$5:$D$104,MATCH($C202,'المواد الخام'!$A$5:$A$104,0)),""))</f>
        <v/>
      </c>
      <c r="H202" s="31" t="str">
        <f aca="false">IF($C202="","",IFERROR(INDEX('المواد الخام'!$G$5:$G$104,MATCH($C202,'المواد الخام'!$A$5:$A$104,0)),0))</f>
        <v/>
      </c>
      <c r="I202" s="25" t="str">
        <f aca="false">IF($C202="","",N(F202)*N(H202))</f>
        <v/>
      </c>
      <c r="J202" s="25" t="str">
        <f aca="false">IF(OR($A202="",$C202=""),"",IF(E202="لكل حبة",I202,IFERROR(I202/INDEX(المنتجات!$G$5:$G$24,MATCH($A202,المنتجات!$A$5:$A$24,0)),0)))</f>
        <v/>
      </c>
      <c r="K202" s="27" t="str">
        <f aca="false">IF(OR($A202="",$C202=""),"",N(F202)*IF(E202="لكل حبة",SUMIFS(الإنتاج!$G$5:$G$504,الإنتاج!$C$5:$C$504,$A202),SUMIFS(الإنتاج!$E$5:$E$504,الإنتاج!$C$5:$C$504,$A202)))</f>
        <v/>
      </c>
      <c r="L202" s="29"/>
    </row>
    <row r="203" customFormat="false" ht="15" hidden="false" customHeight="false" outlineLevel="0" collapsed="false">
      <c r="A203" s="29"/>
      <c r="B203" s="28" t="str">
        <f aca="false">IF($A203="","",IFERROR(INDEX(المنتجات!$C$5:$C$24,MATCH($A203,المنتجات!$A$5:$A$24,0)),"كود غير موجود"))</f>
        <v/>
      </c>
      <c r="C203" s="29"/>
      <c r="D203" s="28" t="str">
        <f aca="false">IF($C203="","",IFERROR(INDEX('المواد الخام'!$B$5:$B$104,MATCH($C203,'المواد الخام'!$A$5:$A$104,0)),"كود غير موجود"))</f>
        <v/>
      </c>
      <c r="E203" s="29"/>
      <c r="F203" s="24"/>
      <c r="G203" s="28" t="str">
        <f aca="false">IF($C203="","",IFERROR(INDEX('المواد الخام'!$D$5:$D$104,MATCH($C203,'المواد الخام'!$A$5:$A$104,0)),""))</f>
        <v/>
      </c>
      <c r="H203" s="31" t="str">
        <f aca="false">IF($C203="","",IFERROR(INDEX('المواد الخام'!$G$5:$G$104,MATCH($C203,'المواد الخام'!$A$5:$A$104,0)),0))</f>
        <v/>
      </c>
      <c r="I203" s="25" t="str">
        <f aca="false">IF($C203="","",N(F203)*N(H203))</f>
        <v/>
      </c>
      <c r="J203" s="25" t="str">
        <f aca="false">IF(OR($A203="",$C203=""),"",IF(E203="لكل حبة",I203,IFERROR(I203/INDEX(المنتجات!$G$5:$G$24,MATCH($A203,المنتجات!$A$5:$A$24,0)),0)))</f>
        <v/>
      </c>
      <c r="K203" s="27" t="str">
        <f aca="false">IF(OR($A203="",$C203=""),"",N(F203)*IF(E203="لكل حبة",SUMIFS(الإنتاج!$G$5:$G$504,الإنتاج!$C$5:$C$504,$A203),SUMIFS(الإنتاج!$E$5:$E$504,الإنتاج!$C$5:$C$504,$A203)))</f>
        <v/>
      </c>
      <c r="L203" s="29"/>
    </row>
    <row r="204" customFormat="false" ht="15" hidden="false" customHeight="false" outlineLevel="0" collapsed="false">
      <c r="A204" s="29"/>
      <c r="B204" s="28" t="str">
        <f aca="false">IF($A204="","",IFERROR(INDEX(المنتجات!$C$5:$C$24,MATCH($A204,المنتجات!$A$5:$A$24,0)),"كود غير موجود"))</f>
        <v/>
      </c>
      <c r="C204" s="29"/>
      <c r="D204" s="28" t="str">
        <f aca="false">IF($C204="","",IFERROR(INDEX('المواد الخام'!$B$5:$B$104,MATCH($C204,'المواد الخام'!$A$5:$A$104,0)),"كود غير موجود"))</f>
        <v/>
      </c>
      <c r="E204" s="29"/>
      <c r="F204" s="24"/>
      <c r="G204" s="28" t="str">
        <f aca="false">IF($C204="","",IFERROR(INDEX('المواد الخام'!$D$5:$D$104,MATCH($C204,'المواد الخام'!$A$5:$A$104,0)),""))</f>
        <v/>
      </c>
      <c r="H204" s="31" t="str">
        <f aca="false">IF($C204="","",IFERROR(INDEX('المواد الخام'!$G$5:$G$104,MATCH($C204,'المواد الخام'!$A$5:$A$104,0)),0))</f>
        <v/>
      </c>
      <c r="I204" s="25" t="str">
        <f aca="false">IF($C204="","",N(F204)*N(H204))</f>
        <v/>
      </c>
      <c r="J204" s="25" t="str">
        <f aca="false">IF(OR($A204="",$C204=""),"",IF(E204="لكل حبة",I204,IFERROR(I204/INDEX(المنتجات!$G$5:$G$24,MATCH($A204,المنتجات!$A$5:$A$24,0)),0)))</f>
        <v/>
      </c>
      <c r="K204" s="27" t="str">
        <f aca="false">IF(OR($A204="",$C204=""),"",N(F204)*IF(E204="لكل حبة",SUMIFS(الإنتاج!$G$5:$G$504,الإنتاج!$C$5:$C$504,$A204),SUMIFS(الإنتاج!$E$5:$E$504,الإنتاج!$C$5:$C$504,$A204)))</f>
        <v/>
      </c>
      <c r="L204" s="29"/>
    </row>
    <row r="205" customFormat="false" ht="15" hidden="false" customHeight="false" outlineLevel="0" collapsed="false">
      <c r="A205" s="29"/>
      <c r="B205" s="28" t="str">
        <f aca="false">IF($A205="","",IFERROR(INDEX(المنتجات!$C$5:$C$24,MATCH($A205,المنتجات!$A$5:$A$24,0)),"كود غير موجود"))</f>
        <v/>
      </c>
      <c r="C205" s="29"/>
      <c r="D205" s="28" t="str">
        <f aca="false">IF($C205="","",IFERROR(INDEX('المواد الخام'!$B$5:$B$104,MATCH($C205,'المواد الخام'!$A$5:$A$104,0)),"كود غير موجود"))</f>
        <v/>
      </c>
      <c r="E205" s="29"/>
      <c r="F205" s="24"/>
      <c r="G205" s="28" t="str">
        <f aca="false">IF($C205="","",IFERROR(INDEX('المواد الخام'!$D$5:$D$104,MATCH($C205,'المواد الخام'!$A$5:$A$104,0)),""))</f>
        <v/>
      </c>
      <c r="H205" s="31" t="str">
        <f aca="false">IF($C205="","",IFERROR(INDEX('المواد الخام'!$G$5:$G$104,MATCH($C205,'المواد الخام'!$A$5:$A$104,0)),0))</f>
        <v/>
      </c>
      <c r="I205" s="25" t="str">
        <f aca="false">IF($C205="","",N(F205)*N(H205))</f>
        <v/>
      </c>
      <c r="J205" s="25" t="str">
        <f aca="false">IF(OR($A205="",$C205=""),"",IF(E205="لكل حبة",I205,IFERROR(I205/INDEX(المنتجات!$G$5:$G$24,MATCH($A205,المنتجات!$A$5:$A$24,0)),0)))</f>
        <v/>
      </c>
      <c r="K205" s="27" t="str">
        <f aca="false">IF(OR($A205="",$C205=""),"",N(F205)*IF(E205="لكل حبة",SUMIFS(الإنتاج!$G$5:$G$504,الإنتاج!$C$5:$C$504,$A205),SUMIFS(الإنتاج!$E$5:$E$504,الإنتاج!$C$5:$C$504,$A205)))</f>
        <v/>
      </c>
      <c r="L205" s="29"/>
    </row>
    <row r="206" customFormat="false" ht="15" hidden="false" customHeight="false" outlineLevel="0" collapsed="false">
      <c r="A206" s="29"/>
      <c r="B206" s="28" t="str">
        <f aca="false">IF($A206="","",IFERROR(INDEX(المنتجات!$C$5:$C$24,MATCH($A206,المنتجات!$A$5:$A$24,0)),"كود غير موجود"))</f>
        <v/>
      </c>
      <c r="C206" s="29"/>
      <c r="D206" s="28" t="str">
        <f aca="false">IF($C206="","",IFERROR(INDEX('المواد الخام'!$B$5:$B$104,MATCH($C206,'المواد الخام'!$A$5:$A$104,0)),"كود غير موجود"))</f>
        <v/>
      </c>
      <c r="E206" s="29"/>
      <c r="F206" s="24"/>
      <c r="G206" s="28" t="str">
        <f aca="false">IF($C206="","",IFERROR(INDEX('المواد الخام'!$D$5:$D$104,MATCH($C206,'المواد الخام'!$A$5:$A$104,0)),""))</f>
        <v/>
      </c>
      <c r="H206" s="31" t="str">
        <f aca="false">IF($C206="","",IFERROR(INDEX('المواد الخام'!$G$5:$G$104,MATCH($C206,'المواد الخام'!$A$5:$A$104,0)),0))</f>
        <v/>
      </c>
      <c r="I206" s="25" t="str">
        <f aca="false">IF($C206="","",N(F206)*N(H206))</f>
        <v/>
      </c>
      <c r="J206" s="25" t="str">
        <f aca="false">IF(OR($A206="",$C206=""),"",IF(E206="لكل حبة",I206,IFERROR(I206/INDEX(المنتجات!$G$5:$G$24,MATCH($A206,المنتجات!$A$5:$A$24,0)),0)))</f>
        <v/>
      </c>
      <c r="K206" s="27" t="str">
        <f aca="false">IF(OR($A206="",$C206=""),"",N(F206)*IF(E206="لكل حبة",SUMIFS(الإنتاج!$G$5:$G$504,الإنتاج!$C$5:$C$504,$A206),SUMIFS(الإنتاج!$E$5:$E$504,الإنتاج!$C$5:$C$504,$A206)))</f>
        <v/>
      </c>
      <c r="L206" s="29"/>
    </row>
    <row r="207" customFormat="false" ht="15" hidden="false" customHeight="false" outlineLevel="0" collapsed="false">
      <c r="A207" s="29"/>
      <c r="B207" s="28" t="str">
        <f aca="false">IF($A207="","",IFERROR(INDEX(المنتجات!$C$5:$C$24,MATCH($A207,المنتجات!$A$5:$A$24,0)),"كود غير موجود"))</f>
        <v/>
      </c>
      <c r="C207" s="29"/>
      <c r="D207" s="28" t="str">
        <f aca="false">IF($C207="","",IFERROR(INDEX('المواد الخام'!$B$5:$B$104,MATCH($C207,'المواد الخام'!$A$5:$A$104,0)),"كود غير موجود"))</f>
        <v/>
      </c>
      <c r="E207" s="29"/>
      <c r="F207" s="24"/>
      <c r="G207" s="28" t="str">
        <f aca="false">IF($C207="","",IFERROR(INDEX('المواد الخام'!$D$5:$D$104,MATCH($C207,'المواد الخام'!$A$5:$A$104,0)),""))</f>
        <v/>
      </c>
      <c r="H207" s="31" t="str">
        <f aca="false">IF($C207="","",IFERROR(INDEX('المواد الخام'!$G$5:$G$104,MATCH($C207,'المواد الخام'!$A$5:$A$104,0)),0))</f>
        <v/>
      </c>
      <c r="I207" s="25" t="str">
        <f aca="false">IF($C207="","",N(F207)*N(H207))</f>
        <v/>
      </c>
      <c r="J207" s="25" t="str">
        <f aca="false">IF(OR($A207="",$C207=""),"",IF(E207="لكل حبة",I207,IFERROR(I207/INDEX(المنتجات!$G$5:$G$24,MATCH($A207,المنتجات!$A$5:$A$24,0)),0)))</f>
        <v/>
      </c>
      <c r="K207" s="27" t="str">
        <f aca="false">IF(OR($A207="",$C207=""),"",N(F207)*IF(E207="لكل حبة",SUMIFS(الإنتاج!$G$5:$G$504,الإنتاج!$C$5:$C$504,$A207),SUMIFS(الإنتاج!$E$5:$E$504,الإنتاج!$C$5:$C$504,$A207)))</f>
        <v/>
      </c>
      <c r="L207" s="29"/>
    </row>
    <row r="208" customFormat="false" ht="15" hidden="false" customHeight="false" outlineLevel="0" collapsed="false">
      <c r="A208" s="29"/>
      <c r="B208" s="28" t="str">
        <f aca="false">IF($A208="","",IFERROR(INDEX(المنتجات!$C$5:$C$24,MATCH($A208,المنتجات!$A$5:$A$24,0)),"كود غير موجود"))</f>
        <v/>
      </c>
      <c r="C208" s="29"/>
      <c r="D208" s="28" t="str">
        <f aca="false">IF($C208="","",IFERROR(INDEX('المواد الخام'!$B$5:$B$104,MATCH($C208,'المواد الخام'!$A$5:$A$104,0)),"كود غير موجود"))</f>
        <v/>
      </c>
      <c r="E208" s="29"/>
      <c r="F208" s="24"/>
      <c r="G208" s="28" t="str">
        <f aca="false">IF($C208="","",IFERROR(INDEX('المواد الخام'!$D$5:$D$104,MATCH($C208,'المواد الخام'!$A$5:$A$104,0)),""))</f>
        <v/>
      </c>
      <c r="H208" s="31" t="str">
        <f aca="false">IF($C208="","",IFERROR(INDEX('المواد الخام'!$G$5:$G$104,MATCH($C208,'المواد الخام'!$A$5:$A$104,0)),0))</f>
        <v/>
      </c>
      <c r="I208" s="25" t="str">
        <f aca="false">IF($C208="","",N(F208)*N(H208))</f>
        <v/>
      </c>
      <c r="J208" s="25" t="str">
        <f aca="false">IF(OR($A208="",$C208=""),"",IF(E208="لكل حبة",I208,IFERROR(I208/INDEX(المنتجات!$G$5:$G$24,MATCH($A208,المنتجات!$A$5:$A$24,0)),0)))</f>
        <v/>
      </c>
      <c r="K208" s="27" t="str">
        <f aca="false">IF(OR($A208="",$C208=""),"",N(F208)*IF(E208="لكل حبة",SUMIFS(الإنتاج!$G$5:$G$504,الإنتاج!$C$5:$C$504,$A208),SUMIFS(الإنتاج!$E$5:$E$504,الإنتاج!$C$5:$C$504,$A208)))</f>
        <v/>
      </c>
      <c r="L208" s="29"/>
    </row>
    <row r="209" customFormat="false" ht="15" hidden="false" customHeight="false" outlineLevel="0" collapsed="false">
      <c r="A209" s="29"/>
      <c r="B209" s="28" t="str">
        <f aca="false">IF($A209="","",IFERROR(INDEX(المنتجات!$C$5:$C$24,MATCH($A209,المنتجات!$A$5:$A$24,0)),"كود غير موجود"))</f>
        <v/>
      </c>
      <c r="C209" s="29"/>
      <c r="D209" s="28" t="str">
        <f aca="false">IF($C209="","",IFERROR(INDEX('المواد الخام'!$B$5:$B$104,MATCH($C209,'المواد الخام'!$A$5:$A$104,0)),"كود غير موجود"))</f>
        <v/>
      </c>
      <c r="E209" s="29"/>
      <c r="F209" s="24"/>
      <c r="G209" s="28" t="str">
        <f aca="false">IF($C209="","",IFERROR(INDEX('المواد الخام'!$D$5:$D$104,MATCH($C209,'المواد الخام'!$A$5:$A$104,0)),""))</f>
        <v/>
      </c>
      <c r="H209" s="31" t="str">
        <f aca="false">IF($C209="","",IFERROR(INDEX('المواد الخام'!$G$5:$G$104,MATCH($C209,'المواد الخام'!$A$5:$A$104,0)),0))</f>
        <v/>
      </c>
      <c r="I209" s="25" t="str">
        <f aca="false">IF($C209="","",N(F209)*N(H209))</f>
        <v/>
      </c>
      <c r="J209" s="25" t="str">
        <f aca="false">IF(OR($A209="",$C209=""),"",IF(E209="لكل حبة",I209,IFERROR(I209/INDEX(المنتجات!$G$5:$G$24,MATCH($A209,المنتجات!$A$5:$A$24,0)),0)))</f>
        <v/>
      </c>
      <c r="K209" s="27" t="str">
        <f aca="false">IF(OR($A209="",$C209=""),"",N(F209)*IF(E209="لكل حبة",SUMIFS(الإنتاج!$G$5:$G$504,الإنتاج!$C$5:$C$504,$A209),SUMIFS(الإنتاج!$E$5:$E$504,الإنتاج!$C$5:$C$504,$A209)))</f>
        <v/>
      </c>
      <c r="L209" s="29"/>
    </row>
    <row r="210" customFormat="false" ht="15" hidden="false" customHeight="false" outlineLevel="0" collapsed="false">
      <c r="A210" s="29"/>
      <c r="B210" s="28" t="str">
        <f aca="false">IF($A210="","",IFERROR(INDEX(المنتجات!$C$5:$C$24,MATCH($A210,المنتجات!$A$5:$A$24,0)),"كود غير موجود"))</f>
        <v/>
      </c>
      <c r="C210" s="29"/>
      <c r="D210" s="28" t="str">
        <f aca="false">IF($C210="","",IFERROR(INDEX('المواد الخام'!$B$5:$B$104,MATCH($C210,'المواد الخام'!$A$5:$A$104,0)),"كود غير موجود"))</f>
        <v/>
      </c>
      <c r="E210" s="29"/>
      <c r="F210" s="24"/>
      <c r="G210" s="28" t="str">
        <f aca="false">IF($C210="","",IFERROR(INDEX('المواد الخام'!$D$5:$D$104,MATCH($C210,'المواد الخام'!$A$5:$A$104,0)),""))</f>
        <v/>
      </c>
      <c r="H210" s="31" t="str">
        <f aca="false">IF($C210="","",IFERROR(INDEX('المواد الخام'!$G$5:$G$104,MATCH($C210,'المواد الخام'!$A$5:$A$104,0)),0))</f>
        <v/>
      </c>
      <c r="I210" s="25" t="str">
        <f aca="false">IF($C210="","",N(F210)*N(H210))</f>
        <v/>
      </c>
      <c r="J210" s="25" t="str">
        <f aca="false">IF(OR($A210="",$C210=""),"",IF(E210="لكل حبة",I210,IFERROR(I210/INDEX(المنتجات!$G$5:$G$24,MATCH($A210,المنتجات!$A$5:$A$24,0)),0)))</f>
        <v/>
      </c>
      <c r="K210" s="27" t="str">
        <f aca="false">IF(OR($A210="",$C210=""),"",N(F210)*IF(E210="لكل حبة",SUMIFS(الإنتاج!$G$5:$G$504,الإنتاج!$C$5:$C$504,$A210),SUMIFS(الإنتاج!$E$5:$E$504,الإنتاج!$C$5:$C$504,$A210)))</f>
        <v/>
      </c>
      <c r="L210" s="29"/>
    </row>
    <row r="211" customFormat="false" ht="15" hidden="false" customHeight="false" outlineLevel="0" collapsed="false">
      <c r="A211" s="29"/>
      <c r="B211" s="28" t="str">
        <f aca="false">IF($A211="","",IFERROR(INDEX(المنتجات!$C$5:$C$24,MATCH($A211,المنتجات!$A$5:$A$24,0)),"كود غير موجود"))</f>
        <v/>
      </c>
      <c r="C211" s="29"/>
      <c r="D211" s="28" t="str">
        <f aca="false">IF($C211="","",IFERROR(INDEX('المواد الخام'!$B$5:$B$104,MATCH($C211,'المواد الخام'!$A$5:$A$104,0)),"كود غير موجود"))</f>
        <v/>
      </c>
      <c r="E211" s="29"/>
      <c r="F211" s="24"/>
      <c r="G211" s="28" t="str">
        <f aca="false">IF($C211="","",IFERROR(INDEX('المواد الخام'!$D$5:$D$104,MATCH($C211,'المواد الخام'!$A$5:$A$104,0)),""))</f>
        <v/>
      </c>
      <c r="H211" s="31" t="str">
        <f aca="false">IF($C211="","",IFERROR(INDEX('المواد الخام'!$G$5:$G$104,MATCH($C211,'المواد الخام'!$A$5:$A$104,0)),0))</f>
        <v/>
      </c>
      <c r="I211" s="25" t="str">
        <f aca="false">IF($C211="","",N(F211)*N(H211))</f>
        <v/>
      </c>
      <c r="J211" s="25" t="str">
        <f aca="false">IF(OR($A211="",$C211=""),"",IF(E211="لكل حبة",I211,IFERROR(I211/INDEX(المنتجات!$G$5:$G$24,MATCH($A211,المنتجات!$A$5:$A$24,0)),0)))</f>
        <v/>
      </c>
      <c r="K211" s="27" t="str">
        <f aca="false">IF(OR($A211="",$C211=""),"",N(F211)*IF(E211="لكل حبة",SUMIFS(الإنتاج!$G$5:$G$504,الإنتاج!$C$5:$C$504,$A211),SUMIFS(الإنتاج!$E$5:$E$504,الإنتاج!$C$5:$C$504,$A211)))</f>
        <v/>
      </c>
      <c r="L211" s="29"/>
    </row>
    <row r="212" customFormat="false" ht="15" hidden="false" customHeight="false" outlineLevel="0" collapsed="false">
      <c r="A212" s="29"/>
      <c r="B212" s="28" t="str">
        <f aca="false">IF($A212="","",IFERROR(INDEX(المنتجات!$C$5:$C$24,MATCH($A212,المنتجات!$A$5:$A$24,0)),"كود غير موجود"))</f>
        <v/>
      </c>
      <c r="C212" s="29"/>
      <c r="D212" s="28" t="str">
        <f aca="false">IF($C212="","",IFERROR(INDEX('المواد الخام'!$B$5:$B$104,MATCH($C212,'المواد الخام'!$A$5:$A$104,0)),"كود غير موجود"))</f>
        <v/>
      </c>
      <c r="E212" s="29"/>
      <c r="F212" s="24"/>
      <c r="G212" s="28" t="str">
        <f aca="false">IF($C212="","",IFERROR(INDEX('المواد الخام'!$D$5:$D$104,MATCH($C212,'المواد الخام'!$A$5:$A$104,0)),""))</f>
        <v/>
      </c>
      <c r="H212" s="31" t="str">
        <f aca="false">IF($C212="","",IFERROR(INDEX('المواد الخام'!$G$5:$G$104,MATCH($C212,'المواد الخام'!$A$5:$A$104,0)),0))</f>
        <v/>
      </c>
      <c r="I212" s="25" t="str">
        <f aca="false">IF($C212="","",N(F212)*N(H212))</f>
        <v/>
      </c>
      <c r="J212" s="25" t="str">
        <f aca="false">IF(OR($A212="",$C212=""),"",IF(E212="لكل حبة",I212,IFERROR(I212/INDEX(المنتجات!$G$5:$G$24,MATCH($A212,المنتجات!$A$5:$A$24,0)),0)))</f>
        <v/>
      </c>
      <c r="K212" s="27" t="str">
        <f aca="false">IF(OR($A212="",$C212=""),"",N(F212)*IF(E212="لكل حبة",SUMIFS(الإنتاج!$G$5:$G$504,الإنتاج!$C$5:$C$504,$A212),SUMIFS(الإنتاج!$E$5:$E$504,الإنتاج!$C$5:$C$504,$A212)))</f>
        <v/>
      </c>
      <c r="L212" s="29"/>
    </row>
    <row r="213" customFormat="false" ht="15" hidden="false" customHeight="false" outlineLevel="0" collapsed="false">
      <c r="A213" s="29"/>
      <c r="B213" s="28" t="str">
        <f aca="false">IF($A213="","",IFERROR(INDEX(المنتجات!$C$5:$C$24,MATCH($A213,المنتجات!$A$5:$A$24,0)),"كود غير موجود"))</f>
        <v/>
      </c>
      <c r="C213" s="29"/>
      <c r="D213" s="28" t="str">
        <f aca="false">IF($C213="","",IFERROR(INDEX('المواد الخام'!$B$5:$B$104,MATCH($C213,'المواد الخام'!$A$5:$A$104,0)),"كود غير موجود"))</f>
        <v/>
      </c>
      <c r="E213" s="29"/>
      <c r="F213" s="24"/>
      <c r="G213" s="28" t="str">
        <f aca="false">IF($C213="","",IFERROR(INDEX('المواد الخام'!$D$5:$D$104,MATCH($C213,'المواد الخام'!$A$5:$A$104,0)),""))</f>
        <v/>
      </c>
      <c r="H213" s="31" t="str">
        <f aca="false">IF($C213="","",IFERROR(INDEX('المواد الخام'!$G$5:$G$104,MATCH($C213,'المواد الخام'!$A$5:$A$104,0)),0))</f>
        <v/>
      </c>
      <c r="I213" s="25" t="str">
        <f aca="false">IF($C213="","",N(F213)*N(H213))</f>
        <v/>
      </c>
      <c r="J213" s="25" t="str">
        <f aca="false">IF(OR($A213="",$C213=""),"",IF(E213="لكل حبة",I213,IFERROR(I213/INDEX(المنتجات!$G$5:$G$24,MATCH($A213,المنتجات!$A$5:$A$24,0)),0)))</f>
        <v/>
      </c>
      <c r="K213" s="27" t="str">
        <f aca="false">IF(OR($A213="",$C213=""),"",N(F213)*IF(E213="لكل حبة",SUMIFS(الإنتاج!$G$5:$G$504,الإنتاج!$C$5:$C$504,$A213),SUMIFS(الإنتاج!$E$5:$E$504,الإنتاج!$C$5:$C$504,$A213)))</f>
        <v/>
      </c>
      <c r="L213" s="29"/>
    </row>
    <row r="214" customFormat="false" ht="15" hidden="false" customHeight="false" outlineLevel="0" collapsed="false">
      <c r="A214" s="29"/>
      <c r="B214" s="28" t="str">
        <f aca="false">IF($A214="","",IFERROR(INDEX(المنتجات!$C$5:$C$24,MATCH($A214,المنتجات!$A$5:$A$24,0)),"كود غير موجود"))</f>
        <v/>
      </c>
      <c r="C214" s="29"/>
      <c r="D214" s="28" t="str">
        <f aca="false">IF($C214="","",IFERROR(INDEX('المواد الخام'!$B$5:$B$104,MATCH($C214,'المواد الخام'!$A$5:$A$104,0)),"كود غير موجود"))</f>
        <v/>
      </c>
      <c r="E214" s="29"/>
      <c r="F214" s="24"/>
      <c r="G214" s="28" t="str">
        <f aca="false">IF($C214="","",IFERROR(INDEX('المواد الخام'!$D$5:$D$104,MATCH($C214,'المواد الخام'!$A$5:$A$104,0)),""))</f>
        <v/>
      </c>
      <c r="H214" s="31" t="str">
        <f aca="false">IF($C214="","",IFERROR(INDEX('المواد الخام'!$G$5:$G$104,MATCH($C214,'المواد الخام'!$A$5:$A$104,0)),0))</f>
        <v/>
      </c>
      <c r="I214" s="25" t="str">
        <f aca="false">IF($C214="","",N(F214)*N(H214))</f>
        <v/>
      </c>
      <c r="J214" s="25" t="str">
        <f aca="false">IF(OR($A214="",$C214=""),"",IF(E214="لكل حبة",I214,IFERROR(I214/INDEX(المنتجات!$G$5:$G$24,MATCH($A214,المنتجات!$A$5:$A$24,0)),0)))</f>
        <v/>
      </c>
      <c r="K214" s="27" t="str">
        <f aca="false">IF(OR($A214="",$C214=""),"",N(F214)*IF(E214="لكل حبة",SUMIFS(الإنتاج!$G$5:$G$504,الإنتاج!$C$5:$C$504,$A214),SUMIFS(الإنتاج!$E$5:$E$504,الإنتاج!$C$5:$C$504,$A214)))</f>
        <v/>
      </c>
      <c r="L214" s="29"/>
    </row>
    <row r="215" customFormat="false" ht="15" hidden="false" customHeight="false" outlineLevel="0" collapsed="false">
      <c r="A215" s="29"/>
      <c r="B215" s="28" t="str">
        <f aca="false">IF($A215="","",IFERROR(INDEX(المنتجات!$C$5:$C$24,MATCH($A215,المنتجات!$A$5:$A$24,0)),"كود غير موجود"))</f>
        <v/>
      </c>
      <c r="C215" s="29"/>
      <c r="D215" s="28" t="str">
        <f aca="false">IF($C215="","",IFERROR(INDEX('المواد الخام'!$B$5:$B$104,MATCH($C215,'المواد الخام'!$A$5:$A$104,0)),"كود غير موجود"))</f>
        <v/>
      </c>
      <c r="E215" s="29"/>
      <c r="F215" s="24"/>
      <c r="G215" s="28" t="str">
        <f aca="false">IF($C215="","",IFERROR(INDEX('المواد الخام'!$D$5:$D$104,MATCH($C215,'المواد الخام'!$A$5:$A$104,0)),""))</f>
        <v/>
      </c>
      <c r="H215" s="31" t="str">
        <f aca="false">IF($C215="","",IFERROR(INDEX('المواد الخام'!$G$5:$G$104,MATCH($C215,'المواد الخام'!$A$5:$A$104,0)),0))</f>
        <v/>
      </c>
      <c r="I215" s="25" t="str">
        <f aca="false">IF($C215="","",N(F215)*N(H215))</f>
        <v/>
      </c>
      <c r="J215" s="25" t="str">
        <f aca="false">IF(OR($A215="",$C215=""),"",IF(E215="لكل حبة",I215,IFERROR(I215/INDEX(المنتجات!$G$5:$G$24,MATCH($A215,المنتجات!$A$5:$A$24,0)),0)))</f>
        <v/>
      </c>
      <c r="K215" s="27" t="str">
        <f aca="false">IF(OR($A215="",$C215=""),"",N(F215)*IF(E215="لكل حبة",SUMIFS(الإنتاج!$G$5:$G$504,الإنتاج!$C$5:$C$504,$A215),SUMIFS(الإنتاج!$E$5:$E$504,الإنتاج!$C$5:$C$504,$A215)))</f>
        <v/>
      </c>
      <c r="L215" s="29"/>
    </row>
    <row r="216" customFormat="false" ht="15" hidden="false" customHeight="false" outlineLevel="0" collapsed="false">
      <c r="A216" s="29"/>
      <c r="B216" s="28" t="str">
        <f aca="false">IF($A216="","",IFERROR(INDEX(المنتجات!$C$5:$C$24,MATCH($A216,المنتجات!$A$5:$A$24,0)),"كود غير موجود"))</f>
        <v/>
      </c>
      <c r="C216" s="29"/>
      <c r="D216" s="28" t="str">
        <f aca="false">IF($C216="","",IFERROR(INDEX('المواد الخام'!$B$5:$B$104,MATCH($C216,'المواد الخام'!$A$5:$A$104,0)),"كود غير موجود"))</f>
        <v/>
      </c>
      <c r="E216" s="29"/>
      <c r="F216" s="24"/>
      <c r="G216" s="28" t="str">
        <f aca="false">IF($C216="","",IFERROR(INDEX('المواد الخام'!$D$5:$D$104,MATCH($C216,'المواد الخام'!$A$5:$A$104,0)),""))</f>
        <v/>
      </c>
      <c r="H216" s="31" t="str">
        <f aca="false">IF($C216="","",IFERROR(INDEX('المواد الخام'!$G$5:$G$104,MATCH($C216,'المواد الخام'!$A$5:$A$104,0)),0))</f>
        <v/>
      </c>
      <c r="I216" s="25" t="str">
        <f aca="false">IF($C216="","",N(F216)*N(H216))</f>
        <v/>
      </c>
      <c r="J216" s="25" t="str">
        <f aca="false">IF(OR($A216="",$C216=""),"",IF(E216="لكل حبة",I216,IFERROR(I216/INDEX(المنتجات!$G$5:$G$24,MATCH($A216,المنتجات!$A$5:$A$24,0)),0)))</f>
        <v/>
      </c>
      <c r="K216" s="27" t="str">
        <f aca="false">IF(OR($A216="",$C216=""),"",N(F216)*IF(E216="لكل حبة",SUMIFS(الإنتاج!$G$5:$G$504,الإنتاج!$C$5:$C$504,$A216),SUMIFS(الإنتاج!$E$5:$E$504,الإنتاج!$C$5:$C$504,$A216)))</f>
        <v/>
      </c>
      <c r="L216" s="29"/>
    </row>
    <row r="217" customFormat="false" ht="15" hidden="false" customHeight="false" outlineLevel="0" collapsed="false">
      <c r="A217" s="29"/>
      <c r="B217" s="28" t="str">
        <f aca="false">IF($A217="","",IFERROR(INDEX(المنتجات!$C$5:$C$24,MATCH($A217,المنتجات!$A$5:$A$24,0)),"كود غير موجود"))</f>
        <v/>
      </c>
      <c r="C217" s="29"/>
      <c r="D217" s="28" t="str">
        <f aca="false">IF($C217="","",IFERROR(INDEX('المواد الخام'!$B$5:$B$104,MATCH($C217,'المواد الخام'!$A$5:$A$104,0)),"كود غير موجود"))</f>
        <v/>
      </c>
      <c r="E217" s="29"/>
      <c r="F217" s="24"/>
      <c r="G217" s="28" t="str">
        <f aca="false">IF($C217="","",IFERROR(INDEX('المواد الخام'!$D$5:$D$104,MATCH($C217,'المواد الخام'!$A$5:$A$104,0)),""))</f>
        <v/>
      </c>
      <c r="H217" s="31" t="str">
        <f aca="false">IF($C217="","",IFERROR(INDEX('المواد الخام'!$G$5:$G$104,MATCH($C217,'المواد الخام'!$A$5:$A$104,0)),0))</f>
        <v/>
      </c>
      <c r="I217" s="25" t="str">
        <f aca="false">IF($C217="","",N(F217)*N(H217))</f>
        <v/>
      </c>
      <c r="J217" s="25" t="str">
        <f aca="false">IF(OR($A217="",$C217=""),"",IF(E217="لكل حبة",I217,IFERROR(I217/INDEX(المنتجات!$G$5:$G$24,MATCH($A217,المنتجات!$A$5:$A$24,0)),0)))</f>
        <v/>
      </c>
      <c r="K217" s="27" t="str">
        <f aca="false">IF(OR($A217="",$C217=""),"",N(F217)*IF(E217="لكل حبة",SUMIFS(الإنتاج!$G$5:$G$504,الإنتاج!$C$5:$C$504,$A217),SUMIFS(الإنتاج!$E$5:$E$504,الإنتاج!$C$5:$C$504,$A217)))</f>
        <v/>
      </c>
      <c r="L217" s="29"/>
    </row>
    <row r="218" customFormat="false" ht="15" hidden="false" customHeight="false" outlineLevel="0" collapsed="false">
      <c r="A218" s="29"/>
      <c r="B218" s="28" t="str">
        <f aca="false">IF($A218="","",IFERROR(INDEX(المنتجات!$C$5:$C$24,MATCH($A218,المنتجات!$A$5:$A$24,0)),"كود غير موجود"))</f>
        <v/>
      </c>
      <c r="C218" s="29"/>
      <c r="D218" s="28" t="str">
        <f aca="false">IF($C218="","",IFERROR(INDEX('المواد الخام'!$B$5:$B$104,MATCH($C218,'المواد الخام'!$A$5:$A$104,0)),"كود غير موجود"))</f>
        <v/>
      </c>
      <c r="E218" s="29"/>
      <c r="F218" s="24"/>
      <c r="G218" s="28" t="str">
        <f aca="false">IF($C218="","",IFERROR(INDEX('المواد الخام'!$D$5:$D$104,MATCH($C218,'المواد الخام'!$A$5:$A$104,0)),""))</f>
        <v/>
      </c>
      <c r="H218" s="31" t="str">
        <f aca="false">IF($C218="","",IFERROR(INDEX('المواد الخام'!$G$5:$G$104,MATCH($C218,'المواد الخام'!$A$5:$A$104,0)),0))</f>
        <v/>
      </c>
      <c r="I218" s="25" t="str">
        <f aca="false">IF($C218="","",N(F218)*N(H218))</f>
        <v/>
      </c>
      <c r="J218" s="25" t="str">
        <f aca="false">IF(OR($A218="",$C218=""),"",IF(E218="لكل حبة",I218,IFERROR(I218/INDEX(المنتجات!$G$5:$G$24,MATCH($A218,المنتجات!$A$5:$A$24,0)),0)))</f>
        <v/>
      </c>
      <c r="K218" s="27" t="str">
        <f aca="false">IF(OR($A218="",$C218=""),"",N(F218)*IF(E218="لكل حبة",SUMIFS(الإنتاج!$G$5:$G$504,الإنتاج!$C$5:$C$504,$A218),SUMIFS(الإنتاج!$E$5:$E$504,الإنتاج!$C$5:$C$504,$A218)))</f>
        <v/>
      </c>
      <c r="L218" s="29"/>
    </row>
    <row r="219" customFormat="false" ht="15" hidden="false" customHeight="false" outlineLevel="0" collapsed="false">
      <c r="A219" s="29"/>
      <c r="B219" s="28" t="str">
        <f aca="false">IF($A219="","",IFERROR(INDEX(المنتجات!$C$5:$C$24,MATCH($A219,المنتجات!$A$5:$A$24,0)),"كود غير موجود"))</f>
        <v/>
      </c>
      <c r="C219" s="29"/>
      <c r="D219" s="28" t="str">
        <f aca="false">IF($C219="","",IFERROR(INDEX('المواد الخام'!$B$5:$B$104,MATCH($C219,'المواد الخام'!$A$5:$A$104,0)),"كود غير موجود"))</f>
        <v/>
      </c>
      <c r="E219" s="29"/>
      <c r="F219" s="24"/>
      <c r="G219" s="28" t="str">
        <f aca="false">IF($C219="","",IFERROR(INDEX('المواد الخام'!$D$5:$D$104,MATCH($C219,'المواد الخام'!$A$5:$A$104,0)),""))</f>
        <v/>
      </c>
      <c r="H219" s="31" t="str">
        <f aca="false">IF($C219="","",IFERROR(INDEX('المواد الخام'!$G$5:$G$104,MATCH($C219,'المواد الخام'!$A$5:$A$104,0)),0))</f>
        <v/>
      </c>
      <c r="I219" s="25" t="str">
        <f aca="false">IF($C219="","",N(F219)*N(H219))</f>
        <v/>
      </c>
      <c r="J219" s="25" t="str">
        <f aca="false">IF(OR($A219="",$C219=""),"",IF(E219="لكل حبة",I219,IFERROR(I219/INDEX(المنتجات!$G$5:$G$24,MATCH($A219,المنتجات!$A$5:$A$24,0)),0)))</f>
        <v/>
      </c>
      <c r="K219" s="27" t="str">
        <f aca="false">IF(OR($A219="",$C219=""),"",N(F219)*IF(E219="لكل حبة",SUMIFS(الإنتاج!$G$5:$G$504,الإنتاج!$C$5:$C$504,$A219),SUMIFS(الإنتاج!$E$5:$E$504,الإنتاج!$C$5:$C$504,$A219)))</f>
        <v/>
      </c>
      <c r="L219" s="29"/>
    </row>
    <row r="220" customFormat="false" ht="15" hidden="false" customHeight="false" outlineLevel="0" collapsed="false">
      <c r="A220" s="29"/>
      <c r="B220" s="28" t="str">
        <f aca="false">IF($A220="","",IFERROR(INDEX(المنتجات!$C$5:$C$24,MATCH($A220,المنتجات!$A$5:$A$24,0)),"كود غير موجود"))</f>
        <v/>
      </c>
      <c r="C220" s="29"/>
      <c r="D220" s="28" t="str">
        <f aca="false">IF($C220="","",IFERROR(INDEX('المواد الخام'!$B$5:$B$104,MATCH($C220,'المواد الخام'!$A$5:$A$104,0)),"كود غير موجود"))</f>
        <v/>
      </c>
      <c r="E220" s="29"/>
      <c r="F220" s="24"/>
      <c r="G220" s="28" t="str">
        <f aca="false">IF($C220="","",IFERROR(INDEX('المواد الخام'!$D$5:$D$104,MATCH($C220,'المواد الخام'!$A$5:$A$104,0)),""))</f>
        <v/>
      </c>
      <c r="H220" s="31" t="str">
        <f aca="false">IF($C220="","",IFERROR(INDEX('المواد الخام'!$G$5:$G$104,MATCH($C220,'المواد الخام'!$A$5:$A$104,0)),0))</f>
        <v/>
      </c>
      <c r="I220" s="25" t="str">
        <f aca="false">IF($C220="","",N(F220)*N(H220))</f>
        <v/>
      </c>
      <c r="J220" s="25" t="str">
        <f aca="false">IF(OR($A220="",$C220=""),"",IF(E220="لكل حبة",I220,IFERROR(I220/INDEX(المنتجات!$G$5:$G$24,MATCH($A220,المنتجات!$A$5:$A$24,0)),0)))</f>
        <v/>
      </c>
      <c r="K220" s="27" t="str">
        <f aca="false">IF(OR($A220="",$C220=""),"",N(F220)*IF(E220="لكل حبة",SUMIFS(الإنتاج!$G$5:$G$504,الإنتاج!$C$5:$C$504,$A220),SUMIFS(الإنتاج!$E$5:$E$504,الإنتاج!$C$5:$C$504,$A220)))</f>
        <v/>
      </c>
      <c r="L220" s="29"/>
    </row>
    <row r="221" customFormat="false" ht="15" hidden="false" customHeight="false" outlineLevel="0" collapsed="false">
      <c r="A221" s="29"/>
      <c r="B221" s="28" t="str">
        <f aca="false">IF($A221="","",IFERROR(INDEX(المنتجات!$C$5:$C$24,MATCH($A221,المنتجات!$A$5:$A$24,0)),"كود غير موجود"))</f>
        <v/>
      </c>
      <c r="C221" s="29"/>
      <c r="D221" s="28" t="str">
        <f aca="false">IF($C221="","",IFERROR(INDEX('المواد الخام'!$B$5:$B$104,MATCH($C221,'المواد الخام'!$A$5:$A$104,0)),"كود غير موجود"))</f>
        <v/>
      </c>
      <c r="E221" s="29"/>
      <c r="F221" s="24"/>
      <c r="G221" s="28" t="str">
        <f aca="false">IF($C221="","",IFERROR(INDEX('المواد الخام'!$D$5:$D$104,MATCH($C221,'المواد الخام'!$A$5:$A$104,0)),""))</f>
        <v/>
      </c>
      <c r="H221" s="31" t="str">
        <f aca="false">IF($C221="","",IFERROR(INDEX('المواد الخام'!$G$5:$G$104,MATCH($C221,'المواد الخام'!$A$5:$A$104,0)),0))</f>
        <v/>
      </c>
      <c r="I221" s="25" t="str">
        <f aca="false">IF($C221="","",N(F221)*N(H221))</f>
        <v/>
      </c>
      <c r="J221" s="25" t="str">
        <f aca="false">IF(OR($A221="",$C221=""),"",IF(E221="لكل حبة",I221,IFERROR(I221/INDEX(المنتجات!$G$5:$G$24,MATCH($A221,المنتجات!$A$5:$A$24,0)),0)))</f>
        <v/>
      </c>
      <c r="K221" s="27" t="str">
        <f aca="false">IF(OR($A221="",$C221=""),"",N(F221)*IF(E221="لكل حبة",SUMIFS(الإنتاج!$G$5:$G$504,الإنتاج!$C$5:$C$504,$A221),SUMIFS(الإنتاج!$E$5:$E$504,الإنتاج!$C$5:$C$504,$A221)))</f>
        <v/>
      </c>
      <c r="L221" s="29"/>
    </row>
    <row r="222" customFormat="false" ht="15" hidden="false" customHeight="false" outlineLevel="0" collapsed="false">
      <c r="A222" s="29"/>
      <c r="B222" s="28" t="str">
        <f aca="false">IF($A222="","",IFERROR(INDEX(المنتجات!$C$5:$C$24,MATCH($A222,المنتجات!$A$5:$A$24,0)),"كود غير موجود"))</f>
        <v/>
      </c>
      <c r="C222" s="29"/>
      <c r="D222" s="28" t="str">
        <f aca="false">IF($C222="","",IFERROR(INDEX('المواد الخام'!$B$5:$B$104,MATCH($C222,'المواد الخام'!$A$5:$A$104,0)),"كود غير موجود"))</f>
        <v/>
      </c>
      <c r="E222" s="29"/>
      <c r="F222" s="24"/>
      <c r="G222" s="28" t="str">
        <f aca="false">IF($C222="","",IFERROR(INDEX('المواد الخام'!$D$5:$D$104,MATCH($C222,'المواد الخام'!$A$5:$A$104,0)),""))</f>
        <v/>
      </c>
      <c r="H222" s="31" t="str">
        <f aca="false">IF($C222="","",IFERROR(INDEX('المواد الخام'!$G$5:$G$104,MATCH($C222,'المواد الخام'!$A$5:$A$104,0)),0))</f>
        <v/>
      </c>
      <c r="I222" s="25" t="str">
        <f aca="false">IF($C222="","",N(F222)*N(H222))</f>
        <v/>
      </c>
      <c r="J222" s="25" t="str">
        <f aca="false">IF(OR($A222="",$C222=""),"",IF(E222="لكل حبة",I222,IFERROR(I222/INDEX(المنتجات!$G$5:$G$24,MATCH($A222,المنتجات!$A$5:$A$24,0)),0)))</f>
        <v/>
      </c>
      <c r="K222" s="27" t="str">
        <f aca="false">IF(OR($A222="",$C222=""),"",N(F222)*IF(E222="لكل حبة",SUMIFS(الإنتاج!$G$5:$G$504,الإنتاج!$C$5:$C$504,$A222),SUMIFS(الإنتاج!$E$5:$E$504,الإنتاج!$C$5:$C$504,$A222)))</f>
        <v/>
      </c>
      <c r="L222" s="29"/>
    </row>
    <row r="223" customFormat="false" ht="15" hidden="false" customHeight="false" outlineLevel="0" collapsed="false">
      <c r="A223" s="29"/>
      <c r="B223" s="28" t="str">
        <f aca="false">IF($A223="","",IFERROR(INDEX(المنتجات!$C$5:$C$24,MATCH($A223,المنتجات!$A$5:$A$24,0)),"كود غير موجود"))</f>
        <v/>
      </c>
      <c r="C223" s="29"/>
      <c r="D223" s="28" t="str">
        <f aca="false">IF($C223="","",IFERROR(INDEX('المواد الخام'!$B$5:$B$104,MATCH($C223,'المواد الخام'!$A$5:$A$104,0)),"كود غير موجود"))</f>
        <v/>
      </c>
      <c r="E223" s="29"/>
      <c r="F223" s="24"/>
      <c r="G223" s="28" t="str">
        <f aca="false">IF($C223="","",IFERROR(INDEX('المواد الخام'!$D$5:$D$104,MATCH($C223,'المواد الخام'!$A$5:$A$104,0)),""))</f>
        <v/>
      </c>
      <c r="H223" s="31" t="str">
        <f aca="false">IF($C223="","",IFERROR(INDEX('المواد الخام'!$G$5:$G$104,MATCH($C223,'المواد الخام'!$A$5:$A$104,0)),0))</f>
        <v/>
      </c>
      <c r="I223" s="25" t="str">
        <f aca="false">IF($C223="","",N(F223)*N(H223))</f>
        <v/>
      </c>
      <c r="J223" s="25" t="str">
        <f aca="false">IF(OR($A223="",$C223=""),"",IF(E223="لكل حبة",I223,IFERROR(I223/INDEX(المنتجات!$G$5:$G$24,MATCH($A223,المنتجات!$A$5:$A$24,0)),0)))</f>
        <v/>
      </c>
      <c r="K223" s="27" t="str">
        <f aca="false">IF(OR($A223="",$C223=""),"",N(F223)*IF(E223="لكل حبة",SUMIFS(الإنتاج!$G$5:$G$504,الإنتاج!$C$5:$C$504,$A223),SUMIFS(الإنتاج!$E$5:$E$504,الإنتاج!$C$5:$C$504,$A223)))</f>
        <v/>
      </c>
      <c r="L223" s="29"/>
    </row>
    <row r="224" customFormat="false" ht="15" hidden="false" customHeight="false" outlineLevel="0" collapsed="false">
      <c r="A224" s="29"/>
      <c r="B224" s="28" t="str">
        <f aca="false">IF($A224="","",IFERROR(INDEX(المنتجات!$C$5:$C$24,MATCH($A224,المنتجات!$A$5:$A$24,0)),"كود غير موجود"))</f>
        <v/>
      </c>
      <c r="C224" s="29"/>
      <c r="D224" s="28" t="str">
        <f aca="false">IF($C224="","",IFERROR(INDEX('المواد الخام'!$B$5:$B$104,MATCH($C224,'المواد الخام'!$A$5:$A$104,0)),"كود غير موجود"))</f>
        <v/>
      </c>
      <c r="E224" s="29"/>
      <c r="F224" s="24"/>
      <c r="G224" s="28" t="str">
        <f aca="false">IF($C224="","",IFERROR(INDEX('المواد الخام'!$D$5:$D$104,MATCH($C224,'المواد الخام'!$A$5:$A$104,0)),""))</f>
        <v/>
      </c>
      <c r="H224" s="31" t="str">
        <f aca="false">IF($C224="","",IFERROR(INDEX('المواد الخام'!$G$5:$G$104,MATCH($C224,'المواد الخام'!$A$5:$A$104,0)),0))</f>
        <v/>
      </c>
      <c r="I224" s="25" t="str">
        <f aca="false">IF($C224="","",N(F224)*N(H224))</f>
        <v/>
      </c>
      <c r="J224" s="25" t="str">
        <f aca="false">IF(OR($A224="",$C224=""),"",IF(E224="لكل حبة",I224,IFERROR(I224/INDEX(المنتجات!$G$5:$G$24,MATCH($A224,المنتجات!$A$5:$A$24,0)),0)))</f>
        <v/>
      </c>
      <c r="K224" s="27" t="str">
        <f aca="false">IF(OR($A224="",$C224=""),"",N(F224)*IF(E224="لكل حبة",SUMIFS(الإنتاج!$G$5:$G$504,الإنتاج!$C$5:$C$504,$A224),SUMIFS(الإنتاج!$E$5:$E$504,الإنتاج!$C$5:$C$504,$A224)))</f>
        <v/>
      </c>
      <c r="L224" s="29"/>
    </row>
    <row r="225" customFormat="false" ht="15" hidden="false" customHeight="false" outlineLevel="0" collapsed="false">
      <c r="A225" s="29"/>
      <c r="B225" s="28" t="str">
        <f aca="false">IF($A225="","",IFERROR(INDEX(المنتجات!$C$5:$C$24,MATCH($A225,المنتجات!$A$5:$A$24,0)),"كود غير موجود"))</f>
        <v/>
      </c>
      <c r="C225" s="29"/>
      <c r="D225" s="28" t="str">
        <f aca="false">IF($C225="","",IFERROR(INDEX('المواد الخام'!$B$5:$B$104,MATCH($C225,'المواد الخام'!$A$5:$A$104,0)),"كود غير موجود"))</f>
        <v/>
      </c>
      <c r="E225" s="29"/>
      <c r="F225" s="24"/>
      <c r="G225" s="28" t="str">
        <f aca="false">IF($C225="","",IFERROR(INDEX('المواد الخام'!$D$5:$D$104,MATCH($C225,'المواد الخام'!$A$5:$A$104,0)),""))</f>
        <v/>
      </c>
      <c r="H225" s="31" t="str">
        <f aca="false">IF($C225="","",IFERROR(INDEX('المواد الخام'!$G$5:$G$104,MATCH($C225,'المواد الخام'!$A$5:$A$104,0)),0))</f>
        <v/>
      </c>
      <c r="I225" s="25" t="str">
        <f aca="false">IF($C225="","",N(F225)*N(H225))</f>
        <v/>
      </c>
      <c r="J225" s="25" t="str">
        <f aca="false">IF(OR($A225="",$C225=""),"",IF(E225="لكل حبة",I225,IFERROR(I225/INDEX(المنتجات!$G$5:$G$24,MATCH($A225,المنتجات!$A$5:$A$24,0)),0)))</f>
        <v/>
      </c>
      <c r="K225" s="27" t="str">
        <f aca="false">IF(OR($A225="",$C225=""),"",N(F225)*IF(E225="لكل حبة",SUMIFS(الإنتاج!$G$5:$G$504,الإنتاج!$C$5:$C$504,$A225),SUMIFS(الإنتاج!$E$5:$E$504,الإنتاج!$C$5:$C$504,$A225)))</f>
        <v/>
      </c>
      <c r="L225" s="29"/>
    </row>
    <row r="226" customFormat="false" ht="15" hidden="false" customHeight="false" outlineLevel="0" collapsed="false">
      <c r="A226" s="29"/>
      <c r="B226" s="28" t="str">
        <f aca="false">IF($A226="","",IFERROR(INDEX(المنتجات!$C$5:$C$24,MATCH($A226,المنتجات!$A$5:$A$24,0)),"كود غير موجود"))</f>
        <v/>
      </c>
      <c r="C226" s="29"/>
      <c r="D226" s="28" t="str">
        <f aca="false">IF($C226="","",IFERROR(INDEX('المواد الخام'!$B$5:$B$104,MATCH($C226,'المواد الخام'!$A$5:$A$104,0)),"كود غير موجود"))</f>
        <v/>
      </c>
      <c r="E226" s="29"/>
      <c r="F226" s="24"/>
      <c r="G226" s="28" t="str">
        <f aca="false">IF($C226="","",IFERROR(INDEX('المواد الخام'!$D$5:$D$104,MATCH($C226,'المواد الخام'!$A$5:$A$104,0)),""))</f>
        <v/>
      </c>
      <c r="H226" s="31" t="str">
        <f aca="false">IF($C226="","",IFERROR(INDEX('المواد الخام'!$G$5:$G$104,MATCH($C226,'المواد الخام'!$A$5:$A$104,0)),0))</f>
        <v/>
      </c>
      <c r="I226" s="25" t="str">
        <f aca="false">IF($C226="","",N(F226)*N(H226))</f>
        <v/>
      </c>
      <c r="J226" s="25" t="str">
        <f aca="false">IF(OR($A226="",$C226=""),"",IF(E226="لكل حبة",I226,IFERROR(I226/INDEX(المنتجات!$G$5:$G$24,MATCH($A226,المنتجات!$A$5:$A$24,0)),0)))</f>
        <v/>
      </c>
      <c r="K226" s="27" t="str">
        <f aca="false">IF(OR($A226="",$C226=""),"",N(F226)*IF(E226="لكل حبة",SUMIFS(الإنتاج!$G$5:$G$504,الإنتاج!$C$5:$C$504,$A226),SUMIFS(الإنتاج!$E$5:$E$504,الإنتاج!$C$5:$C$504,$A226)))</f>
        <v/>
      </c>
      <c r="L226" s="29"/>
    </row>
    <row r="227" customFormat="false" ht="15" hidden="false" customHeight="false" outlineLevel="0" collapsed="false">
      <c r="A227" s="29"/>
      <c r="B227" s="28" t="str">
        <f aca="false">IF($A227="","",IFERROR(INDEX(المنتجات!$C$5:$C$24,MATCH($A227,المنتجات!$A$5:$A$24,0)),"كود غير موجود"))</f>
        <v/>
      </c>
      <c r="C227" s="29"/>
      <c r="D227" s="28" t="str">
        <f aca="false">IF($C227="","",IFERROR(INDEX('المواد الخام'!$B$5:$B$104,MATCH($C227,'المواد الخام'!$A$5:$A$104,0)),"كود غير موجود"))</f>
        <v/>
      </c>
      <c r="E227" s="29"/>
      <c r="F227" s="24"/>
      <c r="G227" s="28" t="str">
        <f aca="false">IF($C227="","",IFERROR(INDEX('المواد الخام'!$D$5:$D$104,MATCH($C227,'المواد الخام'!$A$5:$A$104,0)),""))</f>
        <v/>
      </c>
      <c r="H227" s="31" t="str">
        <f aca="false">IF($C227="","",IFERROR(INDEX('المواد الخام'!$G$5:$G$104,MATCH($C227,'المواد الخام'!$A$5:$A$104,0)),0))</f>
        <v/>
      </c>
      <c r="I227" s="25" t="str">
        <f aca="false">IF($C227="","",N(F227)*N(H227))</f>
        <v/>
      </c>
      <c r="J227" s="25" t="str">
        <f aca="false">IF(OR($A227="",$C227=""),"",IF(E227="لكل حبة",I227,IFERROR(I227/INDEX(المنتجات!$G$5:$G$24,MATCH($A227,المنتجات!$A$5:$A$24,0)),0)))</f>
        <v/>
      </c>
      <c r="K227" s="27" t="str">
        <f aca="false">IF(OR($A227="",$C227=""),"",N(F227)*IF(E227="لكل حبة",SUMIFS(الإنتاج!$G$5:$G$504,الإنتاج!$C$5:$C$504,$A227),SUMIFS(الإنتاج!$E$5:$E$504,الإنتاج!$C$5:$C$504,$A227)))</f>
        <v/>
      </c>
      <c r="L227" s="29"/>
    </row>
    <row r="228" customFormat="false" ht="15" hidden="false" customHeight="false" outlineLevel="0" collapsed="false">
      <c r="A228" s="29"/>
      <c r="B228" s="28" t="str">
        <f aca="false">IF($A228="","",IFERROR(INDEX(المنتجات!$C$5:$C$24,MATCH($A228,المنتجات!$A$5:$A$24,0)),"كود غير موجود"))</f>
        <v/>
      </c>
      <c r="C228" s="29"/>
      <c r="D228" s="28" t="str">
        <f aca="false">IF($C228="","",IFERROR(INDEX('المواد الخام'!$B$5:$B$104,MATCH($C228,'المواد الخام'!$A$5:$A$104,0)),"كود غير موجود"))</f>
        <v/>
      </c>
      <c r="E228" s="29"/>
      <c r="F228" s="24"/>
      <c r="G228" s="28" t="str">
        <f aca="false">IF($C228="","",IFERROR(INDEX('المواد الخام'!$D$5:$D$104,MATCH($C228,'المواد الخام'!$A$5:$A$104,0)),""))</f>
        <v/>
      </c>
      <c r="H228" s="31" t="str">
        <f aca="false">IF($C228="","",IFERROR(INDEX('المواد الخام'!$G$5:$G$104,MATCH($C228,'المواد الخام'!$A$5:$A$104,0)),0))</f>
        <v/>
      </c>
      <c r="I228" s="25" t="str">
        <f aca="false">IF($C228="","",N(F228)*N(H228))</f>
        <v/>
      </c>
      <c r="J228" s="25" t="str">
        <f aca="false">IF(OR($A228="",$C228=""),"",IF(E228="لكل حبة",I228,IFERROR(I228/INDEX(المنتجات!$G$5:$G$24,MATCH($A228,المنتجات!$A$5:$A$24,0)),0)))</f>
        <v/>
      </c>
      <c r="K228" s="27" t="str">
        <f aca="false">IF(OR($A228="",$C228=""),"",N(F228)*IF(E228="لكل حبة",SUMIFS(الإنتاج!$G$5:$G$504,الإنتاج!$C$5:$C$504,$A228),SUMIFS(الإنتاج!$E$5:$E$504,الإنتاج!$C$5:$C$504,$A228)))</f>
        <v/>
      </c>
      <c r="L228" s="29"/>
    </row>
    <row r="229" customFormat="false" ht="15" hidden="false" customHeight="false" outlineLevel="0" collapsed="false">
      <c r="A229" s="29"/>
      <c r="B229" s="28" t="str">
        <f aca="false">IF($A229="","",IFERROR(INDEX(المنتجات!$C$5:$C$24,MATCH($A229,المنتجات!$A$5:$A$24,0)),"كود غير موجود"))</f>
        <v/>
      </c>
      <c r="C229" s="29"/>
      <c r="D229" s="28" t="str">
        <f aca="false">IF($C229="","",IFERROR(INDEX('المواد الخام'!$B$5:$B$104,MATCH($C229,'المواد الخام'!$A$5:$A$104,0)),"كود غير موجود"))</f>
        <v/>
      </c>
      <c r="E229" s="29"/>
      <c r="F229" s="24"/>
      <c r="G229" s="28" t="str">
        <f aca="false">IF($C229="","",IFERROR(INDEX('المواد الخام'!$D$5:$D$104,MATCH($C229,'المواد الخام'!$A$5:$A$104,0)),""))</f>
        <v/>
      </c>
      <c r="H229" s="31" t="str">
        <f aca="false">IF($C229="","",IFERROR(INDEX('المواد الخام'!$G$5:$G$104,MATCH($C229,'المواد الخام'!$A$5:$A$104,0)),0))</f>
        <v/>
      </c>
      <c r="I229" s="25" t="str">
        <f aca="false">IF($C229="","",N(F229)*N(H229))</f>
        <v/>
      </c>
      <c r="J229" s="25" t="str">
        <f aca="false">IF(OR($A229="",$C229=""),"",IF(E229="لكل حبة",I229,IFERROR(I229/INDEX(المنتجات!$G$5:$G$24,MATCH($A229,المنتجات!$A$5:$A$24,0)),0)))</f>
        <v/>
      </c>
      <c r="K229" s="27" t="str">
        <f aca="false">IF(OR($A229="",$C229=""),"",N(F229)*IF(E229="لكل حبة",SUMIFS(الإنتاج!$G$5:$G$504,الإنتاج!$C$5:$C$504,$A229),SUMIFS(الإنتاج!$E$5:$E$504,الإنتاج!$C$5:$C$504,$A229)))</f>
        <v/>
      </c>
      <c r="L229" s="29"/>
    </row>
    <row r="230" customFormat="false" ht="15" hidden="false" customHeight="false" outlineLevel="0" collapsed="false">
      <c r="A230" s="29"/>
      <c r="B230" s="28" t="str">
        <f aca="false">IF($A230="","",IFERROR(INDEX(المنتجات!$C$5:$C$24,MATCH($A230,المنتجات!$A$5:$A$24,0)),"كود غير موجود"))</f>
        <v/>
      </c>
      <c r="C230" s="29"/>
      <c r="D230" s="28" t="str">
        <f aca="false">IF($C230="","",IFERROR(INDEX('المواد الخام'!$B$5:$B$104,MATCH($C230,'المواد الخام'!$A$5:$A$104,0)),"كود غير موجود"))</f>
        <v/>
      </c>
      <c r="E230" s="29"/>
      <c r="F230" s="24"/>
      <c r="G230" s="28" t="str">
        <f aca="false">IF($C230="","",IFERROR(INDEX('المواد الخام'!$D$5:$D$104,MATCH($C230,'المواد الخام'!$A$5:$A$104,0)),""))</f>
        <v/>
      </c>
      <c r="H230" s="31" t="str">
        <f aca="false">IF($C230="","",IFERROR(INDEX('المواد الخام'!$G$5:$G$104,MATCH($C230,'المواد الخام'!$A$5:$A$104,0)),0))</f>
        <v/>
      </c>
      <c r="I230" s="25" t="str">
        <f aca="false">IF($C230="","",N(F230)*N(H230))</f>
        <v/>
      </c>
      <c r="J230" s="25" t="str">
        <f aca="false">IF(OR($A230="",$C230=""),"",IF(E230="لكل حبة",I230,IFERROR(I230/INDEX(المنتجات!$G$5:$G$24,MATCH($A230,المنتجات!$A$5:$A$24,0)),0)))</f>
        <v/>
      </c>
      <c r="K230" s="27" t="str">
        <f aca="false">IF(OR($A230="",$C230=""),"",N(F230)*IF(E230="لكل حبة",SUMIFS(الإنتاج!$G$5:$G$504,الإنتاج!$C$5:$C$504,$A230),SUMIFS(الإنتاج!$E$5:$E$504,الإنتاج!$C$5:$C$504,$A230)))</f>
        <v/>
      </c>
      <c r="L230" s="29"/>
    </row>
    <row r="231" customFormat="false" ht="15" hidden="false" customHeight="false" outlineLevel="0" collapsed="false">
      <c r="A231" s="29"/>
      <c r="B231" s="28" t="str">
        <f aca="false">IF($A231="","",IFERROR(INDEX(المنتجات!$C$5:$C$24,MATCH($A231,المنتجات!$A$5:$A$24,0)),"كود غير موجود"))</f>
        <v/>
      </c>
      <c r="C231" s="29"/>
      <c r="D231" s="28" t="str">
        <f aca="false">IF($C231="","",IFERROR(INDEX('المواد الخام'!$B$5:$B$104,MATCH($C231,'المواد الخام'!$A$5:$A$104,0)),"كود غير موجود"))</f>
        <v/>
      </c>
      <c r="E231" s="29"/>
      <c r="F231" s="24"/>
      <c r="G231" s="28" t="str">
        <f aca="false">IF($C231="","",IFERROR(INDEX('المواد الخام'!$D$5:$D$104,MATCH($C231,'المواد الخام'!$A$5:$A$104,0)),""))</f>
        <v/>
      </c>
      <c r="H231" s="31" t="str">
        <f aca="false">IF($C231="","",IFERROR(INDEX('المواد الخام'!$G$5:$G$104,MATCH($C231,'المواد الخام'!$A$5:$A$104,0)),0))</f>
        <v/>
      </c>
      <c r="I231" s="25" t="str">
        <f aca="false">IF($C231="","",N(F231)*N(H231))</f>
        <v/>
      </c>
      <c r="J231" s="25" t="str">
        <f aca="false">IF(OR($A231="",$C231=""),"",IF(E231="لكل حبة",I231,IFERROR(I231/INDEX(المنتجات!$G$5:$G$24,MATCH($A231,المنتجات!$A$5:$A$24,0)),0)))</f>
        <v/>
      </c>
      <c r="K231" s="27" t="str">
        <f aca="false">IF(OR($A231="",$C231=""),"",N(F231)*IF(E231="لكل حبة",SUMIFS(الإنتاج!$G$5:$G$504,الإنتاج!$C$5:$C$504,$A231),SUMIFS(الإنتاج!$E$5:$E$504,الإنتاج!$C$5:$C$504,$A231)))</f>
        <v/>
      </c>
      <c r="L231" s="29"/>
    </row>
    <row r="232" customFormat="false" ht="15" hidden="false" customHeight="false" outlineLevel="0" collapsed="false">
      <c r="A232" s="29"/>
      <c r="B232" s="28" t="str">
        <f aca="false">IF($A232="","",IFERROR(INDEX(المنتجات!$C$5:$C$24,MATCH($A232,المنتجات!$A$5:$A$24,0)),"كود غير موجود"))</f>
        <v/>
      </c>
      <c r="C232" s="29"/>
      <c r="D232" s="28" t="str">
        <f aca="false">IF($C232="","",IFERROR(INDEX('المواد الخام'!$B$5:$B$104,MATCH($C232,'المواد الخام'!$A$5:$A$104,0)),"كود غير موجود"))</f>
        <v/>
      </c>
      <c r="E232" s="29"/>
      <c r="F232" s="24"/>
      <c r="G232" s="28" t="str">
        <f aca="false">IF($C232="","",IFERROR(INDEX('المواد الخام'!$D$5:$D$104,MATCH($C232,'المواد الخام'!$A$5:$A$104,0)),""))</f>
        <v/>
      </c>
      <c r="H232" s="31" t="str">
        <f aca="false">IF($C232="","",IFERROR(INDEX('المواد الخام'!$G$5:$G$104,MATCH($C232,'المواد الخام'!$A$5:$A$104,0)),0))</f>
        <v/>
      </c>
      <c r="I232" s="25" t="str">
        <f aca="false">IF($C232="","",N(F232)*N(H232))</f>
        <v/>
      </c>
      <c r="J232" s="25" t="str">
        <f aca="false">IF(OR($A232="",$C232=""),"",IF(E232="لكل حبة",I232,IFERROR(I232/INDEX(المنتجات!$G$5:$G$24,MATCH($A232,المنتجات!$A$5:$A$24,0)),0)))</f>
        <v/>
      </c>
      <c r="K232" s="27" t="str">
        <f aca="false">IF(OR($A232="",$C232=""),"",N(F232)*IF(E232="لكل حبة",SUMIFS(الإنتاج!$G$5:$G$504,الإنتاج!$C$5:$C$504,$A232),SUMIFS(الإنتاج!$E$5:$E$504,الإنتاج!$C$5:$C$504,$A232)))</f>
        <v/>
      </c>
      <c r="L232" s="29"/>
    </row>
    <row r="233" customFormat="false" ht="15" hidden="false" customHeight="false" outlineLevel="0" collapsed="false">
      <c r="A233" s="29"/>
      <c r="B233" s="28" t="str">
        <f aca="false">IF($A233="","",IFERROR(INDEX(المنتجات!$C$5:$C$24,MATCH($A233,المنتجات!$A$5:$A$24,0)),"كود غير موجود"))</f>
        <v/>
      </c>
      <c r="C233" s="29"/>
      <c r="D233" s="28" t="str">
        <f aca="false">IF($C233="","",IFERROR(INDEX('المواد الخام'!$B$5:$B$104,MATCH($C233,'المواد الخام'!$A$5:$A$104,0)),"كود غير موجود"))</f>
        <v/>
      </c>
      <c r="E233" s="29"/>
      <c r="F233" s="24"/>
      <c r="G233" s="28" t="str">
        <f aca="false">IF($C233="","",IFERROR(INDEX('المواد الخام'!$D$5:$D$104,MATCH($C233,'المواد الخام'!$A$5:$A$104,0)),""))</f>
        <v/>
      </c>
      <c r="H233" s="31" t="str">
        <f aca="false">IF($C233="","",IFERROR(INDEX('المواد الخام'!$G$5:$G$104,MATCH($C233,'المواد الخام'!$A$5:$A$104,0)),0))</f>
        <v/>
      </c>
      <c r="I233" s="25" t="str">
        <f aca="false">IF($C233="","",N(F233)*N(H233))</f>
        <v/>
      </c>
      <c r="J233" s="25" t="str">
        <f aca="false">IF(OR($A233="",$C233=""),"",IF(E233="لكل حبة",I233,IFERROR(I233/INDEX(المنتجات!$G$5:$G$24,MATCH($A233,المنتجات!$A$5:$A$24,0)),0)))</f>
        <v/>
      </c>
      <c r="K233" s="27" t="str">
        <f aca="false">IF(OR($A233="",$C233=""),"",N(F233)*IF(E233="لكل حبة",SUMIFS(الإنتاج!$G$5:$G$504,الإنتاج!$C$5:$C$504,$A233),SUMIFS(الإنتاج!$E$5:$E$504,الإنتاج!$C$5:$C$504,$A233)))</f>
        <v/>
      </c>
      <c r="L233" s="29"/>
    </row>
    <row r="234" customFormat="false" ht="15" hidden="false" customHeight="false" outlineLevel="0" collapsed="false">
      <c r="A234" s="29"/>
      <c r="B234" s="28" t="str">
        <f aca="false">IF($A234="","",IFERROR(INDEX(المنتجات!$C$5:$C$24,MATCH($A234,المنتجات!$A$5:$A$24,0)),"كود غير موجود"))</f>
        <v/>
      </c>
      <c r="C234" s="29"/>
      <c r="D234" s="28" t="str">
        <f aca="false">IF($C234="","",IFERROR(INDEX('المواد الخام'!$B$5:$B$104,MATCH($C234,'المواد الخام'!$A$5:$A$104,0)),"كود غير موجود"))</f>
        <v/>
      </c>
      <c r="E234" s="29"/>
      <c r="F234" s="24"/>
      <c r="G234" s="28" t="str">
        <f aca="false">IF($C234="","",IFERROR(INDEX('المواد الخام'!$D$5:$D$104,MATCH($C234,'المواد الخام'!$A$5:$A$104,0)),""))</f>
        <v/>
      </c>
      <c r="H234" s="31" t="str">
        <f aca="false">IF($C234="","",IFERROR(INDEX('المواد الخام'!$G$5:$G$104,MATCH($C234,'المواد الخام'!$A$5:$A$104,0)),0))</f>
        <v/>
      </c>
      <c r="I234" s="25" t="str">
        <f aca="false">IF($C234="","",N(F234)*N(H234))</f>
        <v/>
      </c>
      <c r="J234" s="25" t="str">
        <f aca="false">IF(OR($A234="",$C234=""),"",IF(E234="لكل حبة",I234,IFERROR(I234/INDEX(المنتجات!$G$5:$G$24,MATCH($A234,المنتجات!$A$5:$A$24,0)),0)))</f>
        <v/>
      </c>
      <c r="K234" s="27" t="str">
        <f aca="false">IF(OR($A234="",$C234=""),"",N(F234)*IF(E234="لكل حبة",SUMIFS(الإنتاج!$G$5:$G$504,الإنتاج!$C$5:$C$504,$A234),SUMIFS(الإنتاج!$E$5:$E$504,الإنتاج!$C$5:$C$504,$A234)))</f>
        <v/>
      </c>
      <c r="L234" s="29"/>
    </row>
    <row r="235" customFormat="false" ht="15" hidden="false" customHeight="false" outlineLevel="0" collapsed="false">
      <c r="A235" s="29"/>
      <c r="B235" s="28" t="str">
        <f aca="false">IF($A235="","",IFERROR(INDEX(المنتجات!$C$5:$C$24,MATCH($A235,المنتجات!$A$5:$A$24,0)),"كود غير موجود"))</f>
        <v/>
      </c>
      <c r="C235" s="29"/>
      <c r="D235" s="28" t="str">
        <f aca="false">IF($C235="","",IFERROR(INDEX('المواد الخام'!$B$5:$B$104,MATCH($C235,'المواد الخام'!$A$5:$A$104,0)),"كود غير موجود"))</f>
        <v/>
      </c>
      <c r="E235" s="29"/>
      <c r="F235" s="24"/>
      <c r="G235" s="28" t="str">
        <f aca="false">IF($C235="","",IFERROR(INDEX('المواد الخام'!$D$5:$D$104,MATCH($C235,'المواد الخام'!$A$5:$A$104,0)),""))</f>
        <v/>
      </c>
      <c r="H235" s="31" t="str">
        <f aca="false">IF($C235="","",IFERROR(INDEX('المواد الخام'!$G$5:$G$104,MATCH($C235,'المواد الخام'!$A$5:$A$104,0)),0))</f>
        <v/>
      </c>
      <c r="I235" s="25" t="str">
        <f aca="false">IF($C235="","",N(F235)*N(H235))</f>
        <v/>
      </c>
      <c r="J235" s="25" t="str">
        <f aca="false">IF(OR($A235="",$C235=""),"",IF(E235="لكل حبة",I235,IFERROR(I235/INDEX(المنتجات!$G$5:$G$24,MATCH($A235,المنتجات!$A$5:$A$24,0)),0)))</f>
        <v/>
      </c>
      <c r="K235" s="27" t="str">
        <f aca="false">IF(OR($A235="",$C235=""),"",N(F235)*IF(E235="لكل حبة",SUMIFS(الإنتاج!$G$5:$G$504,الإنتاج!$C$5:$C$504,$A235),SUMIFS(الإنتاج!$E$5:$E$504,الإنتاج!$C$5:$C$504,$A235)))</f>
        <v/>
      </c>
      <c r="L235" s="29"/>
    </row>
    <row r="236" customFormat="false" ht="15" hidden="false" customHeight="false" outlineLevel="0" collapsed="false">
      <c r="A236" s="29"/>
      <c r="B236" s="28" t="str">
        <f aca="false">IF($A236="","",IFERROR(INDEX(المنتجات!$C$5:$C$24,MATCH($A236,المنتجات!$A$5:$A$24,0)),"كود غير موجود"))</f>
        <v/>
      </c>
      <c r="C236" s="29"/>
      <c r="D236" s="28" t="str">
        <f aca="false">IF($C236="","",IFERROR(INDEX('المواد الخام'!$B$5:$B$104,MATCH($C236,'المواد الخام'!$A$5:$A$104,0)),"كود غير موجود"))</f>
        <v/>
      </c>
      <c r="E236" s="29"/>
      <c r="F236" s="24"/>
      <c r="G236" s="28" t="str">
        <f aca="false">IF($C236="","",IFERROR(INDEX('المواد الخام'!$D$5:$D$104,MATCH($C236,'المواد الخام'!$A$5:$A$104,0)),""))</f>
        <v/>
      </c>
      <c r="H236" s="31" t="str">
        <f aca="false">IF($C236="","",IFERROR(INDEX('المواد الخام'!$G$5:$G$104,MATCH($C236,'المواد الخام'!$A$5:$A$104,0)),0))</f>
        <v/>
      </c>
      <c r="I236" s="25" t="str">
        <f aca="false">IF($C236="","",N(F236)*N(H236))</f>
        <v/>
      </c>
      <c r="J236" s="25" t="str">
        <f aca="false">IF(OR($A236="",$C236=""),"",IF(E236="لكل حبة",I236,IFERROR(I236/INDEX(المنتجات!$G$5:$G$24,MATCH($A236,المنتجات!$A$5:$A$24,0)),0)))</f>
        <v/>
      </c>
      <c r="K236" s="27" t="str">
        <f aca="false">IF(OR($A236="",$C236=""),"",N(F236)*IF(E236="لكل حبة",SUMIFS(الإنتاج!$G$5:$G$504,الإنتاج!$C$5:$C$504,$A236),SUMIFS(الإنتاج!$E$5:$E$504,الإنتاج!$C$5:$C$504,$A236)))</f>
        <v/>
      </c>
      <c r="L236" s="29"/>
    </row>
    <row r="237" customFormat="false" ht="15" hidden="false" customHeight="false" outlineLevel="0" collapsed="false">
      <c r="A237" s="29"/>
      <c r="B237" s="28" t="str">
        <f aca="false">IF($A237="","",IFERROR(INDEX(المنتجات!$C$5:$C$24,MATCH($A237,المنتجات!$A$5:$A$24,0)),"كود غير موجود"))</f>
        <v/>
      </c>
      <c r="C237" s="29"/>
      <c r="D237" s="28" t="str">
        <f aca="false">IF($C237="","",IFERROR(INDEX('المواد الخام'!$B$5:$B$104,MATCH($C237,'المواد الخام'!$A$5:$A$104,0)),"كود غير موجود"))</f>
        <v/>
      </c>
      <c r="E237" s="29"/>
      <c r="F237" s="24"/>
      <c r="G237" s="28" t="str">
        <f aca="false">IF($C237="","",IFERROR(INDEX('المواد الخام'!$D$5:$D$104,MATCH($C237,'المواد الخام'!$A$5:$A$104,0)),""))</f>
        <v/>
      </c>
      <c r="H237" s="31" t="str">
        <f aca="false">IF($C237="","",IFERROR(INDEX('المواد الخام'!$G$5:$G$104,MATCH($C237,'المواد الخام'!$A$5:$A$104,0)),0))</f>
        <v/>
      </c>
      <c r="I237" s="25" t="str">
        <f aca="false">IF($C237="","",N(F237)*N(H237))</f>
        <v/>
      </c>
      <c r="J237" s="25" t="str">
        <f aca="false">IF(OR($A237="",$C237=""),"",IF(E237="لكل حبة",I237,IFERROR(I237/INDEX(المنتجات!$G$5:$G$24,MATCH($A237,المنتجات!$A$5:$A$24,0)),0)))</f>
        <v/>
      </c>
      <c r="K237" s="27" t="str">
        <f aca="false">IF(OR($A237="",$C237=""),"",N(F237)*IF(E237="لكل حبة",SUMIFS(الإنتاج!$G$5:$G$504,الإنتاج!$C$5:$C$504,$A237),SUMIFS(الإنتاج!$E$5:$E$504,الإنتاج!$C$5:$C$504,$A237)))</f>
        <v/>
      </c>
      <c r="L237" s="29"/>
    </row>
    <row r="238" customFormat="false" ht="15" hidden="false" customHeight="false" outlineLevel="0" collapsed="false">
      <c r="A238" s="29"/>
      <c r="B238" s="28" t="str">
        <f aca="false">IF($A238="","",IFERROR(INDEX(المنتجات!$C$5:$C$24,MATCH($A238,المنتجات!$A$5:$A$24,0)),"كود غير موجود"))</f>
        <v/>
      </c>
      <c r="C238" s="29"/>
      <c r="D238" s="28" t="str">
        <f aca="false">IF($C238="","",IFERROR(INDEX('المواد الخام'!$B$5:$B$104,MATCH($C238,'المواد الخام'!$A$5:$A$104,0)),"كود غير موجود"))</f>
        <v/>
      </c>
      <c r="E238" s="29"/>
      <c r="F238" s="24"/>
      <c r="G238" s="28" t="str">
        <f aca="false">IF($C238="","",IFERROR(INDEX('المواد الخام'!$D$5:$D$104,MATCH($C238,'المواد الخام'!$A$5:$A$104,0)),""))</f>
        <v/>
      </c>
      <c r="H238" s="31" t="str">
        <f aca="false">IF($C238="","",IFERROR(INDEX('المواد الخام'!$G$5:$G$104,MATCH($C238,'المواد الخام'!$A$5:$A$104,0)),0))</f>
        <v/>
      </c>
      <c r="I238" s="25" t="str">
        <f aca="false">IF($C238="","",N(F238)*N(H238))</f>
        <v/>
      </c>
      <c r="J238" s="25" t="str">
        <f aca="false">IF(OR($A238="",$C238=""),"",IF(E238="لكل حبة",I238,IFERROR(I238/INDEX(المنتجات!$G$5:$G$24,MATCH($A238,المنتجات!$A$5:$A$24,0)),0)))</f>
        <v/>
      </c>
      <c r="K238" s="27" t="str">
        <f aca="false">IF(OR($A238="",$C238=""),"",N(F238)*IF(E238="لكل حبة",SUMIFS(الإنتاج!$G$5:$G$504,الإنتاج!$C$5:$C$504,$A238),SUMIFS(الإنتاج!$E$5:$E$504,الإنتاج!$C$5:$C$504,$A238)))</f>
        <v/>
      </c>
      <c r="L238" s="29"/>
    </row>
    <row r="239" customFormat="false" ht="15" hidden="false" customHeight="false" outlineLevel="0" collapsed="false">
      <c r="A239" s="29"/>
      <c r="B239" s="28" t="str">
        <f aca="false">IF($A239="","",IFERROR(INDEX(المنتجات!$C$5:$C$24,MATCH($A239,المنتجات!$A$5:$A$24,0)),"كود غير موجود"))</f>
        <v/>
      </c>
      <c r="C239" s="29"/>
      <c r="D239" s="28" t="str">
        <f aca="false">IF($C239="","",IFERROR(INDEX('المواد الخام'!$B$5:$B$104,MATCH($C239,'المواد الخام'!$A$5:$A$104,0)),"كود غير موجود"))</f>
        <v/>
      </c>
      <c r="E239" s="29"/>
      <c r="F239" s="24"/>
      <c r="G239" s="28" t="str">
        <f aca="false">IF($C239="","",IFERROR(INDEX('المواد الخام'!$D$5:$D$104,MATCH($C239,'المواد الخام'!$A$5:$A$104,0)),""))</f>
        <v/>
      </c>
      <c r="H239" s="31" t="str">
        <f aca="false">IF($C239="","",IFERROR(INDEX('المواد الخام'!$G$5:$G$104,MATCH($C239,'المواد الخام'!$A$5:$A$104,0)),0))</f>
        <v/>
      </c>
      <c r="I239" s="25" t="str">
        <f aca="false">IF($C239="","",N(F239)*N(H239))</f>
        <v/>
      </c>
      <c r="J239" s="25" t="str">
        <f aca="false">IF(OR($A239="",$C239=""),"",IF(E239="لكل حبة",I239,IFERROR(I239/INDEX(المنتجات!$G$5:$G$24,MATCH($A239,المنتجات!$A$5:$A$24,0)),0)))</f>
        <v/>
      </c>
      <c r="K239" s="27" t="str">
        <f aca="false">IF(OR($A239="",$C239=""),"",N(F239)*IF(E239="لكل حبة",SUMIFS(الإنتاج!$G$5:$G$504,الإنتاج!$C$5:$C$504,$A239),SUMIFS(الإنتاج!$E$5:$E$504,الإنتاج!$C$5:$C$504,$A239)))</f>
        <v/>
      </c>
      <c r="L239" s="29"/>
    </row>
    <row r="240" customFormat="false" ht="15" hidden="false" customHeight="false" outlineLevel="0" collapsed="false">
      <c r="A240" s="29"/>
      <c r="B240" s="28" t="str">
        <f aca="false">IF($A240="","",IFERROR(INDEX(المنتجات!$C$5:$C$24,MATCH($A240,المنتجات!$A$5:$A$24,0)),"كود غير موجود"))</f>
        <v/>
      </c>
      <c r="C240" s="29"/>
      <c r="D240" s="28" t="str">
        <f aca="false">IF($C240="","",IFERROR(INDEX('المواد الخام'!$B$5:$B$104,MATCH($C240,'المواد الخام'!$A$5:$A$104,0)),"كود غير موجود"))</f>
        <v/>
      </c>
      <c r="E240" s="29"/>
      <c r="F240" s="24"/>
      <c r="G240" s="28" t="str">
        <f aca="false">IF($C240="","",IFERROR(INDEX('المواد الخام'!$D$5:$D$104,MATCH($C240,'المواد الخام'!$A$5:$A$104,0)),""))</f>
        <v/>
      </c>
      <c r="H240" s="31" t="str">
        <f aca="false">IF($C240="","",IFERROR(INDEX('المواد الخام'!$G$5:$G$104,MATCH($C240,'المواد الخام'!$A$5:$A$104,0)),0))</f>
        <v/>
      </c>
      <c r="I240" s="25" t="str">
        <f aca="false">IF($C240="","",N(F240)*N(H240))</f>
        <v/>
      </c>
      <c r="J240" s="25" t="str">
        <f aca="false">IF(OR($A240="",$C240=""),"",IF(E240="لكل حبة",I240,IFERROR(I240/INDEX(المنتجات!$G$5:$G$24,MATCH($A240,المنتجات!$A$5:$A$24,0)),0)))</f>
        <v/>
      </c>
      <c r="K240" s="27" t="str">
        <f aca="false">IF(OR($A240="",$C240=""),"",N(F240)*IF(E240="لكل حبة",SUMIFS(الإنتاج!$G$5:$G$504,الإنتاج!$C$5:$C$504,$A240),SUMIFS(الإنتاج!$E$5:$E$504,الإنتاج!$C$5:$C$504,$A240)))</f>
        <v/>
      </c>
      <c r="L240" s="29"/>
    </row>
    <row r="241" customFormat="false" ht="15" hidden="false" customHeight="false" outlineLevel="0" collapsed="false">
      <c r="A241" s="29"/>
      <c r="B241" s="28" t="str">
        <f aca="false">IF($A241="","",IFERROR(INDEX(المنتجات!$C$5:$C$24,MATCH($A241,المنتجات!$A$5:$A$24,0)),"كود غير موجود"))</f>
        <v/>
      </c>
      <c r="C241" s="29"/>
      <c r="D241" s="28" t="str">
        <f aca="false">IF($C241="","",IFERROR(INDEX('المواد الخام'!$B$5:$B$104,MATCH($C241,'المواد الخام'!$A$5:$A$104,0)),"كود غير موجود"))</f>
        <v/>
      </c>
      <c r="E241" s="29"/>
      <c r="F241" s="24"/>
      <c r="G241" s="28" t="str">
        <f aca="false">IF($C241="","",IFERROR(INDEX('المواد الخام'!$D$5:$D$104,MATCH($C241,'المواد الخام'!$A$5:$A$104,0)),""))</f>
        <v/>
      </c>
      <c r="H241" s="31" t="str">
        <f aca="false">IF($C241="","",IFERROR(INDEX('المواد الخام'!$G$5:$G$104,MATCH($C241,'المواد الخام'!$A$5:$A$104,0)),0))</f>
        <v/>
      </c>
      <c r="I241" s="25" t="str">
        <f aca="false">IF($C241="","",N(F241)*N(H241))</f>
        <v/>
      </c>
      <c r="J241" s="25" t="str">
        <f aca="false">IF(OR($A241="",$C241=""),"",IF(E241="لكل حبة",I241,IFERROR(I241/INDEX(المنتجات!$G$5:$G$24,MATCH($A241,المنتجات!$A$5:$A$24,0)),0)))</f>
        <v/>
      </c>
      <c r="K241" s="27" t="str">
        <f aca="false">IF(OR($A241="",$C241=""),"",N(F241)*IF(E241="لكل حبة",SUMIFS(الإنتاج!$G$5:$G$504,الإنتاج!$C$5:$C$504,$A241),SUMIFS(الإنتاج!$E$5:$E$504,الإنتاج!$C$5:$C$504,$A241)))</f>
        <v/>
      </c>
      <c r="L241" s="29"/>
    </row>
    <row r="242" customFormat="false" ht="15" hidden="false" customHeight="false" outlineLevel="0" collapsed="false">
      <c r="A242" s="29"/>
      <c r="B242" s="28" t="str">
        <f aca="false">IF($A242="","",IFERROR(INDEX(المنتجات!$C$5:$C$24,MATCH($A242,المنتجات!$A$5:$A$24,0)),"كود غير موجود"))</f>
        <v/>
      </c>
      <c r="C242" s="29"/>
      <c r="D242" s="28" t="str">
        <f aca="false">IF($C242="","",IFERROR(INDEX('المواد الخام'!$B$5:$B$104,MATCH($C242,'المواد الخام'!$A$5:$A$104,0)),"كود غير موجود"))</f>
        <v/>
      </c>
      <c r="E242" s="29"/>
      <c r="F242" s="24"/>
      <c r="G242" s="28" t="str">
        <f aca="false">IF($C242="","",IFERROR(INDEX('المواد الخام'!$D$5:$D$104,MATCH($C242,'المواد الخام'!$A$5:$A$104,0)),""))</f>
        <v/>
      </c>
      <c r="H242" s="31" t="str">
        <f aca="false">IF($C242="","",IFERROR(INDEX('المواد الخام'!$G$5:$G$104,MATCH($C242,'المواد الخام'!$A$5:$A$104,0)),0))</f>
        <v/>
      </c>
      <c r="I242" s="25" t="str">
        <f aca="false">IF($C242="","",N(F242)*N(H242))</f>
        <v/>
      </c>
      <c r="J242" s="25" t="str">
        <f aca="false">IF(OR($A242="",$C242=""),"",IF(E242="لكل حبة",I242,IFERROR(I242/INDEX(المنتجات!$G$5:$G$24,MATCH($A242,المنتجات!$A$5:$A$24,0)),0)))</f>
        <v/>
      </c>
      <c r="K242" s="27" t="str">
        <f aca="false">IF(OR($A242="",$C242=""),"",N(F242)*IF(E242="لكل حبة",SUMIFS(الإنتاج!$G$5:$G$504,الإنتاج!$C$5:$C$504,$A242),SUMIFS(الإنتاج!$E$5:$E$504,الإنتاج!$C$5:$C$504,$A242)))</f>
        <v/>
      </c>
      <c r="L242" s="29"/>
    </row>
    <row r="243" customFormat="false" ht="15" hidden="false" customHeight="false" outlineLevel="0" collapsed="false">
      <c r="A243" s="29"/>
      <c r="B243" s="28" t="str">
        <f aca="false">IF($A243="","",IFERROR(INDEX(المنتجات!$C$5:$C$24,MATCH($A243,المنتجات!$A$5:$A$24,0)),"كود غير موجود"))</f>
        <v/>
      </c>
      <c r="C243" s="29"/>
      <c r="D243" s="28" t="str">
        <f aca="false">IF($C243="","",IFERROR(INDEX('المواد الخام'!$B$5:$B$104,MATCH($C243,'المواد الخام'!$A$5:$A$104,0)),"كود غير موجود"))</f>
        <v/>
      </c>
      <c r="E243" s="29"/>
      <c r="F243" s="24"/>
      <c r="G243" s="28" t="str">
        <f aca="false">IF($C243="","",IFERROR(INDEX('المواد الخام'!$D$5:$D$104,MATCH($C243,'المواد الخام'!$A$5:$A$104,0)),""))</f>
        <v/>
      </c>
      <c r="H243" s="31" t="str">
        <f aca="false">IF($C243="","",IFERROR(INDEX('المواد الخام'!$G$5:$G$104,MATCH($C243,'المواد الخام'!$A$5:$A$104,0)),0))</f>
        <v/>
      </c>
      <c r="I243" s="25" t="str">
        <f aca="false">IF($C243="","",N(F243)*N(H243))</f>
        <v/>
      </c>
      <c r="J243" s="25" t="str">
        <f aca="false">IF(OR($A243="",$C243=""),"",IF(E243="لكل حبة",I243,IFERROR(I243/INDEX(المنتجات!$G$5:$G$24,MATCH($A243,المنتجات!$A$5:$A$24,0)),0)))</f>
        <v/>
      </c>
      <c r="K243" s="27" t="str">
        <f aca="false">IF(OR($A243="",$C243=""),"",N(F243)*IF(E243="لكل حبة",SUMIFS(الإنتاج!$G$5:$G$504,الإنتاج!$C$5:$C$504,$A243),SUMIFS(الإنتاج!$E$5:$E$504,الإنتاج!$C$5:$C$504,$A243)))</f>
        <v/>
      </c>
      <c r="L243" s="29"/>
    </row>
    <row r="244" customFormat="false" ht="15" hidden="false" customHeight="false" outlineLevel="0" collapsed="false">
      <c r="A244" s="29"/>
      <c r="B244" s="28" t="str">
        <f aca="false">IF($A244="","",IFERROR(INDEX(المنتجات!$C$5:$C$24,MATCH($A244,المنتجات!$A$5:$A$24,0)),"كود غير موجود"))</f>
        <v/>
      </c>
      <c r="C244" s="29"/>
      <c r="D244" s="28" t="str">
        <f aca="false">IF($C244="","",IFERROR(INDEX('المواد الخام'!$B$5:$B$104,MATCH($C244,'المواد الخام'!$A$5:$A$104,0)),"كود غير موجود"))</f>
        <v/>
      </c>
      <c r="E244" s="29"/>
      <c r="F244" s="24"/>
      <c r="G244" s="28" t="str">
        <f aca="false">IF($C244="","",IFERROR(INDEX('المواد الخام'!$D$5:$D$104,MATCH($C244,'المواد الخام'!$A$5:$A$104,0)),""))</f>
        <v/>
      </c>
      <c r="H244" s="31" t="str">
        <f aca="false">IF($C244="","",IFERROR(INDEX('المواد الخام'!$G$5:$G$104,MATCH($C244,'المواد الخام'!$A$5:$A$104,0)),0))</f>
        <v/>
      </c>
      <c r="I244" s="25" t="str">
        <f aca="false">IF($C244="","",N(F244)*N(H244))</f>
        <v/>
      </c>
      <c r="J244" s="25" t="str">
        <f aca="false">IF(OR($A244="",$C244=""),"",IF(E244="لكل حبة",I244,IFERROR(I244/INDEX(المنتجات!$G$5:$G$24,MATCH($A244,المنتجات!$A$5:$A$24,0)),0)))</f>
        <v/>
      </c>
      <c r="K244" s="27" t="str">
        <f aca="false">IF(OR($A244="",$C244=""),"",N(F244)*IF(E244="لكل حبة",SUMIFS(الإنتاج!$G$5:$G$504,الإنتاج!$C$5:$C$504,$A244),SUMIFS(الإنتاج!$E$5:$E$504,الإنتاج!$C$5:$C$504,$A244)))</f>
        <v/>
      </c>
      <c r="L244" s="29"/>
    </row>
    <row r="245" customFormat="false" ht="15" hidden="false" customHeight="false" outlineLevel="0" collapsed="false">
      <c r="A245" s="29"/>
      <c r="B245" s="28" t="str">
        <f aca="false">IF($A245="","",IFERROR(INDEX(المنتجات!$C$5:$C$24,MATCH($A245,المنتجات!$A$5:$A$24,0)),"كود غير موجود"))</f>
        <v/>
      </c>
      <c r="C245" s="29"/>
      <c r="D245" s="28" t="str">
        <f aca="false">IF($C245="","",IFERROR(INDEX('المواد الخام'!$B$5:$B$104,MATCH($C245,'المواد الخام'!$A$5:$A$104,0)),"كود غير موجود"))</f>
        <v/>
      </c>
      <c r="E245" s="29"/>
      <c r="F245" s="24"/>
      <c r="G245" s="28" t="str">
        <f aca="false">IF($C245="","",IFERROR(INDEX('المواد الخام'!$D$5:$D$104,MATCH($C245,'المواد الخام'!$A$5:$A$104,0)),""))</f>
        <v/>
      </c>
      <c r="H245" s="31" t="str">
        <f aca="false">IF($C245="","",IFERROR(INDEX('المواد الخام'!$G$5:$G$104,MATCH($C245,'المواد الخام'!$A$5:$A$104,0)),0))</f>
        <v/>
      </c>
      <c r="I245" s="25" t="str">
        <f aca="false">IF($C245="","",N(F245)*N(H245))</f>
        <v/>
      </c>
      <c r="J245" s="25" t="str">
        <f aca="false">IF(OR($A245="",$C245=""),"",IF(E245="لكل حبة",I245,IFERROR(I245/INDEX(المنتجات!$G$5:$G$24,MATCH($A245,المنتجات!$A$5:$A$24,0)),0)))</f>
        <v/>
      </c>
      <c r="K245" s="27" t="str">
        <f aca="false">IF(OR($A245="",$C245=""),"",N(F245)*IF(E245="لكل حبة",SUMIFS(الإنتاج!$G$5:$G$504,الإنتاج!$C$5:$C$504,$A245),SUMIFS(الإنتاج!$E$5:$E$504,الإنتاج!$C$5:$C$504,$A245)))</f>
        <v/>
      </c>
      <c r="L245" s="29"/>
    </row>
    <row r="246" customFormat="false" ht="15" hidden="false" customHeight="false" outlineLevel="0" collapsed="false">
      <c r="A246" s="29"/>
      <c r="B246" s="28" t="str">
        <f aca="false">IF($A246="","",IFERROR(INDEX(المنتجات!$C$5:$C$24,MATCH($A246,المنتجات!$A$5:$A$24,0)),"كود غير موجود"))</f>
        <v/>
      </c>
      <c r="C246" s="29"/>
      <c r="D246" s="28" t="str">
        <f aca="false">IF($C246="","",IFERROR(INDEX('المواد الخام'!$B$5:$B$104,MATCH($C246,'المواد الخام'!$A$5:$A$104,0)),"كود غير موجود"))</f>
        <v/>
      </c>
      <c r="E246" s="29"/>
      <c r="F246" s="24"/>
      <c r="G246" s="28" t="str">
        <f aca="false">IF($C246="","",IFERROR(INDEX('المواد الخام'!$D$5:$D$104,MATCH($C246,'المواد الخام'!$A$5:$A$104,0)),""))</f>
        <v/>
      </c>
      <c r="H246" s="31" t="str">
        <f aca="false">IF($C246="","",IFERROR(INDEX('المواد الخام'!$G$5:$G$104,MATCH($C246,'المواد الخام'!$A$5:$A$104,0)),0))</f>
        <v/>
      </c>
      <c r="I246" s="25" t="str">
        <f aca="false">IF($C246="","",N(F246)*N(H246))</f>
        <v/>
      </c>
      <c r="J246" s="25" t="str">
        <f aca="false">IF(OR($A246="",$C246=""),"",IF(E246="لكل حبة",I246,IFERROR(I246/INDEX(المنتجات!$G$5:$G$24,MATCH($A246,المنتجات!$A$5:$A$24,0)),0)))</f>
        <v/>
      </c>
      <c r="K246" s="27" t="str">
        <f aca="false">IF(OR($A246="",$C246=""),"",N(F246)*IF(E246="لكل حبة",SUMIFS(الإنتاج!$G$5:$G$504,الإنتاج!$C$5:$C$504,$A246),SUMIFS(الإنتاج!$E$5:$E$504,الإنتاج!$C$5:$C$504,$A246)))</f>
        <v/>
      </c>
      <c r="L246" s="29"/>
    </row>
    <row r="247" customFormat="false" ht="15" hidden="false" customHeight="false" outlineLevel="0" collapsed="false">
      <c r="A247" s="29"/>
      <c r="B247" s="28" t="str">
        <f aca="false">IF($A247="","",IFERROR(INDEX(المنتجات!$C$5:$C$24,MATCH($A247,المنتجات!$A$5:$A$24,0)),"كود غير موجود"))</f>
        <v/>
      </c>
      <c r="C247" s="29"/>
      <c r="D247" s="28" t="str">
        <f aca="false">IF($C247="","",IFERROR(INDEX('المواد الخام'!$B$5:$B$104,MATCH($C247,'المواد الخام'!$A$5:$A$104,0)),"كود غير موجود"))</f>
        <v/>
      </c>
      <c r="E247" s="29"/>
      <c r="F247" s="24"/>
      <c r="G247" s="28" t="str">
        <f aca="false">IF($C247="","",IFERROR(INDEX('المواد الخام'!$D$5:$D$104,MATCH($C247,'المواد الخام'!$A$5:$A$104,0)),""))</f>
        <v/>
      </c>
      <c r="H247" s="31" t="str">
        <f aca="false">IF($C247="","",IFERROR(INDEX('المواد الخام'!$G$5:$G$104,MATCH($C247,'المواد الخام'!$A$5:$A$104,0)),0))</f>
        <v/>
      </c>
      <c r="I247" s="25" t="str">
        <f aca="false">IF($C247="","",N(F247)*N(H247))</f>
        <v/>
      </c>
      <c r="J247" s="25" t="str">
        <f aca="false">IF(OR($A247="",$C247=""),"",IF(E247="لكل حبة",I247,IFERROR(I247/INDEX(المنتجات!$G$5:$G$24,MATCH($A247,المنتجات!$A$5:$A$24,0)),0)))</f>
        <v/>
      </c>
      <c r="K247" s="27" t="str">
        <f aca="false">IF(OR($A247="",$C247=""),"",N(F247)*IF(E247="لكل حبة",SUMIFS(الإنتاج!$G$5:$G$504,الإنتاج!$C$5:$C$504,$A247),SUMIFS(الإنتاج!$E$5:$E$504,الإنتاج!$C$5:$C$504,$A247)))</f>
        <v/>
      </c>
      <c r="L247" s="29"/>
    </row>
    <row r="248" customFormat="false" ht="15" hidden="false" customHeight="false" outlineLevel="0" collapsed="false">
      <c r="A248" s="29"/>
      <c r="B248" s="28" t="str">
        <f aca="false">IF($A248="","",IFERROR(INDEX(المنتجات!$C$5:$C$24,MATCH($A248,المنتجات!$A$5:$A$24,0)),"كود غير موجود"))</f>
        <v/>
      </c>
      <c r="C248" s="29"/>
      <c r="D248" s="28" t="str">
        <f aca="false">IF($C248="","",IFERROR(INDEX('المواد الخام'!$B$5:$B$104,MATCH($C248,'المواد الخام'!$A$5:$A$104,0)),"كود غير موجود"))</f>
        <v/>
      </c>
      <c r="E248" s="29"/>
      <c r="F248" s="24"/>
      <c r="G248" s="28" t="str">
        <f aca="false">IF($C248="","",IFERROR(INDEX('المواد الخام'!$D$5:$D$104,MATCH($C248,'المواد الخام'!$A$5:$A$104,0)),""))</f>
        <v/>
      </c>
      <c r="H248" s="31" t="str">
        <f aca="false">IF($C248="","",IFERROR(INDEX('المواد الخام'!$G$5:$G$104,MATCH($C248,'المواد الخام'!$A$5:$A$104,0)),0))</f>
        <v/>
      </c>
      <c r="I248" s="25" t="str">
        <f aca="false">IF($C248="","",N(F248)*N(H248))</f>
        <v/>
      </c>
      <c r="J248" s="25" t="str">
        <f aca="false">IF(OR($A248="",$C248=""),"",IF(E248="لكل حبة",I248,IFERROR(I248/INDEX(المنتجات!$G$5:$G$24,MATCH($A248,المنتجات!$A$5:$A$24,0)),0)))</f>
        <v/>
      </c>
      <c r="K248" s="27" t="str">
        <f aca="false">IF(OR($A248="",$C248=""),"",N(F248)*IF(E248="لكل حبة",SUMIFS(الإنتاج!$G$5:$G$504,الإنتاج!$C$5:$C$504,$A248),SUMIFS(الإنتاج!$E$5:$E$504,الإنتاج!$C$5:$C$504,$A248)))</f>
        <v/>
      </c>
      <c r="L248" s="29"/>
    </row>
    <row r="249" customFormat="false" ht="15" hidden="false" customHeight="false" outlineLevel="0" collapsed="false">
      <c r="A249" s="29"/>
      <c r="B249" s="28" t="str">
        <f aca="false">IF($A249="","",IFERROR(INDEX(المنتجات!$C$5:$C$24,MATCH($A249,المنتجات!$A$5:$A$24,0)),"كود غير موجود"))</f>
        <v/>
      </c>
      <c r="C249" s="29"/>
      <c r="D249" s="28" t="str">
        <f aca="false">IF($C249="","",IFERROR(INDEX('المواد الخام'!$B$5:$B$104,MATCH($C249,'المواد الخام'!$A$5:$A$104,0)),"كود غير موجود"))</f>
        <v/>
      </c>
      <c r="E249" s="29"/>
      <c r="F249" s="24"/>
      <c r="G249" s="28" t="str">
        <f aca="false">IF($C249="","",IFERROR(INDEX('المواد الخام'!$D$5:$D$104,MATCH($C249,'المواد الخام'!$A$5:$A$104,0)),""))</f>
        <v/>
      </c>
      <c r="H249" s="31" t="str">
        <f aca="false">IF($C249="","",IFERROR(INDEX('المواد الخام'!$G$5:$G$104,MATCH($C249,'المواد الخام'!$A$5:$A$104,0)),0))</f>
        <v/>
      </c>
      <c r="I249" s="25" t="str">
        <f aca="false">IF($C249="","",N(F249)*N(H249))</f>
        <v/>
      </c>
      <c r="J249" s="25" t="str">
        <f aca="false">IF(OR($A249="",$C249=""),"",IF(E249="لكل حبة",I249,IFERROR(I249/INDEX(المنتجات!$G$5:$G$24,MATCH($A249,المنتجات!$A$5:$A$24,0)),0)))</f>
        <v/>
      </c>
      <c r="K249" s="27" t="str">
        <f aca="false">IF(OR($A249="",$C249=""),"",N(F249)*IF(E249="لكل حبة",SUMIFS(الإنتاج!$G$5:$G$504,الإنتاج!$C$5:$C$504,$A249),SUMIFS(الإنتاج!$E$5:$E$504,الإنتاج!$C$5:$C$504,$A249)))</f>
        <v/>
      </c>
      <c r="L249" s="29"/>
    </row>
    <row r="250" customFormat="false" ht="15" hidden="false" customHeight="false" outlineLevel="0" collapsed="false">
      <c r="A250" s="29"/>
      <c r="B250" s="28" t="str">
        <f aca="false">IF($A250="","",IFERROR(INDEX(المنتجات!$C$5:$C$24,MATCH($A250,المنتجات!$A$5:$A$24,0)),"كود غير موجود"))</f>
        <v/>
      </c>
      <c r="C250" s="29"/>
      <c r="D250" s="28" t="str">
        <f aca="false">IF($C250="","",IFERROR(INDEX('المواد الخام'!$B$5:$B$104,MATCH($C250,'المواد الخام'!$A$5:$A$104,0)),"كود غير موجود"))</f>
        <v/>
      </c>
      <c r="E250" s="29"/>
      <c r="F250" s="24"/>
      <c r="G250" s="28" t="str">
        <f aca="false">IF($C250="","",IFERROR(INDEX('المواد الخام'!$D$5:$D$104,MATCH($C250,'المواد الخام'!$A$5:$A$104,0)),""))</f>
        <v/>
      </c>
      <c r="H250" s="31" t="str">
        <f aca="false">IF($C250="","",IFERROR(INDEX('المواد الخام'!$G$5:$G$104,MATCH($C250,'المواد الخام'!$A$5:$A$104,0)),0))</f>
        <v/>
      </c>
      <c r="I250" s="25" t="str">
        <f aca="false">IF($C250="","",N(F250)*N(H250))</f>
        <v/>
      </c>
      <c r="J250" s="25" t="str">
        <f aca="false">IF(OR($A250="",$C250=""),"",IF(E250="لكل حبة",I250,IFERROR(I250/INDEX(المنتجات!$G$5:$G$24,MATCH($A250,المنتجات!$A$5:$A$24,0)),0)))</f>
        <v/>
      </c>
      <c r="K250" s="27" t="str">
        <f aca="false">IF(OR($A250="",$C250=""),"",N(F250)*IF(E250="لكل حبة",SUMIFS(الإنتاج!$G$5:$G$504,الإنتاج!$C$5:$C$504,$A250),SUMIFS(الإنتاج!$E$5:$E$504,الإنتاج!$C$5:$C$504,$A250)))</f>
        <v/>
      </c>
      <c r="L250" s="29"/>
    </row>
    <row r="251" customFormat="false" ht="15" hidden="false" customHeight="false" outlineLevel="0" collapsed="false">
      <c r="A251" s="29"/>
      <c r="B251" s="28" t="str">
        <f aca="false">IF($A251="","",IFERROR(INDEX(المنتجات!$C$5:$C$24,MATCH($A251,المنتجات!$A$5:$A$24,0)),"كود غير موجود"))</f>
        <v/>
      </c>
      <c r="C251" s="29"/>
      <c r="D251" s="28" t="str">
        <f aca="false">IF($C251="","",IFERROR(INDEX('المواد الخام'!$B$5:$B$104,MATCH($C251,'المواد الخام'!$A$5:$A$104,0)),"كود غير موجود"))</f>
        <v/>
      </c>
      <c r="E251" s="29"/>
      <c r="F251" s="24"/>
      <c r="G251" s="28" t="str">
        <f aca="false">IF($C251="","",IFERROR(INDEX('المواد الخام'!$D$5:$D$104,MATCH($C251,'المواد الخام'!$A$5:$A$104,0)),""))</f>
        <v/>
      </c>
      <c r="H251" s="31" t="str">
        <f aca="false">IF($C251="","",IFERROR(INDEX('المواد الخام'!$G$5:$G$104,MATCH($C251,'المواد الخام'!$A$5:$A$104,0)),0))</f>
        <v/>
      </c>
      <c r="I251" s="25" t="str">
        <f aca="false">IF($C251="","",N(F251)*N(H251))</f>
        <v/>
      </c>
      <c r="J251" s="25" t="str">
        <f aca="false">IF(OR($A251="",$C251=""),"",IF(E251="لكل حبة",I251,IFERROR(I251/INDEX(المنتجات!$G$5:$G$24,MATCH($A251,المنتجات!$A$5:$A$24,0)),0)))</f>
        <v/>
      </c>
      <c r="K251" s="27" t="str">
        <f aca="false">IF(OR($A251="",$C251=""),"",N(F251)*IF(E251="لكل حبة",SUMIFS(الإنتاج!$G$5:$G$504,الإنتاج!$C$5:$C$504,$A251),SUMIFS(الإنتاج!$E$5:$E$504,الإنتاج!$C$5:$C$504,$A251)))</f>
        <v/>
      </c>
      <c r="L251" s="29"/>
    </row>
    <row r="252" customFormat="false" ht="15" hidden="false" customHeight="false" outlineLevel="0" collapsed="false">
      <c r="A252" s="29"/>
      <c r="B252" s="28" t="str">
        <f aca="false">IF($A252="","",IFERROR(INDEX(المنتجات!$C$5:$C$24,MATCH($A252,المنتجات!$A$5:$A$24,0)),"كود غير موجود"))</f>
        <v/>
      </c>
      <c r="C252" s="29"/>
      <c r="D252" s="28" t="str">
        <f aca="false">IF($C252="","",IFERROR(INDEX('المواد الخام'!$B$5:$B$104,MATCH($C252,'المواد الخام'!$A$5:$A$104,0)),"كود غير موجود"))</f>
        <v/>
      </c>
      <c r="E252" s="29"/>
      <c r="F252" s="24"/>
      <c r="G252" s="28" t="str">
        <f aca="false">IF($C252="","",IFERROR(INDEX('المواد الخام'!$D$5:$D$104,MATCH($C252,'المواد الخام'!$A$5:$A$104,0)),""))</f>
        <v/>
      </c>
      <c r="H252" s="31" t="str">
        <f aca="false">IF($C252="","",IFERROR(INDEX('المواد الخام'!$G$5:$G$104,MATCH($C252,'المواد الخام'!$A$5:$A$104,0)),0))</f>
        <v/>
      </c>
      <c r="I252" s="25" t="str">
        <f aca="false">IF($C252="","",N(F252)*N(H252))</f>
        <v/>
      </c>
      <c r="J252" s="25" t="str">
        <f aca="false">IF(OR($A252="",$C252=""),"",IF(E252="لكل حبة",I252,IFERROR(I252/INDEX(المنتجات!$G$5:$G$24,MATCH($A252,المنتجات!$A$5:$A$24,0)),0)))</f>
        <v/>
      </c>
      <c r="K252" s="27" t="str">
        <f aca="false">IF(OR($A252="",$C252=""),"",N(F252)*IF(E252="لكل حبة",SUMIFS(الإنتاج!$G$5:$G$504,الإنتاج!$C$5:$C$504,$A252),SUMIFS(الإنتاج!$E$5:$E$504,الإنتاج!$C$5:$C$504,$A252)))</f>
        <v/>
      </c>
      <c r="L252" s="29"/>
    </row>
    <row r="253" customFormat="false" ht="15" hidden="false" customHeight="false" outlineLevel="0" collapsed="false">
      <c r="A253" s="29"/>
      <c r="B253" s="28" t="str">
        <f aca="false">IF($A253="","",IFERROR(INDEX(المنتجات!$C$5:$C$24,MATCH($A253,المنتجات!$A$5:$A$24,0)),"كود غير موجود"))</f>
        <v/>
      </c>
      <c r="C253" s="29"/>
      <c r="D253" s="28" t="str">
        <f aca="false">IF($C253="","",IFERROR(INDEX('المواد الخام'!$B$5:$B$104,MATCH($C253,'المواد الخام'!$A$5:$A$104,0)),"كود غير موجود"))</f>
        <v/>
      </c>
      <c r="E253" s="29"/>
      <c r="F253" s="24"/>
      <c r="G253" s="28" t="str">
        <f aca="false">IF($C253="","",IFERROR(INDEX('المواد الخام'!$D$5:$D$104,MATCH($C253,'المواد الخام'!$A$5:$A$104,0)),""))</f>
        <v/>
      </c>
      <c r="H253" s="31" t="str">
        <f aca="false">IF($C253="","",IFERROR(INDEX('المواد الخام'!$G$5:$G$104,MATCH($C253,'المواد الخام'!$A$5:$A$104,0)),0))</f>
        <v/>
      </c>
      <c r="I253" s="25" t="str">
        <f aca="false">IF($C253="","",N(F253)*N(H253))</f>
        <v/>
      </c>
      <c r="J253" s="25" t="str">
        <f aca="false">IF(OR($A253="",$C253=""),"",IF(E253="لكل حبة",I253,IFERROR(I253/INDEX(المنتجات!$G$5:$G$24,MATCH($A253,المنتجات!$A$5:$A$24,0)),0)))</f>
        <v/>
      </c>
      <c r="K253" s="27" t="str">
        <f aca="false">IF(OR($A253="",$C253=""),"",N(F253)*IF(E253="لكل حبة",SUMIFS(الإنتاج!$G$5:$G$504,الإنتاج!$C$5:$C$504,$A253),SUMIFS(الإنتاج!$E$5:$E$504,الإنتاج!$C$5:$C$504,$A253)))</f>
        <v/>
      </c>
      <c r="L253" s="29"/>
    </row>
    <row r="254" customFormat="false" ht="15" hidden="false" customHeight="false" outlineLevel="0" collapsed="false">
      <c r="A254" s="29"/>
      <c r="B254" s="28" t="str">
        <f aca="false">IF($A254="","",IFERROR(INDEX(المنتجات!$C$5:$C$24,MATCH($A254,المنتجات!$A$5:$A$24,0)),"كود غير موجود"))</f>
        <v/>
      </c>
      <c r="C254" s="29"/>
      <c r="D254" s="28" t="str">
        <f aca="false">IF($C254="","",IFERROR(INDEX('المواد الخام'!$B$5:$B$104,MATCH($C254,'المواد الخام'!$A$5:$A$104,0)),"كود غير موجود"))</f>
        <v/>
      </c>
      <c r="E254" s="29"/>
      <c r="F254" s="24"/>
      <c r="G254" s="28" t="str">
        <f aca="false">IF($C254="","",IFERROR(INDEX('المواد الخام'!$D$5:$D$104,MATCH($C254,'المواد الخام'!$A$5:$A$104,0)),""))</f>
        <v/>
      </c>
      <c r="H254" s="31" t="str">
        <f aca="false">IF($C254="","",IFERROR(INDEX('المواد الخام'!$G$5:$G$104,MATCH($C254,'المواد الخام'!$A$5:$A$104,0)),0))</f>
        <v/>
      </c>
      <c r="I254" s="25" t="str">
        <f aca="false">IF($C254="","",N(F254)*N(H254))</f>
        <v/>
      </c>
      <c r="J254" s="25" t="str">
        <f aca="false">IF(OR($A254="",$C254=""),"",IF(E254="لكل حبة",I254,IFERROR(I254/INDEX(المنتجات!$G$5:$G$24,MATCH($A254,المنتجات!$A$5:$A$24,0)),0)))</f>
        <v/>
      </c>
      <c r="K254" s="27" t="str">
        <f aca="false">IF(OR($A254="",$C254=""),"",N(F254)*IF(E254="لكل حبة",SUMIFS(الإنتاج!$G$5:$G$504,الإنتاج!$C$5:$C$504,$A254),SUMIFS(الإنتاج!$E$5:$E$504,الإنتاج!$C$5:$C$504,$A254)))</f>
        <v/>
      </c>
      <c r="L254" s="29"/>
    </row>
    <row r="255" customFormat="false" ht="15" hidden="false" customHeight="false" outlineLevel="0" collapsed="false">
      <c r="A255" s="29"/>
      <c r="B255" s="28" t="str">
        <f aca="false">IF($A255="","",IFERROR(INDEX(المنتجات!$C$5:$C$24,MATCH($A255,المنتجات!$A$5:$A$24,0)),"كود غير موجود"))</f>
        <v/>
      </c>
      <c r="C255" s="29"/>
      <c r="D255" s="28" t="str">
        <f aca="false">IF($C255="","",IFERROR(INDEX('المواد الخام'!$B$5:$B$104,MATCH($C255,'المواد الخام'!$A$5:$A$104,0)),"كود غير موجود"))</f>
        <v/>
      </c>
      <c r="E255" s="29"/>
      <c r="F255" s="24"/>
      <c r="G255" s="28" t="str">
        <f aca="false">IF($C255="","",IFERROR(INDEX('المواد الخام'!$D$5:$D$104,MATCH($C255,'المواد الخام'!$A$5:$A$104,0)),""))</f>
        <v/>
      </c>
      <c r="H255" s="31" t="str">
        <f aca="false">IF($C255="","",IFERROR(INDEX('المواد الخام'!$G$5:$G$104,MATCH($C255,'المواد الخام'!$A$5:$A$104,0)),0))</f>
        <v/>
      </c>
      <c r="I255" s="25" t="str">
        <f aca="false">IF($C255="","",N(F255)*N(H255))</f>
        <v/>
      </c>
      <c r="J255" s="25" t="str">
        <f aca="false">IF(OR($A255="",$C255=""),"",IF(E255="لكل حبة",I255,IFERROR(I255/INDEX(المنتجات!$G$5:$G$24,MATCH($A255,المنتجات!$A$5:$A$24,0)),0)))</f>
        <v/>
      </c>
      <c r="K255" s="27" t="str">
        <f aca="false">IF(OR($A255="",$C255=""),"",N(F255)*IF(E255="لكل حبة",SUMIFS(الإنتاج!$G$5:$G$504,الإنتاج!$C$5:$C$504,$A255),SUMIFS(الإنتاج!$E$5:$E$504,الإنتاج!$C$5:$C$504,$A255)))</f>
        <v/>
      </c>
      <c r="L255" s="29"/>
    </row>
    <row r="256" customFormat="false" ht="15" hidden="false" customHeight="false" outlineLevel="0" collapsed="false">
      <c r="A256" s="29"/>
      <c r="B256" s="28" t="str">
        <f aca="false">IF($A256="","",IFERROR(INDEX(المنتجات!$C$5:$C$24,MATCH($A256,المنتجات!$A$5:$A$24,0)),"كود غير موجود"))</f>
        <v/>
      </c>
      <c r="C256" s="29"/>
      <c r="D256" s="28" t="str">
        <f aca="false">IF($C256="","",IFERROR(INDEX('المواد الخام'!$B$5:$B$104,MATCH($C256,'المواد الخام'!$A$5:$A$104,0)),"كود غير موجود"))</f>
        <v/>
      </c>
      <c r="E256" s="29"/>
      <c r="F256" s="24"/>
      <c r="G256" s="28" t="str">
        <f aca="false">IF($C256="","",IFERROR(INDEX('المواد الخام'!$D$5:$D$104,MATCH($C256,'المواد الخام'!$A$5:$A$104,0)),""))</f>
        <v/>
      </c>
      <c r="H256" s="31" t="str">
        <f aca="false">IF($C256="","",IFERROR(INDEX('المواد الخام'!$G$5:$G$104,MATCH($C256,'المواد الخام'!$A$5:$A$104,0)),0))</f>
        <v/>
      </c>
      <c r="I256" s="25" t="str">
        <f aca="false">IF($C256="","",N(F256)*N(H256))</f>
        <v/>
      </c>
      <c r="J256" s="25" t="str">
        <f aca="false">IF(OR($A256="",$C256=""),"",IF(E256="لكل حبة",I256,IFERROR(I256/INDEX(المنتجات!$G$5:$G$24,MATCH($A256,المنتجات!$A$5:$A$24,0)),0)))</f>
        <v/>
      </c>
      <c r="K256" s="27" t="str">
        <f aca="false">IF(OR($A256="",$C256=""),"",N(F256)*IF(E256="لكل حبة",SUMIFS(الإنتاج!$G$5:$G$504,الإنتاج!$C$5:$C$504,$A256),SUMIFS(الإنتاج!$E$5:$E$504,الإنتاج!$C$5:$C$504,$A256)))</f>
        <v/>
      </c>
      <c r="L256" s="29"/>
    </row>
    <row r="257" customFormat="false" ht="15" hidden="false" customHeight="false" outlineLevel="0" collapsed="false">
      <c r="A257" s="29"/>
      <c r="B257" s="28" t="str">
        <f aca="false">IF($A257="","",IFERROR(INDEX(المنتجات!$C$5:$C$24,MATCH($A257,المنتجات!$A$5:$A$24,0)),"كود غير موجود"))</f>
        <v/>
      </c>
      <c r="C257" s="29"/>
      <c r="D257" s="28" t="str">
        <f aca="false">IF($C257="","",IFERROR(INDEX('المواد الخام'!$B$5:$B$104,MATCH($C257,'المواد الخام'!$A$5:$A$104,0)),"كود غير موجود"))</f>
        <v/>
      </c>
      <c r="E257" s="29"/>
      <c r="F257" s="24"/>
      <c r="G257" s="28" t="str">
        <f aca="false">IF($C257="","",IFERROR(INDEX('المواد الخام'!$D$5:$D$104,MATCH($C257,'المواد الخام'!$A$5:$A$104,0)),""))</f>
        <v/>
      </c>
      <c r="H257" s="31" t="str">
        <f aca="false">IF($C257="","",IFERROR(INDEX('المواد الخام'!$G$5:$G$104,MATCH($C257,'المواد الخام'!$A$5:$A$104,0)),0))</f>
        <v/>
      </c>
      <c r="I257" s="25" t="str">
        <f aca="false">IF($C257="","",N(F257)*N(H257))</f>
        <v/>
      </c>
      <c r="J257" s="25" t="str">
        <f aca="false">IF(OR($A257="",$C257=""),"",IF(E257="لكل حبة",I257,IFERROR(I257/INDEX(المنتجات!$G$5:$G$24,MATCH($A257,المنتجات!$A$5:$A$24,0)),0)))</f>
        <v/>
      </c>
      <c r="K257" s="27" t="str">
        <f aca="false">IF(OR($A257="",$C257=""),"",N(F257)*IF(E257="لكل حبة",SUMIFS(الإنتاج!$G$5:$G$504,الإنتاج!$C$5:$C$504,$A257),SUMIFS(الإنتاج!$E$5:$E$504,الإنتاج!$C$5:$C$504,$A257)))</f>
        <v/>
      </c>
      <c r="L257" s="29"/>
    </row>
    <row r="258" customFormat="false" ht="15" hidden="false" customHeight="false" outlineLevel="0" collapsed="false">
      <c r="A258" s="29"/>
      <c r="B258" s="28" t="str">
        <f aca="false">IF($A258="","",IFERROR(INDEX(المنتجات!$C$5:$C$24,MATCH($A258,المنتجات!$A$5:$A$24,0)),"كود غير موجود"))</f>
        <v/>
      </c>
      <c r="C258" s="29"/>
      <c r="D258" s="28" t="str">
        <f aca="false">IF($C258="","",IFERROR(INDEX('المواد الخام'!$B$5:$B$104,MATCH($C258,'المواد الخام'!$A$5:$A$104,0)),"كود غير موجود"))</f>
        <v/>
      </c>
      <c r="E258" s="29"/>
      <c r="F258" s="24"/>
      <c r="G258" s="28" t="str">
        <f aca="false">IF($C258="","",IFERROR(INDEX('المواد الخام'!$D$5:$D$104,MATCH($C258,'المواد الخام'!$A$5:$A$104,0)),""))</f>
        <v/>
      </c>
      <c r="H258" s="31" t="str">
        <f aca="false">IF($C258="","",IFERROR(INDEX('المواد الخام'!$G$5:$G$104,MATCH($C258,'المواد الخام'!$A$5:$A$104,0)),0))</f>
        <v/>
      </c>
      <c r="I258" s="25" t="str">
        <f aca="false">IF($C258="","",N(F258)*N(H258))</f>
        <v/>
      </c>
      <c r="J258" s="25" t="str">
        <f aca="false">IF(OR($A258="",$C258=""),"",IF(E258="لكل حبة",I258,IFERROR(I258/INDEX(المنتجات!$G$5:$G$24,MATCH($A258,المنتجات!$A$5:$A$24,0)),0)))</f>
        <v/>
      </c>
      <c r="K258" s="27" t="str">
        <f aca="false">IF(OR($A258="",$C258=""),"",N(F258)*IF(E258="لكل حبة",SUMIFS(الإنتاج!$G$5:$G$504,الإنتاج!$C$5:$C$504,$A258),SUMIFS(الإنتاج!$E$5:$E$504,الإنتاج!$C$5:$C$504,$A258)))</f>
        <v/>
      </c>
      <c r="L258" s="29"/>
    </row>
    <row r="259" customFormat="false" ht="15" hidden="false" customHeight="false" outlineLevel="0" collapsed="false">
      <c r="A259" s="29"/>
      <c r="B259" s="28" t="str">
        <f aca="false">IF($A259="","",IFERROR(INDEX(المنتجات!$C$5:$C$24,MATCH($A259,المنتجات!$A$5:$A$24,0)),"كود غير موجود"))</f>
        <v/>
      </c>
      <c r="C259" s="29"/>
      <c r="D259" s="28" t="str">
        <f aca="false">IF($C259="","",IFERROR(INDEX('المواد الخام'!$B$5:$B$104,MATCH($C259,'المواد الخام'!$A$5:$A$104,0)),"كود غير موجود"))</f>
        <v/>
      </c>
      <c r="E259" s="29"/>
      <c r="F259" s="24"/>
      <c r="G259" s="28" t="str">
        <f aca="false">IF($C259="","",IFERROR(INDEX('المواد الخام'!$D$5:$D$104,MATCH($C259,'المواد الخام'!$A$5:$A$104,0)),""))</f>
        <v/>
      </c>
      <c r="H259" s="31" t="str">
        <f aca="false">IF($C259="","",IFERROR(INDEX('المواد الخام'!$G$5:$G$104,MATCH($C259,'المواد الخام'!$A$5:$A$104,0)),0))</f>
        <v/>
      </c>
      <c r="I259" s="25" t="str">
        <f aca="false">IF($C259="","",N(F259)*N(H259))</f>
        <v/>
      </c>
      <c r="J259" s="25" t="str">
        <f aca="false">IF(OR($A259="",$C259=""),"",IF(E259="لكل حبة",I259,IFERROR(I259/INDEX(المنتجات!$G$5:$G$24,MATCH($A259,المنتجات!$A$5:$A$24,0)),0)))</f>
        <v/>
      </c>
      <c r="K259" s="27" t="str">
        <f aca="false">IF(OR($A259="",$C259=""),"",N(F259)*IF(E259="لكل حبة",SUMIFS(الإنتاج!$G$5:$G$504,الإنتاج!$C$5:$C$504,$A259),SUMIFS(الإنتاج!$E$5:$E$504,الإنتاج!$C$5:$C$504,$A259)))</f>
        <v/>
      </c>
      <c r="L259" s="29"/>
    </row>
    <row r="260" customFormat="false" ht="15" hidden="false" customHeight="false" outlineLevel="0" collapsed="false">
      <c r="A260" s="29"/>
      <c r="B260" s="28" t="str">
        <f aca="false">IF($A260="","",IFERROR(INDEX(المنتجات!$C$5:$C$24,MATCH($A260,المنتجات!$A$5:$A$24,0)),"كود غير موجود"))</f>
        <v/>
      </c>
      <c r="C260" s="29"/>
      <c r="D260" s="28" t="str">
        <f aca="false">IF($C260="","",IFERROR(INDEX('المواد الخام'!$B$5:$B$104,MATCH($C260,'المواد الخام'!$A$5:$A$104,0)),"كود غير موجود"))</f>
        <v/>
      </c>
      <c r="E260" s="29"/>
      <c r="F260" s="24"/>
      <c r="G260" s="28" t="str">
        <f aca="false">IF($C260="","",IFERROR(INDEX('المواد الخام'!$D$5:$D$104,MATCH($C260,'المواد الخام'!$A$5:$A$104,0)),""))</f>
        <v/>
      </c>
      <c r="H260" s="31" t="str">
        <f aca="false">IF($C260="","",IFERROR(INDEX('المواد الخام'!$G$5:$G$104,MATCH($C260,'المواد الخام'!$A$5:$A$104,0)),0))</f>
        <v/>
      </c>
      <c r="I260" s="25" t="str">
        <f aca="false">IF($C260="","",N(F260)*N(H260))</f>
        <v/>
      </c>
      <c r="J260" s="25" t="str">
        <f aca="false">IF(OR($A260="",$C260=""),"",IF(E260="لكل حبة",I260,IFERROR(I260/INDEX(المنتجات!$G$5:$G$24,MATCH($A260,المنتجات!$A$5:$A$24,0)),0)))</f>
        <v/>
      </c>
      <c r="K260" s="27" t="str">
        <f aca="false">IF(OR($A260="",$C260=""),"",N(F260)*IF(E260="لكل حبة",SUMIFS(الإنتاج!$G$5:$G$504,الإنتاج!$C$5:$C$504,$A260),SUMIFS(الإنتاج!$E$5:$E$504,الإنتاج!$C$5:$C$504,$A260)))</f>
        <v/>
      </c>
      <c r="L260" s="29"/>
    </row>
    <row r="261" customFormat="false" ht="15" hidden="false" customHeight="false" outlineLevel="0" collapsed="false">
      <c r="A261" s="29"/>
      <c r="B261" s="28" t="str">
        <f aca="false">IF($A261="","",IFERROR(INDEX(المنتجات!$C$5:$C$24,MATCH($A261,المنتجات!$A$5:$A$24,0)),"كود غير موجود"))</f>
        <v/>
      </c>
      <c r="C261" s="29"/>
      <c r="D261" s="28" t="str">
        <f aca="false">IF($C261="","",IFERROR(INDEX('المواد الخام'!$B$5:$B$104,MATCH($C261,'المواد الخام'!$A$5:$A$104,0)),"كود غير موجود"))</f>
        <v/>
      </c>
      <c r="E261" s="29"/>
      <c r="F261" s="24"/>
      <c r="G261" s="28" t="str">
        <f aca="false">IF($C261="","",IFERROR(INDEX('المواد الخام'!$D$5:$D$104,MATCH($C261,'المواد الخام'!$A$5:$A$104,0)),""))</f>
        <v/>
      </c>
      <c r="H261" s="31" t="str">
        <f aca="false">IF($C261="","",IFERROR(INDEX('المواد الخام'!$G$5:$G$104,MATCH($C261,'المواد الخام'!$A$5:$A$104,0)),0))</f>
        <v/>
      </c>
      <c r="I261" s="25" t="str">
        <f aca="false">IF($C261="","",N(F261)*N(H261))</f>
        <v/>
      </c>
      <c r="J261" s="25" t="str">
        <f aca="false">IF(OR($A261="",$C261=""),"",IF(E261="لكل حبة",I261,IFERROR(I261/INDEX(المنتجات!$G$5:$G$24,MATCH($A261,المنتجات!$A$5:$A$24,0)),0)))</f>
        <v/>
      </c>
      <c r="K261" s="27" t="str">
        <f aca="false">IF(OR($A261="",$C261=""),"",N(F261)*IF(E261="لكل حبة",SUMIFS(الإنتاج!$G$5:$G$504,الإنتاج!$C$5:$C$504,$A261),SUMIFS(الإنتاج!$E$5:$E$504,الإنتاج!$C$5:$C$504,$A261)))</f>
        <v/>
      </c>
      <c r="L261" s="29"/>
    </row>
    <row r="262" customFormat="false" ht="15" hidden="false" customHeight="false" outlineLevel="0" collapsed="false">
      <c r="A262" s="29"/>
      <c r="B262" s="28" t="str">
        <f aca="false">IF($A262="","",IFERROR(INDEX(المنتجات!$C$5:$C$24,MATCH($A262,المنتجات!$A$5:$A$24,0)),"كود غير موجود"))</f>
        <v/>
      </c>
      <c r="C262" s="29"/>
      <c r="D262" s="28" t="str">
        <f aca="false">IF($C262="","",IFERROR(INDEX('المواد الخام'!$B$5:$B$104,MATCH($C262,'المواد الخام'!$A$5:$A$104,0)),"كود غير موجود"))</f>
        <v/>
      </c>
      <c r="E262" s="29"/>
      <c r="F262" s="24"/>
      <c r="G262" s="28" t="str">
        <f aca="false">IF($C262="","",IFERROR(INDEX('المواد الخام'!$D$5:$D$104,MATCH($C262,'المواد الخام'!$A$5:$A$104,0)),""))</f>
        <v/>
      </c>
      <c r="H262" s="31" t="str">
        <f aca="false">IF($C262="","",IFERROR(INDEX('المواد الخام'!$G$5:$G$104,MATCH($C262,'المواد الخام'!$A$5:$A$104,0)),0))</f>
        <v/>
      </c>
      <c r="I262" s="25" t="str">
        <f aca="false">IF($C262="","",N(F262)*N(H262))</f>
        <v/>
      </c>
      <c r="J262" s="25" t="str">
        <f aca="false">IF(OR($A262="",$C262=""),"",IF(E262="لكل حبة",I262,IFERROR(I262/INDEX(المنتجات!$G$5:$G$24,MATCH($A262,المنتجات!$A$5:$A$24,0)),0)))</f>
        <v/>
      </c>
      <c r="K262" s="27" t="str">
        <f aca="false">IF(OR($A262="",$C262=""),"",N(F262)*IF(E262="لكل حبة",SUMIFS(الإنتاج!$G$5:$G$504,الإنتاج!$C$5:$C$504,$A262),SUMIFS(الإنتاج!$E$5:$E$504,الإنتاج!$C$5:$C$504,$A262)))</f>
        <v/>
      </c>
      <c r="L262" s="29"/>
    </row>
    <row r="263" customFormat="false" ht="15" hidden="false" customHeight="false" outlineLevel="0" collapsed="false">
      <c r="A263" s="29"/>
      <c r="B263" s="28" t="str">
        <f aca="false">IF($A263="","",IFERROR(INDEX(المنتجات!$C$5:$C$24,MATCH($A263,المنتجات!$A$5:$A$24,0)),"كود غير موجود"))</f>
        <v/>
      </c>
      <c r="C263" s="29"/>
      <c r="D263" s="28" t="str">
        <f aca="false">IF($C263="","",IFERROR(INDEX('المواد الخام'!$B$5:$B$104,MATCH($C263,'المواد الخام'!$A$5:$A$104,0)),"كود غير موجود"))</f>
        <v/>
      </c>
      <c r="E263" s="29"/>
      <c r="F263" s="24"/>
      <c r="G263" s="28" t="str">
        <f aca="false">IF($C263="","",IFERROR(INDEX('المواد الخام'!$D$5:$D$104,MATCH($C263,'المواد الخام'!$A$5:$A$104,0)),""))</f>
        <v/>
      </c>
      <c r="H263" s="31" t="str">
        <f aca="false">IF($C263="","",IFERROR(INDEX('المواد الخام'!$G$5:$G$104,MATCH($C263,'المواد الخام'!$A$5:$A$104,0)),0))</f>
        <v/>
      </c>
      <c r="I263" s="25" t="str">
        <f aca="false">IF($C263="","",N(F263)*N(H263))</f>
        <v/>
      </c>
      <c r="J263" s="25" t="str">
        <f aca="false">IF(OR($A263="",$C263=""),"",IF(E263="لكل حبة",I263,IFERROR(I263/INDEX(المنتجات!$G$5:$G$24,MATCH($A263,المنتجات!$A$5:$A$24,0)),0)))</f>
        <v/>
      </c>
      <c r="K263" s="27" t="str">
        <f aca="false">IF(OR($A263="",$C263=""),"",N(F263)*IF(E263="لكل حبة",SUMIFS(الإنتاج!$G$5:$G$504,الإنتاج!$C$5:$C$504,$A263),SUMIFS(الإنتاج!$E$5:$E$504,الإنتاج!$C$5:$C$504,$A263)))</f>
        <v/>
      </c>
      <c r="L263" s="29"/>
    </row>
    <row r="264" customFormat="false" ht="15" hidden="false" customHeight="false" outlineLevel="0" collapsed="false">
      <c r="A264" s="29"/>
      <c r="B264" s="28" t="str">
        <f aca="false">IF($A264="","",IFERROR(INDEX(المنتجات!$C$5:$C$24,MATCH($A264,المنتجات!$A$5:$A$24,0)),"كود غير موجود"))</f>
        <v/>
      </c>
      <c r="C264" s="29"/>
      <c r="D264" s="28" t="str">
        <f aca="false">IF($C264="","",IFERROR(INDEX('المواد الخام'!$B$5:$B$104,MATCH($C264,'المواد الخام'!$A$5:$A$104,0)),"كود غير موجود"))</f>
        <v/>
      </c>
      <c r="E264" s="29"/>
      <c r="F264" s="24"/>
      <c r="G264" s="28" t="str">
        <f aca="false">IF($C264="","",IFERROR(INDEX('المواد الخام'!$D$5:$D$104,MATCH($C264,'المواد الخام'!$A$5:$A$104,0)),""))</f>
        <v/>
      </c>
      <c r="H264" s="31" t="str">
        <f aca="false">IF($C264="","",IFERROR(INDEX('المواد الخام'!$G$5:$G$104,MATCH($C264,'المواد الخام'!$A$5:$A$104,0)),0))</f>
        <v/>
      </c>
      <c r="I264" s="25" t="str">
        <f aca="false">IF($C264="","",N(F264)*N(H264))</f>
        <v/>
      </c>
      <c r="J264" s="25" t="str">
        <f aca="false">IF(OR($A264="",$C264=""),"",IF(E264="لكل حبة",I264,IFERROR(I264/INDEX(المنتجات!$G$5:$G$24,MATCH($A264,المنتجات!$A$5:$A$24,0)),0)))</f>
        <v/>
      </c>
      <c r="K264" s="27" t="str">
        <f aca="false">IF(OR($A264="",$C264=""),"",N(F264)*IF(E264="لكل حبة",SUMIFS(الإنتاج!$G$5:$G$504,الإنتاج!$C$5:$C$504,$A264),SUMIFS(الإنتاج!$E$5:$E$504,الإنتاج!$C$5:$C$504,$A264)))</f>
        <v/>
      </c>
      <c r="L264" s="29"/>
    </row>
    <row r="265" customFormat="false" ht="15" hidden="false" customHeight="false" outlineLevel="0" collapsed="false">
      <c r="A265" s="29"/>
      <c r="B265" s="28" t="str">
        <f aca="false">IF($A265="","",IFERROR(INDEX(المنتجات!$C$5:$C$24,MATCH($A265,المنتجات!$A$5:$A$24,0)),"كود غير موجود"))</f>
        <v/>
      </c>
      <c r="C265" s="29"/>
      <c r="D265" s="28" t="str">
        <f aca="false">IF($C265="","",IFERROR(INDEX('المواد الخام'!$B$5:$B$104,MATCH($C265,'المواد الخام'!$A$5:$A$104,0)),"كود غير موجود"))</f>
        <v/>
      </c>
      <c r="E265" s="29"/>
      <c r="F265" s="24"/>
      <c r="G265" s="28" t="str">
        <f aca="false">IF($C265="","",IFERROR(INDEX('المواد الخام'!$D$5:$D$104,MATCH($C265,'المواد الخام'!$A$5:$A$104,0)),""))</f>
        <v/>
      </c>
      <c r="H265" s="31" t="str">
        <f aca="false">IF($C265="","",IFERROR(INDEX('المواد الخام'!$G$5:$G$104,MATCH($C265,'المواد الخام'!$A$5:$A$104,0)),0))</f>
        <v/>
      </c>
      <c r="I265" s="25" t="str">
        <f aca="false">IF($C265="","",N(F265)*N(H265))</f>
        <v/>
      </c>
      <c r="J265" s="25" t="str">
        <f aca="false">IF(OR($A265="",$C265=""),"",IF(E265="لكل حبة",I265,IFERROR(I265/INDEX(المنتجات!$G$5:$G$24,MATCH($A265,المنتجات!$A$5:$A$24,0)),0)))</f>
        <v/>
      </c>
      <c r="K265" s="27" t="str">
        <f aca="false">IF(OR($A265="",$C265=""),"",N(F265)*IF(E265="لكل حبة",SUMIFS(الإنتاج!$G$5:$G$504,الإنتاج!$C$5:$C$504,$A265),SUMIFS(الإنتاج!$E$5:$E$504,الإنتاج!$C$5:$C$504,$A265)))</f>
        <v/>
      </c>
      <c r="L265" s="29"/>
    </row>
    <row r="266" customFormat="false" ht="15" hidden="false" customHeight="false" outlineLevel="0" collapsed="false">
      <c r="A266" s="29"/>
      <c r="B266" s="28" t="str">
        <f aca="false">IF($A266="","",IFERROR(INDEX(المنتجات!$C$5:$C$24,MATCH($A266,المنتجات!$A$5:$A$24,0)),"كود غير موجود"))</f>
        <v/>
      </c>
      <c r="C266" s="29"/>
      <c r="D266" s="28" t="str">
        <f aca="false">IF($C266="","",IFERROR(INDEX('المواد الخام'!$B$5:$B$104,MATCH($C266,'المواد الخام'!$A$5:$A$104,0)),"كود غير موجود"))</f>
        <v/>
      </c>
      <c r="E266" s="29"/>
      <c r="F266" s="24"/>
      <c r="G266" s="28" t="str">
        <f aca="false">IF($C266="","",IFERROR(INDEX('المواد الخام'!$D$5:$D$104,MATCH($C266,'المواد الخام'!$A$5:$A$104,0)),""))</f>
        <v/>
      </c>
      <c r="H266" s="31" t="str">
        <f aca="false">IF($C266="","",IFERROR(INDEX('المواد الخام'!$G$5:$G$104,MATCH($C266,'المواد الخام'!$A$5:$A$104,0)),0))</f>
        <v/>
      </c>
      <c r="I266" s="25" t="str">
        <f aca="false">IF($C266="","",N(F266)*N(H266))</f>
        <v/>
      </c>
      <c r="J266" s="25" t="str">
        <f aca="false">IF(OR($A266="",$C266=""),"",IF(E266="لكل حبة",I266,IFERROR(I266/INDEX(المنتجات!$G$5:$G$24,MATCH($A266,المنتجات!$A$5:$A$24,0)),0)))</f>
        <v/>
      </c>
      <c r="K266" s="27" t="str">
        <f aca="false">IF(OR($A266="",$C266=""),"",N(F266)*IF(E266="لكل حبة",SUMIFS(الإنتاج!$G$5:$G$504,الإنتاج!$C$5:$C$504,$A266),SUMIFS(الإنتاج!$E$5:$E$504,الإنتاج!$C$5:$C$504,$A266)))</f>
        <v/>
      </c>
      <c r="L266" s="29"/>
    </row>
    <row r="267" customFormat="false" ht="15" hidden="false" customHeight="false" outlineLevel="0" collapsed="false">
      <c r="A267" s="29"/>
      <c r="B267" s="28" t="str">
        <f aca="false">IF($A267="","",IFERROR(INDEX(المنتجات!$C$5:$C$24,MATCH($A267,المنتجات!$A$5:$A$24,0)),"كود غير موجود"))</f>
        <v/>
      </c>
      <c r="C267" s="29"/>
      <c r="D267" s="28" t="str">
        <f aca="false">IF($C267="","",IFERROR(INDEX('المواد الخام'!$B$5:$B$104,MATCH($C267,'المواد الخام'!$A$5:$A$104,0)),"كود غير موجود"))</f>
        <v/>
      </c>
      <c r="E267" s="29"/>
      <c r="F267" s="24"/>
      <c r="G267" s="28" t="str">
        <f aca="false">IF($C267="","",IFERROR(INDEX('المواد الخام'!$D$5:$D$104,MATCH($C267,'المواد الخام'!$A$5:$A$104,0)),""))</f>
        <v/>
      </c>
      <c r="H267" s="31" t="str">
        <f aca="false">IF($C267="","",IFERROR(INDEX('المواد الخام'!$G$5:$G$104,MATCH($C267,'المواد الخام'!$A$5:$A$104,0)),0))</f>
        <v/>
      </c>
      <c r="I267" s="25" t="str">
        <f aca="false">IF($C267="","",N(F267)*N(H267))</f>
        <v/>
      </c>
      <c r="J267" s="25" t="str">
        <f aca="false">IF(OR($A267="",$C267=""),"",IF(E267="لكل حبة",I267,IFERROR(I267/INDEX(المنتجات!$G$5:$G$24,MATCH($A267,المنتجات!$A$5:$A$24,0)),0)))</f>
        <v/>
      </c>
      <c r="K267" s="27" t="str">
        <f aca="false">IF(OR($A267="",$C267=""),"",N(F267)*IF(E267="لكل حبة",SUMIFS(الإنتاج!$G$5:$G$504,الإنتاج!$C$5:$C$504,$A267),SUMIFS(الإنتاج!$E$5:$E$504,الإنتاج!$C$5:$C$504,$A267)))</f>
        <v/>
      </c>
      <c r="L267" s="29"/>
    </row>
    <row r="268" customFormat="false" ht="15" hidden="false" customHeight="false" outlineLevel="0" collapsed="false">
      <c r="A268" s="29"/>
      <c r="B268" s="28" t="str">
        <f aca="false">IF($A268="","",IFERROR(INDEX(المنتجات!$C$5:$C$24,MATCH($A268,المنتجات!$A$5:$A$24,0)),"كود غير موجود"))</f>
        <v/>
      </c>
      <c r="C268" s="29"/>
      <c r="D268" s="28" t="str">
        <f aca="false">IF($C268="","",IFERROR(INDEX('المواد الخام'!$B$5:$B$104,MATCH($C268,'المواد الخام'!$A$5:$A$104,0)),"كود غير موجود"))</f>
        <v/>
      </c>
      <c r="E268" s="29"/>
      <c r="F268" s="24"/>
      <c r="G268" s="28" t="str">
        <f aca="false">IF($C268="","",IFERROR(INDEX('المواد الخام'!$D$5:$D$104,MATCH($C268,'المواد الخام'!$A$5:$A$104,0)),""))</f>
        <v/>
      </c>
      <c r="H268" s="31" t="str">
        <f aca="false">IF($C268="","",IFERROR(INDEX('المواد الخام'!$G$5:$G$104,MATCH($C268,'المواد الخام'!$A$5:$A$104,0)),0))</f>
        <v/>
      </c>
      <c r="I268" s="25" t="str">
        <f aca="false">IF($C268="","",N(F268)*N(H268))</f>
        <v/>
      </c>
      <c r="J268" s="25" t="str">
        <f aca="false">IF(OR($A268="",$C268=""),"",IF(E268="لكل حبة",I268,IFERROR(I268/INDEX(المنتجات!$G$5:$G$24,MATCH($A268,المنتجات!$A$5:$A$24,0)),0)))</f>
        <v/>
      </c>
      <c r="K268" s="27" t="str">
        <f aca="false">IF(OR($A268="",$C268=""),"",N(F268)*IF(E268="لكل حبة",SUMIFS(الإنتاج!$G$5:$G$504,الإنتاج!$C$5:$C$504,$A268),SUMIFS(الإنتاج!$E$5:$E$504,الإنتاج!$C$5:$C$504,$A268)))</f>
        <v/>
      </c>
      <c r="L268" s="29"/>
    </row>
    <row r="269" customFormat="false" ht="15" hidden="false" customHeight="false" outlineLevel="0" collapsed="false">
      <c r="A269" s="29"/>
      <c r="B269" s="28" t="str">
        <f aca="false">IF($A269="","",IFERROR(INDEX(المنتجات!$C$5:$C$24,MATCH($A269,المنتجات!$A$5:$A$24,0)),"كود غير موجود"))</f>
        <v/>
      </c>
      <c r="C269" s="29"/>
      <c r="D269" s="28" t="str">
        <f aca="false">IF($C269="","",IFERROR(INDEX('المواد الخام'!$B$5:$B$104,MATCH($C269,'المواد الخام'!$A$5:$A$104,0)),"كود غير موجود"))</f>
        <v/>
      </c>
      <c r="E269" s="29"/>
      <c r="F269" s="24"/>
      <c r="G269" s="28" t="str">
        <f aca="false">IF($C269="","",IFERROR(INDEX('المواد الخام'!$D$5:$D$104,MATCH($C269,'المواد الخام'!$A$5:$A$104,0)),""))</f>
        <v/>
      </c>
      <c r="H269" s="31" t="str">
        <f aca="false">IF($C269="","",IFERROR(INDEX('المواد الخام'!$G$5:$G$104,MATCH($C269,'المواد الخام'!$A$5:$A$104,0)),0))</f>
        <v/>
      </c>
      <c r="I269" s="25" t="str">
        <f aca="false">IF($C269="","",N(F269)*N(H269))</f>
        <v/>
      </c>
      <c r="J269" s="25" t="str">
        <f aca="false">IF(OR($A269="",$C269=""),"",IF(E269="لكل حبة",I269,IFERROR(I269/INDEX(المنتجات!$G$5:$G$24,MATCH($A269,المنتجات!$A$5:$A$24,0)),0)))</f>
        <v/>
      </c>
      <c r="K269" s="27" t="str">
        <f aca="false">IF(OR($A269="",$C269=""),"",N(F269)*IF(E269="لكل حبة",SUMIFS(الإنتاج!$G$5:$G$504,الإنتاج!$C$5:$C$504,$A269),SUMIFS(الإنتاج!$E$5:$E$504,الإنتاج!$C$5:$C$504,$A269)))</f>
        <v/>
      </c>
      <c r="L269" s="29"/>
    </row>
    <row r="270" customFormat="false" ht="15" hidden="false" customHeight="false" outlineLevel="0" collapsed="false">
      <c r="A270" s="29"/>
      <c r="B270" s="28" t="str">
        <f aca="false">IF($A270="","",IFERROR(INDEX(المنتجات!$C$5:$C$24,MATCH($A270,المنتجات!$A$5:$A$24,0)),"كود غير موجود"))</f>
        <v/>
      </c>
      <c r="C270" s="29"/>
      <c r="D270" s="28" t="str">
        <f aca="false">IF($C270="","",IFERROR(INDEX('المواد الخام'!$B$5:$B$104,MATCH($C270,'المواد الخام'!$A$5:$A$104,0)),"كود غير موجود"))</f>
        <v/>
      </c>
      <c r="E270" s="29"/>
      <c r="F270" s="24"/>
      <c r="G270" s="28" t="str">
        <f aca="false">IF($C270="","",IFERROR(INDEX('المواد الخام'!$D$5:$D$104,MATCH($C270,'المواد الخام'!$A$5:$A$104,0)),""))</f>
        <v/>
      </c>
      <c r="H270" s="31" t="str">
        <f aca="false">IF($C270="","",IFERROR(INDEX('المواد الخام'!$G$5:$G$104,MATCH($C270,'المواد الخام'!$A$5:$A$104,0)),0))</f>
        <v/>
      </c>
      <c r="I270" s="25" t="str">
        <f aca="false">IF($C270="","",N(F270)*N(H270))</f>
        <v/>
      </c>
      <c r="J270" s="25" t="str">
        <f aca="false">IF(OR($A270="",$C270=""),"",IF(E270="لكل حبة",I270,IFERROR(I270/INDEX(المنتجات!$G$5:$G$24,MATCH($A270,المنتجات!$A$5:$A$24,0)),0)))</f>
        <v/>
      </c>
      <c r="K270" s="27" t="str">
        <f aca="false">IF(OR($A270="",$C270=""),"",N(F270)*IF(E270="لكل حبة",SUMIFS(الإنتاج!$G$5:$G$504,الإنتاج!$C$5:$C$504,$A270),SUMIFS(الإنتاج!$E$5:$E$504,الإنتاج!$C$5:$C$504,$A270)))</f>
        <v/>
      </c>
      <c r="L270" s="29"/>
    </row>
    <row r="271" customFormat="false" ht="15" hidden="false" customHeight="false" outlineLevel="0" collapsed="false">
      <c r="A271" s="29"/>
      <c r="B271" s="28" t="str">
        <f aca="false">IF($A271="","",IFERROR(INDEX(المنتجات!$C$5:$C$24,MATCH($A271,المنتجات!$A$5:$A$24,0)),"كود غير موجود"))</f>
        <v/>
      </c>
      <c r="C271" s="29"/>
      <c r="D271" s="28" t="str">
        <f aca="false">IF($C271="","",IFERROR(INDEX('المواد الخام'!$B$5:$B$104,MATCH($C271,'المواد الخام'!$A$5:$A$104,0)),"كود غير موجود"))</f>
        <v/>
      </c>
      <c r="E271" s="29"/>
      <c r="F271" s="24"/>
      <c r="G271" s="28" t="str">
        <f aca="false">IF($C271="","",IFERROR(INDEX('المواد الخام'!$D$5:$D$104,MATCH($C271,'المواد الخام'!$A$5:$A$104,0)),""))</f>
        <v/>
      </c>
      <c r="H271" s="31" t="str">
        <f aca="false">IF($C271="","",IFERROR(INDEX('المواد الخام'!$G$5:$G$104,MATCH($C271,'المواد الخام'!$A$5:$A$104,0)),0))</f>
        <v/>
      </c>
      <c r="I271" s="25" t="str">
        <f aca="false">IF($C271="","",N(F271)*N(H271))</f>
        <v/>
      </c>
      <c r="J271" s="25" t="str">
        <f aca="false">IF(OR($A271="",$C271=""),"",IF(E271="لكل حبة",I271,IFERROR(I271/INDEX(المنتجات!$G$5:$G$24,MATCH($A271,المنتجات!$A$5:$A$24,0)),0)))</f>
        <v/>
      </c>
      <c r="K271" s="27" t="str">
        <f aca="false">IF(OR($A271="",$C271=""),"",N(F271)*IF(E271="لكل حبة",SUMIFS(الإنتاج!$G$5:$G$504,الإنتاج!$C$5:$C$504,$A271),SUMIFS(الإنتاج!$E$5:$E$504,الإنتاج!$C$5:$C$504,$A271)))</f>
        <v/>
      </c>
      <c r="L271" s="29"/>
    </row>
    <row r="272" customFormat="false" ht="15" hidden="false" customHeight="false" outlineLevel="0" collapsed="false">
      <c r="A272" s="29"/>
      <c r="B272" s="28" t="str">
        <f aca="false">IF($A272="","",IFERROR(INDEX(المنتجات!$C$5:$C$24,MATCH($A272,المنتجات!$A$5:$A$24,0)),"كود غير موجود"))</f>
        <v/>
      </c>
      <c r="C272" s="29"/>
      <c r="D272" s="28" t="str">
        <f aca="false">IF($C272="","",IFERROR(INDEX('المواد الخام'!$B$5:$B$104,MATCH($C272,'المواد الخام'!$A$5:$A$104,0)),"كود غير موجود"))</f>
        <v/>
      </c>
      <c r="E272" s="29"/>
      <c r="F272" s="24"/>
      <c r="G272" s="28" t="str">
        <f aca="false">IF($C272="","",IFERROR(INDEX('المواد الخام'!$D$5:$D$104,MATCH($C272,'المواد الخام'!$A$5:$A$104,0)),""))</f>
        <v/>
      </c>
      <c r="H272" s="31" t="str">
        <f aca="false">IF($C272="","",IFERROR(INDEX('المواد الخام'!$G$5:$G$104,MATCH($C272,'المواد الخام'!$A$5:$A$104,0)),0))</f>
        <v/>
      </c>
      <c r="I272" s="25" t="str">
        <f aca="false">IF($C272="","",N(F272)*N(H272))</f>
        <v/>
      </c>
      <c r="J272" s="25" t="str">
        <f aca="false">IF(OR($A272="",$C272=""),"",IF(E272="لكل حبة",I272,IFERROR(I272/INDEX(المنتجات!$G$5:$G$24,MATCH($A272,المنتجات!$A$5:$A$24,0)),0)))</f>
        <v/>
      </c>
      <c r="K272" s="27" t="str">
        <f aca="false">IF(OR($A272="",$C272=""),"",N(F272)*IF(E272="لكل حبة",SUMIFS(الإنتاج!$G$5:$G$504,الإنتاج!$C$5:$C$504,$A272),SUMIFS(الإنتاج!$E$5:$E$504,الإنتاج!$C$5:$C$504,$A272)))</f>
        <v/>
      </c>
      <c r="L272" s="29"/>
    </row>
    <row r="273" customFormat="false" ht="15" hidden="false" customHeight="false" outlineLevel="0" collapsed="false">
      <c r="A273" s="29"/>
      <c r="B273" s="28" t="str">
        <f aca="false">IF($A273="","",IFERROR(INDEX(المنتجات!$C$5:$C$24,MATCH($A273,المنتجات!$A$5:$A$24,0)),"كود غير موجود"))</f>
        <v/>
      </c>
      <c r="C273" s="29"/>
      <c r="D273" s="28" t="str">
        <f aca="false">IF($C273="","",IFERROR(INDEX('المواد الخام'!$B$5:$B$104,MATCH($C273,'المواد الخام'!$A$5:$A$104,0)),"كود غير موجود"))</f>
        <v/>
      </c>
      <c r="E273" s="29"/>
      <c r="F273" s="24"/>
      <c r="G273" s="28" t="str">
        <f aca="false">IF($C273="","",IFERROR(INDEX('المواد الخام'!$D$5:$D$104,MATCH($C273,'المواد الخام'!$A$5:$A$104,0)),""))</f>
        <v/>
      </c>
      <c r="H273" s="31" t="str">
        <f aca="false">IF($C273="","",IFERROR(INDEX('المواد الخام'!$G$5:$G$104,MATCH($C273,'المواد الخام'!$A$5:$A$104,0)),0))</f>
        <v/>
      </c>
      <c r="I273" s="25" t="str">
        <f aca="false">IF($C273="","",N(F273)*N(H273))</f>
        <v/>
      </c>
      <c r="J273" s="25" t="str">
        <f aca="false">IF(OR($A273="",$C273=""),"",IF(E273="لكل حبة",I273,IFERROR(I273/INDEX(المنتجات!$G$5:$G$24,MATCH($A273,المنتجات!$A$5:$A$24,0)),0)))</f>
        <v/>
      </c>
      <c r="K273" s="27" t="str">
        <f aca="false">IF(OR($A273="",$C273=""),"",N(F273)*IF(E273="لكل حبة",SUMIFS(الإنتاج!$G$5:$G$504,الإنتاج!$C$5:$C$504,$A273),SUMIFS(الإنتاج!$E$5:$E$504,الإنتاج!$C$5:$C$504,$A273)))</f>
        <v/>
      </c>
      <c r="L273" s="29"/>
    </row>
    <row r="274" customFormat="false" ht="15" hidden="false" customHeight="false" outlineLevel="0" collapsed="false">
      <c r="A274" s="29"/>
      <c r="B274" s="28" t="str">
        <f aca="false">IF($A274="","",IFERROR(INDEX(المنتجات!$C$5:$C$24,MATCH($A274,المنتجات!$A$5:$A$24,0)),"كود غير موجود"))</f>
        <v/>
      </c>
      <c r="C274" s="29"/>
      <c r="D274" s="28" t="str">
        <f aca="false">IF($C274="","",IFERROR(INDEX('المواد الخام'!$B$5:$B$104,MATCH($C274,'المواد الخام'!$A$5:$A$104,0)),"كود غير موجود"))</f>
        <v/>
      </c>
      <c r="E274" s="29"/>
      <c r="F274" s="24"/>
      <c r="G274" s="28" t="str">
        <f aca="false">IF($C274="","",IFERROR(INDEX('المواد الخام'!$D$5:$D$104,MATCH($C274,'المواد الخام'!$A$5:$A$104,0)),""))</f>
        <v/>
      </c>
      <c r="H274" s="31" t="str">
        <f aca="false">IF($C274="","",IFERROR(INDEX('المواد الخام'!$G$5:$G$104,MATCH($C274,'المواد الخام'!$A$5:$A$104,0)),0))</f>
        <v/>
      </c>
      <c r="I274" s="25" t="str">
        <f aca="false">IF($C274="","",N(F274)*N(H274))</f>
        <v/>
      </c>
      <c r="J274" s="25" t="str">
        <f aca="false">IF(OR($A274="",$C274=""),"",IF(E274="لكل حبة",I274,IFERROR(I274/INDEX(المنتجات!$G$5:$G$24,MATCH($A274,المنتجات!$A$5:$A$24,0)),0)))</f>
        <v/>
      </c>
      <c r="K274" s="27" t="str">
        <f aca="false">IF(OR($A274="",$C274=""),"",N(F274)*IF(E274="لكل حبة",SUMIFS(الإنتاج!$G$5:$G$504,الإنتاج!$C$5:$C$504,$A274),SUMIFS(الإنتاج!$E$5:$E$504,الإنتاج!$C$5:$C$504,$A274)))</f>
        <v/>
      </c>
      <c r="L274" s="29"/>
    </row>
    <row r="275" customFormat="false" ht="15" hidden="false" customHeight="false" outlineLevel="0" collapsed="false">
      <c r="A275" s="29"/>
      <c r="B275" s="28" t="str">
        <f aca="false">IF($A275="","",IFERROR(INDEX(المنتجات!$C$5:$C$24,MATCH($A275,المنتجات!$A$5:$A$24,0)),"كود غير موجود"))</f>
        <v/>
      </c>
      <c r="C275" s="29"/>
      <c r="D275" s="28" t="str">
        <f aca="false">IF($C275="","",IFERROR(INDEX('المواد الخام'!$B$5:$B$104,MATCH($C275,'المواد الخام'!$A$5:$A$104,0)),"كود غير موجود"))</f>
        <v/>
      </c>
      <c r="E275" s="29"/>
      <c r="F275" s="24"/>
      <c r="G275" s="28" t="str">
        <f aca="false">IF($C275="","",IFERROR(INDEX('المواد الخام'!$D$5:$D$104,MATCH($C275,'المواد الخام'!$A$5:$A$104,0)),""))</f>
        <v/>
      </c>
      <c r="H275" s="31" t="str">
        <f aca="false">IF($C275="","",IFERROR(INDEX('المواد الخام'!$G$5:$G$104,MATCH($C275,'المواد الخام'!$A$5:$A$104,0)),0))</f>
        <v/>
      </c>
      <c r="I275" s="25" t="str">
        <f aca="false">IF($C275="","",N(F275)*N(H275))</f>
        <v/>
      </c>
      <c r="J275" s="25" t="str">
        <f aca="false">IF(OR($A275="",$C275=""),"",IF(E275="لكل حبة",I275,IFERROR(I275/INDEX(المنتجات!$G$5:$G$24,MATCH($A275,المنتجات!$A$5:$A$24,0)),0)))</f>
        <v/>
      </c>
      <c r="K275" s="27" t="str">
        <f aca="false">IF(OR($A275="",$C275=""),"",N(F275)*IF(E275="لكل حبة",SUMIFS(الإنتاج!$G$5:$G$504,الإنتاج!$C$5:$C$504,$A275),SUMIFS(الإنتاج!$E$5:$E$504,الإنتاج!$C$5:$C$504,$A275)))</f>
        <v/>
      </c>
      <c r="L275" s="29"/>
    </row>
    <row r="276" customFormat="false" ht="15" hidden="false" customHeight="false" outlineLevel="0" collapsed="false">
      <c r="A276" s="29"/>
      <c r="B276" s="28" t="str">
        <f aca="false">IF($A276="","",IFERROR(INDEX(المنتجات!$C$5:$C$24,MATCH($A276,المنتجات!$A$5:$A$24,0)),"كود غير موجود"))</f>
        <v/>
      </c>
      <c r="C276" s="29"/>
      <c r="D276" s="28" t="str">
        <f aca="false">IF($C276="","",IFERROR(INDEX('المواد الخام'!$B$5:$B$104,MATCH($C276,'المواد الخام'!$A$5:$A$104,0)),"كود غير موجود"))</f>
        <v/>
      </c>
      <c r="E276" s="29"/>
      <c r="F276" s="24"/>
      <c r="G276" s="28" t="str">
        <f aca="false">IF($C276="","",IFERROR(INDEX('المواد الخام'!$D$5:$D$104,MATCH($C276,'المواد الخام'!$A$5:$A$104,0)),""))</f>
        <v/>
      </c>
      <c r="H276" s="31" t="str">
        <f aca="false">IF($C276="","",IFERROR(INDEX('المواد الخام'!$G$5:$G$104,MATCH($C276,'المواد الخام'!$A$5:$A$104,0)),0))</f>
        <v/>
      </c>
      <c r="I276" s="25" t="str">
        <f aca="false">IF($C276="","",N(F276)*N(H276))</f>
        <v/>
      </c>
      <c r="J276" s="25" t="str">
        <f aca="false">IF(OR($A276="",$C276=""),"",IF(E276="لكل حبة",I276,IFERROR(I276/INDEX(المنتجات!$G$5:$G$24,MATCH($A276,المنتجات!$A$5:$A$24,0)),0)))</f>
        <v/>
      </c>
      <c r="K276" s="27" t="str">
        <f aca="false">IF(OR($A276="",$C276=""),"",N(F276)*IF(E276="لكل حبة",SUMIFS(الإنتاج!$G$5:$G$504,الإنتاج!$C$5:$C$504,$A276),SUMIFS(الإنتاج!$E$5:$E$504,الإنتاج!$C$5:$C$504,$A276)))</f>
        <v/>
      </c>
      <c r="L276" s="29"/>
    </row>
    <row r="277" customFormat="false" ht="15" hidden="false" customHeight="false" outlineLevel="0" collapsed="false">
      <c r="A277" s="29"/>
      <c r="B277" s="28" t="str">
        <f aca="false">IF($A277="","",IFERROR(INDEX(المنتجات!$C$5:$C$24,MATCH($A277,المنتجات!$A$5:$A$24,0)),"كود غير موجود"))</f>
        <v/>
      </c>
      <c r="C277" s="29"/>
      <c r="D277" s="28" t="str">
        <f aca="false">IF($C277="","",IFERROR(INDEX('المواد الخام'!$B$5:$B$104,MATCH($C277,'المواد الخام'!$A$5:$A$104,0)),"كود غير موجود"))</f>
        <v/>
      </c>
      <c r="E277" s="29"/>
      <c r="F277" s="24"/>
      <c r="G277" s="28" t="str">
        <f aca="false">IF($C277="","",IFERROR(INDEX('المواد الخام'!$D$5:$D$104,MATCH($C277,'المواد الخام'!$A$5:$A$104,0)),""))</f>
        <v/>
      </c>
      <c r="H277" s="31" t="str">
        <f aca="false">IF($C277="","",IFERROR(INDEX('المواد الخام'!$G$5:$G$104,MATCH($C277,'المواد الخام'!$A$5:$A$104,0)),0))</f>
        <v/>
      </c>
      <c r="I277" s="25" t="str">
        <f aca="false">IF($C277="","",N(F277)*N(H277))</f>
        <v/>
      </c>
      <c r="J277" s="25" t="str">
        <f aca="false">IF(OR($A277="",$C277=""),"",IF(E277="لكل حبة",I277,IFERROR(I277/INDEX(المنتجات!$G$5:$G$24,MATCH($A277,المنتجات!$A$5:$A$24,0)),0)))</f>
        <v/>
      </c>
      <c r="K277" s="27" t="str">
        <f aca="false">IF(OR($A277="",$C277=""),"",N(F277)*IF(E277="لكل حبة",SUMIFS(الإنتاج!$G$5:$G$504,الإنتاج!$C$5:$C$504,$A277),SUMIFS(الإنتاج!$E$5:$E$504,الإنتاج!$C$5:$C$504,$A277)))</f>
        <v/>
      </c>
      <c r="L277" s="29"/>
    </row>
    <row r="278" customFormat="false" ht="15" hidden="false" customHeight="false" outlineLevel="0" collapsed="false">
      <c r="A278" s="29"/>
      <c r="B278" s="28" t="str">
        <f aca="false">IF($A278="","",IFERROR(INDEX(المنتجات!$C$5:$C$24,MATCH($A278,المنتجات!$A$5:$A$24,0)),"كود غير موجود"))</f>
        <v/>
      </c>
      <c r="C278" s="29"/>
      <c r="D278" s="28" t="str">
        <f aca="false">IF($C278="","",IFERROR(INDEX('المواد الخام'!$B$5:$B$104,MATCH($C278,'المواد الخام'!$A$5:$A$104,0)),"كود غير موجود"))</f>
        <v/>
      </c>
      <c r="E278" s="29"/>
      <c r="F278" s="24"/>
      <c r="G278" s="28" t="str">
        <f aca="false">IF($C278="","",IFERROR(INDEX('المواد الخام'!$D$5:$D$104,MATCH($C278,'المواد الخام'!$A$5:$A$104,0)),""))</f>
        <v/>
      </c>
      <c r="H278" s="31" t="str">
        <f aca="false">IF($C278="","",IFERROR(INDEX('المواد الخام'!$G$5:$G$104,MATCH($C278,'المواد الخام'!$A$5:$A$104,0)),0))</f>
        <v/>
      </c>
      <c r="I278" s="25" t="str">
        <f aca="false">IF($C278="","",N(F278)*N(H278))</f>
        <v/>
      </c>
      <c r="J278" s="25" t="str">
        <f aca="false">IF(OR($A278="",$C278=""),"",IF(E278="لكل حبة",I278,IFERROR(I278/INDEX(المنتجات!$G$5:$G$24,MATCH($A278,المنتجات!$A$5:$A$24,0)),0)))</f>
        <v/>
      </c>
      <c r="K278" s="27" t="str">
        <f aca="false">IF(OR($A278="",$C278=""),"",N(F278)*IF(E278="لكل حبة",SUMIFS(الإنتاج!$G$5:$G$504,الإنتاج!$C$5:$C$504,$A278),SUMIFS(الإنتاج!$E$5:$E$504,الإنتاج!$C$5:$C$504,$A278)))</f>
        <v/>
      </c>
      <c r="L278" s="29"/>
    </row>
    <row r="279" customFormat="false" ht="15" hidden="false" customHeight="false" outlineLevel="0" collapsed="false">
      <c r="A279" s="29"/>
      <c r="B279" s="28" t="str">
        <f aca="false">IF($A279="","",IFERROR(INDEX(المنتجات!$C$5:$C$24,MATCH($A279,المنتجات!$A$5:$A$24,0)),"كود غير موجود"))</f>
        <v/>
      </c>
      <c r="C279" s="29"/>
      <c r="D279" s="28" t="str">
        <f aca="false">IF($C279="","",IFERROR(INDEX('المواد الخام'!$B$5:$B$104,MATCH($C279,'المواد الخام'!$A$5:$A$104,0)),"كود غير موجود"))</f>
        <v/>
      </c>
      <c r="E279" s="29"/>
      <c r="F279" s="24"/>
      <c r="G279" s="28" t="str">
        <f aca="false">IF($C279="","",IFERROR(INDEX('المواد الخام'!$D$5:$D$104,MATCH($C279,'المواد الخام'!$A$5:$A$104,0)),""))</f>
        <v/>
      </c>
      <c r="H279" s="31" t="str">
        <f aca="false">IF($C279="","",IFERROR(INDEX('المواد الخام'!$G$5:$G$104,MATCH($C279,'المواد الخام'!$A$5:$A$104,0)),0))</f>
        <v/>
      </c>
      <c r="I279" s="25" t="str">
        <f aca="false">IF($C279="","",N(F279)*N(H279))</f>
        <v/>
      </c>
      <c r="J279" s="25" t="str">
        <f aca="false">IF(OR($A279="",$C279=""),"",IF(E279="لكل حبة",I279,IFERROR(I279/INDEX(المنتجات!$G$5:$G$24,MATCH($A279,المنتجات!$A$5:$A$24,0)),0)))</f>
        <v/>
      </c>
      <c r="K279" s="27" t="str">
        <f aca="false">IF(OR($A279="",$C279=""),"",N(F279)*IF(E279="لكل حبة",SUMIFS(الإنتاج!$G$5:$G$504,الإنتاج!$C$5:$C$504,$A279),SUMIFS(الإنتاج!$E$5:$E$504,الإنتاج!$C$5:$C$504,$A279)))</f>
        <v/>
      </c>
      <c r="L279" s="29"/>
    </row>
    <row r="280" customFormat="false" ht="15" hidden="false" customHeight="false" outlineLevel="0" collapsed="false">
      <c r="A280" s="29"/>
      <c r="B280" s="28" t="str">
        <f aca="false">IF($A280="","",IFERROR(INDEX(المنتجات!$C$5:$C$24,MATCH($A280,المنتجات!$A$5:$A$24,0)),"كود غير موجود"))</f>
        <v/>
      </c>
      <c r="C280" s="29"/>
      <c r="D280" s="28" t="str">
        <f aca="false">IF($C280="","",IFERROR(INDEX('المواد الخام'!$B$5:$B$104,MATCH($C280,'المواد الخام'!$A$5:$A$104,0)),"كود غير موجود"))</f>
        <v/>
      </c>
      <c r="E280" s="29"/>
      <c r="F280" s="24"/>
      <c r="G280" s="28" t="str">
        <f aca="false">IF($C280="","",IFERROR(INDEX('المواد الخام'!$D$5:$D$104,MATCH($C280,'المواد الخام'!$A$5:$A$104,0)),""))</f>
        <v/>
      </c>
      <c r="H280" s="31" t="str">
        <f aca="false">IF($C280="","",IFERROR(INDEX('المواد الخام'!$G$5:$G$104,MATCH($C280,'المواد الخام'!$A$5:$A$104,0)),0))</f>
        <v/>
      </c>
      <c r="I280" s="25" t="str">
        <f aca="false">IF($C280="","",N(F280)*N(H280))</f>
        <v/>
      </c>
      <c r="J280" s="25" t="str">
        <f aca="false">IF(OR($A280="",$C280=""),"",IF(E280="لكل حبة",I280,IFERROR(I280/INDEX(المنتجات!$G$5:$G$24,MATCH($A280,المنتجات!$A$5:$A$24,0)),0)))</f>
        <v/>
      </c>
      <c r="K280" s="27" t="str">
        <f aca="false">IF(OR($A280="",$C280=""),"",N(F280)*IF(E280="لكل حبة",SUMIFS(الإنتاج!$G$5:$G$504,الإنتاج!$C$5:$C$504,$A280),SUMIFS(الإنتاج!$E$5:$E$504,الإنتاج!$C$5:$C$504,$A280)))</f>
        <v/>
      </c>
      <c r="L280" s="29"/>
    </row>
    <row r="281" customFormat="false" ht="15" hidden="false" customHeight="false" outlineLevel="0" collapsed="false">
      <c r="A281" s="29"/>
      <c r="B281" s="28" t="str">
        <f aca="false">IF($A281="","",IFERROR(INDEX(المنتجات!$C$5:$C$24,MATCH($A281,المنتجات!$A$5:$A$24,0)),"كود غير موجود"))</f>
        <v/>
      </c>
      <c r="C281" s="29"/>
      <c r="D281" s="28" t="str">
        <f aca="false">IF($C281="","",IFERROR(INDEX('المواد الخام'!$B$5:$B$104,MATCH($C281,'المواد الخام'!$A$5:$A$104,0)),"كود غير موجود"))</f>
        <v/>
      </c>
      <c r="E281" s="29"/>
      <c r="F281" s="24"/>
      <c r="G281" s="28" t="str">
        <f aca="false">IF($C281="","",IFERROR(INDEX('المواد الخام'!$D$5:$D$104,MATCH($C281,'المواد الخام'!$A$5:$A$104,0)),""))</f>
        <v/>
      </c>
      <c r="H281" s="31" t="str">
        <f aca="false">IF($C281="","",IFERROR(INDEX('المواد الخام'!$G$5:$G$104,MATCH($C281,'المواد الخام'!$A$5:$A$104,0)),0))</f>
        <v/>
      </c>
      <c r="I281" s="25" t="str">
        <f aca="false">IF($C281="","",N(F281)*N(H281))</f>
        <v/>
      </c>
      <c r="J281" s="25" t="str">
        <f aca="false">IF(OR($A281="",$C281=""),"",IF(E281="لكل حبة",I281,IFERROR(I281/INDEX(المنتجات!$G$5:$G$24,MATCH($A281,المنتجات!$A$5:$A$24,0)),0)))</f>
        <v/>
      </c>
      <c r="K281" s="27" t="str">
        <f aca="false">IF(OR($A281="",$C281=""),"",N(F281)*IF(E281="لكل حبة",SUMIFS(الإنتاج!$G$5:$G$504,الإنتاج!$C$5:$C$504,$A281),SUMIFS(الإنتاج!$E$5:$E$504,الإنتاج!$C$5:$C$504,$A281)))</f>
        <v/>
      </c>
      <c r="L281" s="29"/>
    </row>
    <row r="282" customFormat="false" ht="15" hidden="false" customHeight="false" outlineLevel="0" collapsed="false">
      <c r="A282" s="29"/>
      <c r="B282" s="28" t="str">
        <f aca="false">IF($A282="","",IFERROR(INDEX(المنتجات!$C$5:$C$24,MATCH($A282,المنتجات!$A$5:$A$24,0)),"كود غير موجود"))</f>
        <v/>
      </c>
      <c r="C282" s="29"/>
      <c r="D282" s="28" t="str">
        <f aca="false">IF($C282="","",IFERROR(INDEX('المواد الخام'!$B$5:$B$104,MATCH($C282,'المواد الخام'!$A$5:$A$104,0)),"كود غير موجود"))</f>
        <v/>
      </c>
      <c r="E282" s="29"/>
      <c r="F282" s="24"/>
      <c r="G282" s="28" t="str">
        <f aca="false">IF($C282="","",IFERROR(INDEX('المواد الخام'!$D$5:$D$104,MATCH($C282,'المواد الخام'!$A$5:$A$104,0)),""))</f>
        <v/>
      </c>
      <c r="H282" s="31" t="str">
        <f aca="false">IF($C282="","",IFERROR(INDEX('المواد الخام'!$G$5:$G$104,MATCH($C282,'المواد الخام'!$A$5:$A$104,0)),0))</f>
        <v/>
      </c>
      <c r="I282" s="25" t="str">
        <f aca="false">IF($C282="","",N(F282)*N(H282))</f>
        <v/>
      </c>
      <c r="J282" s="25" t="str">
        <f aca="false">IF(OR($A282="",$C282=""),"",IF(E282="لكل حبة",I282,IFERROR(I282/INDEX(المنتجات!$G$5:$G$24,MATCH($A282,المنتجات!$A$5:$A$24,0)),0)))</f>
        <v/>
      </c>
      <c r="K282" s="27" t="str">
        <f aca="false">IF(OR($A282="",$C282=""),"",N(F282)*IF(E282="لكل حبة",SUMIFS(الإنتاج!$G$5:$G$504,الإنتاج!$C$5:$C$504,$A282),SUMIFS(الإنتاج!$E$5:$E$504,الإنتاج!$C$5:$C$504,$A282)))</f>
        <v/>
      </c>
      <c r="L282" s="29"/>
    </row>
    <row r="283" customFormat="false" ht="15" hidden="false" customHeight="false" outlineLevel="0" collapsed="false">
      <c r="A283" s="29"/>
      <c r="B283" s="28" t="str">
        <f aca="false">IF($A283="","",IFERROR(INDEX(المنتجات!$C$5:$C$24,MATCH($A283,المنتجات!$A$5:$A$24,0)),"كود غير موجود"))</f>
        <v/>
      </c>
      <c r="C283" s="29"/>
      <c r="D283" s="28" t="str">
        <f aca="false">IF($C283="","",IFERROR(INDEX('المواد الخام'!$B$5:$B$104,MATCH($C283,'المواد الخام'!$A$5:$A$104,0)),"كود غير موجود"))</f>
        <v/>
      </c>
      <c r="E283" s="29"/>
      <c r="F283" s="24"/>
      <c r="G283" s="28" t="str">
        <f aca="false">IF($C283="","",IFERROR(INDEX('المواد الخام'!$D$5:$D$104,MATCH($C283,'المواد الخام'!$A$5:$A$104,0)),""))</f>
        <v/>
      </c>
      <c r="H283" s="31" t="str">
        <f aca="false">IF($C283="","",IFERROR(INDEX('المواد الخام'!$G$5:$G$104,MATCH($C283,'المواد الخام'!$A$5:$A$104,0)),0))</f>
        <v/>
      </c>
      <c r="I283" s="25" t="str">
        <f aca="false">IF($C283="","",N(F283)*N(H283))</f>
        <v/>
      </c>
      <c r="J283" s="25" t="str">
        <f aca="false">IF(OR($A283="",$C283=""),"",IF(E283="لكل حبة",I283,IFERROR(I283/INDEX(المنتجات!$G$5:$G$24,MATCH($A283,المنتجات!$A$5:$A$24,0)),0)))</f>
        <v/>
      </c>
      <c r="K283" s="27" t="str">
        <f aca="false">IF(OR($A283="",$C283=""),"",N(F283)*IF(E283="لكل حبة",SUMIFS(الإنتاج!$G$5:$G$504,الإنتاج!$C$5:$C$504,$A283),SUMIFS(الإنتاج!$E$5:$E$504,الإنتاج!$C$5:$C$504,$A283)))</f>
        <v/>
      </c>
      <c r="L283" s="29"/>
    </row>
    <row r="284" customFormat="false" ht="15" hidden="false" customHeight="false" outlineLevel="0" collapsed="false">
      <c r="A284" s="29"/>
      <c r="B284" s="28" t="str">
        <f aca="false">IF($A284="","",IFERROR(INDEX(المنتجات!$C$5:$C$24,MATCH($A284,المنتجات!$A$5:$A$24,0)),"كود غير موجود"))</f>
        <v/>
      </c>
      <c r="C284" s="29"/>
      <c r="D284" s="28" t="str">
        <f aca="false">IF($C284="","",IFERROR(INDEX('المواد الخام'!$B$5:$B$104,MATCH($C284,'المواد الخام'!$A$5:$A$104,0)),"كود غير موجود"))</f>
        <v/>
      </c>
      <c r="E284" s="29"/>
      <c r="F284" s="24"/>
      <c r="G284" s="28" t="str">
        <f aca="false">IF($C284="","",IFERROR(INDEX('المواد الخام'!$D$5:$D$104,MATCH($C284,'المواد الخام'!$A$5:$A$104,0)),""))</f>
        <v/>
      </c>
      <c r="H284" s="31" t="str">
        <f aca="false">IF($C284="","",IFERROR(INDEX('المواد الخام'!$G$5:$G$104,MATCH($C284,'المواد الخام'!$A$5:$A$104,0)),0))</f>
        <v/>
      </c>
      <c r="I284" s="25" t="str">
        <f aca="false">IF($C284="","",N(F284)*N(H284))</f>
        <v/>
      </c>
      <c r="J284" s="25" t="str">
        <f aca="false">IF(OR($A284="",$C284=""),"",IF(E284="لكل حبة",I284,IFERROR(I284/INDEX(المنتجات!$G$5:$G$24,MATCH($A284,المنتجات!$A$5:$A$24,0)),0)))</f>
        <v/>
      </c>
      <c r="K284" s="27" t="str">
        <f aca="false">IF(OR($A284="",$C284=""),"",N(F284)*IF(E284="لكل حبة",SUMIFS(الإنتاج!$G$5:$G$504,الإنتاج!$C$5:$C$504,$A284),SUMIFS(الإنتاج!$E$5:$E$504,الإنتاج!$C$5:$C$504,$A284)))</f>
        <v/>
      </c>
      <c r="L284" s="29"/>
    </row>
    <row r="285" customFormat="false" ht="15" hidden="false" customHeight="false" outlineLevel="0" collapsed="false">
      <c r="A285" s="29"/>
      <c r="B285" s="28" t="str">
        <f aca="false">IF($A285="","",IFERROR(INDEX(المنتجات!$C$5:$C$24,MATCH($A285,المنتجات!$A$5:$A$24,0)),"كود غير موجود"))</f>
        <v/>
      </c>
      <c r="C285" s="29"/>
      <c r="D285" s="28" t="str">
        <f aca="false">IF($C285="","",IFERROR(INDEX('المواد الخام'!$B$5:$B$104,MATCH($C285,'المواد الخام'!$A$5:$A$104,0)),"كود غير موجود"))</f>
        <v/>
      </c>
      <c r="E285" s="29"/>
      <c r="F285" s="24"/>
      <c r="G285" s="28" t="str">
        <f aca="false">IF($C285="","",IFERROR(INDEX('المواد الخام'!$D$5:$D$104,MATCH($C285,'المواد الخام'!$A$5:$A$104,0)),""))</f>
        <v/>
      </c>
      <c r="H285" s="31" t="str">
        <f aca="false">IF($C285="","",IFERROR(INDEX('المواد الخام'!$G$5:$G$104,MATCH($C285,'المواد الخام'!$A$5:$A$104,0)),0))</f>
        <v/>
      </c>
      <c r="I285" s="25" t="str">
        <f aca="false">IF($C285="","",N(F285)*N(H285))</f>
        <v/>
      </c>
      <c r="J285" s="25" t="str">
        <f aca="false">IF(OR($A285="",$C285=""),"",IF(E285="لكل حبة",I285,IFERROR(I285/INDEX(المنتجات!$G$5:$G$24,MATCH($A285,المنتجات!$A$5:$A$24,0)),0)))</f>
        <v/>
      </c>
      <c r="K285" s="27" t="str">
        <f aca="false">IF(OR($A285="",$C285=""),"",N(F285)*IF(E285="لكل حبة",SUMIFS(الإنتاج!$G$5:$G$504,الإنتاج!$C$5:$C$504,$A285),SUMIFS(الإنتاج!$E$5:$E$504,الإنتاج!$C$5:$C$504,$A285)))</f>
        <v/>
      </c>
      <c r="L285" s="29"/>
    </row>
    <row r="286" customFormat="false" ht="15" hidden="false" customHeight="false" outlineLevel="0" collapsed="false">
      <c r="A286" s="29"/>
      <c r="B286" s="28" t="str">
        <f aca="false">IF($A286="","",IFERROR(INDEX(المنتجات!$C$5:$C$24,MATCH($A286,المنتجات!$A$5:$A$24,0)),"كود غير موجود"))</f>
        <v/>
      </c>
      <c r="C286" s="29"/>
      <c r="D286" s="28" t="str">
        <f aca="false">IF($C286="","",IFERROR(INDEX('المواد الخام'!$B$5:$B$104,MATCH($C286,'المواد الخام'!$A$5:$A$104,0)),"كود غير موجود"))</f>
        <v/>
      </c>
      <c r="E286" s="29"/>
      <c r="F286" s="24"/>
      <c r="G286" s="28" t="str">
        <f aca="false">IF($C286="","",IFERROR(INDEX('المواد الخام'!$D$5:$D$104,MATCH($C286,'المواد الخام'!$A$5:$A$104,0)),""))</f>
        <v/>
      </c>
      <c r="H286" s="31" t="str">
        <f aca="false">IF($C286="","",IFERROR(INDEX('المواد الخام'!$G$5:$G$104,MATCH($C286,'المواد الخام'!$A$5:$A$104,0)),0))</f>
        <v/>
      </c>
      <c r="I286" s="25" t="str">
        <f aca="false">IF($C286="","",N(F286)*N(H286))</f>
        <v/>
      </c>
      <c r="J286" s="25" t="str">
        <f aca="false">IF(OR($A286="",$C286=""),"",IF(E286="لكل حبة",I286,IFERROR(I286/INDEX(المنتجات!$G$5:$G$24,MATCH($A286,المنتجات!$A$5:$A$24,0)),0)))</f>
        <v/>
      </c>
      <c r="K286" s="27" t="str">
        <f aca="false">IF(OR($A286="",$C286=""),"",N(F286)*IF(E286="لكل حبة",SUMIFS(الإنتاج!$G$5:$G$504,الإنتاج!$C$5:$C$504,$A286),SUMIFS(الإنتاج!$E$5:$E$504,الإنتاج!$C$5:$C$504,$A286)))</f>
        <v/>
      </c>
      <c r="L286" s="29"/>
    </row>
    <row r="287" customFormat="false" ht="15" hidden="false" customHeight="false" outlineLevel="0" collapsed="false">
      <c r="A287" s="29"/>
      <c r="B287" s="28" t="str">
        <f aca="false">IF($A287="","",IFERROR(INDEX(المنتجات!$C$5:$C$24,MATCH($A287,المنتجات!$A$5:$A$24,0)),"كود غير موجود"))</f>
        <v/>
      </c>
      <c r="C287" s="29"/>
      <c r="D287" s="28" t="str">
        <f aca="false">IF($C287="","",IFERROR(INDEX('المواد الخام'!$B$5:$B$104,MATCH($C287,'المواد الخام'!$A$5:$A$104,0)),"كود غير موجود"))</f>
        <v/>
      </c>
      <c r="E287" s="29"/>
      <c r="F287" s="24"/>
      <c r="G287" s="28" t="str">
        <f aca="false">IF($C287="","",IFERROR(INDEX('المواد الخام'!$D$5:$D$104,MATCH($C287,'المواد الخام'!$A$5:$A$104,0)),""))</f>
        <v/>
      </c>
      <c r="H287" s="31" t="str">
        <f aca="false">IF($C287="","",IFERROR(INDEX('المواد الخام'!$G$5:$G$104,MATCH($C287,'المواد الخام'!$A$5:$A$104,0)),0))</f>
        <v/>
      </c>
      <c r="I287" s="25" t="str">
        <f aca="false">IF($C287="","",N(F287)*N(H287))</f>
        <v/>
      </c>
      <c r="J287" s="25" t="str">
        <f aca="false">IF(OR($A287="",$C287=""),"",IF(E287="لكل حبة",I287,IFERROR(I287/INDEX(المنتجات!$G$5:$G$24,MATCH($A287,المنتجات!$A$5:$A$24,0)),0)))</f>
        <v/>
      </c>
      <c r="K287" s="27" t="str">
        <f aca="false">IF(OR($A287="",$C287=""),"",N(F287)*IF(E287="لكل حبة",SUMIFS(الإنتاج!$G$5:$G$504,الإنتاج!$C$5:$C$504,$A287),SUMIFS(الإنتاج!$E$5:$E$504,الإنتاج!$C$5:$C$504,$A287)))</f>
        <v/>
      </c>
      <c r="L287" s="29"/>
    </row>
    <row r="288" customFormat="false" ht="15" hidden="false" customHeight="false" outlineLevel="0" collapsed="false">
      <c r="A288" s="29"/>
      <c r="B288" s="28" t="str">
        <f aca="false">IF($A288="","",IFERROR(INDEX(المنتجات!$C$5:$C$24,MATCH($A288,المنتجات!$A$5:$A$24,0)),"كود غير موجود"))</f>
        <v/>
      </c>
      <c r="C288" s="29"/>
      <c r="D288" s="28" t="str">
        <f aca="false">IF($C288="","",IFERROR(INDEX('المواد الخام'!$B$5:$B$104,MATCH($C288,'المواد الخام'!$A$5:$A$104,0)),"كود غير موجود"))</f>
        <v/>
      </c>
      <c r="E288" s="29"/>
      <c r="F288" s="24"/>
      <c r="G288" s="28" t="str">
        <f aca="false">IF($C288="","",IFERROR(INDEX('المواد الخام'!$D$5:$D$104,MATCH($C288,'المواد الخام'!$A$5:$A$104,0)),""))</f>
        <v/>
      </c>
      <c r="H288" s="31" t="str">
        <f aca="false">IF($C288="","",IFERROR(INDEX('المواد الخام'!$G$5:$G$104,MATCH($C288,'المواد الخام'!$A$5:$A$104,0)),0))</f>
        <v/>
      </c>
      <c r="I288" s="25" t="str">
        <f aca="false">IF($C288="","",N(F288)*N(H288))</f>
        <v/>
      </c>
      <c r="J288" s="25" t="str">
        <f aca="false">IF(OR($A288="",$C288=""),"",IF(E288="لكل حبة",I288,IFERROR(I288/INDEX(المنتجات!$G$5:$G$24,MATCH($A288,المنتجات!$A$5:$A$24,0)),0)))</f>
        <v/>
      </c>
      <c r="K288" s="27" t="str">
        <f aca="false">IF(OR($A288="",$C288=""),"",N(F288)*IF(E288="لكل حبة",SUMIFS(الإنتاج!$G$5:$G$504,الإنتاج!$C$5:$C$504,$A288),SUMIFS(الإنتاج!$E$5:$E$504,الإنتاج!$C$5:$C$504,$A288)))</f>
        <v/>
      </c>
      <c r="L288" s="29"/>
    </row>
    <row r="289" customFormat="false" ht="15" hidden="false" customHeight="false" outlineLevel="0" collapsed="false">
      <c r="A289" s="29"/>
      <c r="B289" s="28" t="str">
        <f aca="false">IF($A289="","",IFERROR(INDEX(المنتجات!$C$5:$C$24,MATCH($A289,المنتجات!$A$5:$A$24,0)),"كود غير موجود"))</f>
        <v/>
      </c>
      <c r="C289" s="29"/>
      <c r="D289" s="28" t="str">
        <f aca="false">IF($C289="","",IFERROR(INDEX('المواد الخام'!$B$5:$B$104,MATCH($C289,'المواد الخام'!$A$5:$A$104,0)),"كود غير موجود"))</f>
        <v/>
      </c>
      <c r="E289" s="29"/>
      <c r="F289" s="24"/>
      <c r="G289" s="28" t="str">
        <f aca="false">IF($C289="","",IFERROR(INDEX('المواد الخام'!$D$5:$D$104,MATCH($C289,'المواد الخام'!$A$5:$A$104,0)),""))</f>
        <v/>
      </c>
      <c r="H289" s="31" t="str">
        <f aca="false">IF($C289="","",IFERROR(INDEX('المواد الخام'!$G$5:$G$104,MATCH($C289,'المواد الخام'!$A$5:$A$104,0)),0))</f>
        <v/>
      </c>
      <c r="I289" s="25" t="str">
        <f aca="false">IF($C289="","",N(F289)*N(H289))</f>
        <v/>
      </c>
      <c r="J289" s="25" t="str">
        <f aca="false">IF(OR($A289="",$C289=""),"",IF(E289="لكل حبة",I289,IFERROR(I289/INDEX(المنتجات!$G$5:$G$24,MATCH($A289,المنتجات!$A$5:$A$24,0)),0)))</f>
        <v/>
      </c>
      <c r="K289" s="27" t="str">
        <f aca="false">IF(OR($A289="",$C289=""),"",N(F289)*IF(E289="لكل حبة",SUMIFS(الإنتاج!$G$5:$G$504,الإنتاج!$C$5:$C$504,$A289),SUMIFS(الإنتاج!$E$5:$E$504,الإنتاج!$C$5:$C$504,$A289)))</f>
        <v/>
      </c>
      <c r="L289" s="29"/>
    </row>
    <row r="290" customFormat="false" ht="15" hidden="false" customHeight="false" outlineLevel="0" collapsed="false">
      <c r="A290" s="29"/>
      <c r="B290" s="28" t="str">
        <f aca="false">IF($A290="","",IFERROR(INDEX(المنتجات!$C$5:$C$24,MATCH($A290,المنتجات!$A$5:$A$24,0)),"كود غير موجود"))</f>
        <v/>
      </c>
      <c r="C290" s="29"/>
      <c r="D290" s="28" t="str">
        <f aca="false">IF($C290="","",IFERROR(INDEX('المواد الخام'!$B$5:$B$104,MATCH($C290,'المواد الخام'!$A$5:$A$104,0)),"كود غير موجود"))</f>
        <v/>
      </c>
      <c r="E290" s="29"/>
      <c r="F290" s="24"/>
      <c r="G290" s="28" t="str">
        <f aca="false">IF($C290="","",IFERROR(INDEX('المواد الخام'!$D$5:$D$104,MATCH($C290,'المواد الخام'!$A$5:$A$104,0)),""))</f>
        <v/>
      </c>
      <c r="H290" s="31" t="str">
        <f aca="false">IF($C290="","",IFERROR(INDEX('المواد الخام'!$G$5:$G$104,MATCH($C290,'المواد الخام'!$A$5:$A$104,0)),0))</f>
        <v/>
      </c>
      <c r="I290" s="25" t="str">
        <f aca="false">IF($C290="","",N(F290)*N(H290))</f>
        <v/>
      </c>
      <c r="J290" s="25" t="str">
        <f aca="false">IF(OR($A290="",$C290=""),"",IF(E290="لكل حبة",I290,IFERROR(I290/INDEX(المنتجات!$G$5:$G$24,MATCH($A290,المنتجات!$A$5:$A$24,0)),0)))</f>
        <v/>
      </c>
      <c r="K290" s="27" t="str">
        <f aca="false">IF(OR($A290="",$C290=""),"",N(F290)*IF(E290="لكل حبة",SUMIFS(الإنتاج!$G$5:$G$504,الإنتاج!$C$5:$C$504,$A290),SUMIFS(الإنتاج!$E$5:$E$504,الإنتاج!$C$5:$C$504,$A290)))</f>
        <v/>
      </c>
      <c r="L290" s="29"/>
    </row>
    <row r="291" customFormat="false" ht="15" hidden="false" customHeight="false" outlineLevel="0" collapsed="false">
      <c r="A291" s="29"/>
      <c r="B291" s="28" t="str">
        <f aca="false">IF($A291="","",IFERROR(INDEX(المنتجات!$C$5:$C$24,MATCH($A291,المنتجات!$A$5:$A$24,0)),"كود غير موجود"))</f>
        <v/>
      </c>
      <c r="C291" s="29"/>
      <c r="D291" s="28" t="str">
        <f aca="false">IF($C291="","",IFERROR(INDEX('المواد الخام'!$B$5:$B$104,MATCH($C291,'المواد الخام'!$A$5:$A$104,0)),"كود غير موجود"))</f>
        <v/>
      </c>
      <c r="E291" s="29"/>
      <c r="F291" s="24"/>
      <c r="G291" s="28" t="str">
        <f aca="false">IF($C291="","",IFERROR(INDEX('المواد الخام'!$D$5:$D$104,MATCH($C291,'المواد الخام'!$A$5:$A$104,0)),""))</f>
        <v/>
      </c>
      <c r="H291" s="31" t="str">
        <f aca="false">IF($C291="","",IFERROR(INDEX('المواد الخام'!$G$5:$G$104,MATCH($C291,'المواد الخام'!$A$5:$A$104,0)),0))</f>
        <v/>
      </c>
      <c r="I291" s="25" t="str">
        <f aca="false">IF($C291="","",N(F291)*N(H291))</f>
        <v/>
      </c>
      <c r="J291" s="25" t="str">
        <f aca="false">IF(OR($A291="",$C291=""),"",IF(E291="لكل حبة",I291,IFERROR(I291/INDEX(المنتجات!$G$5:$G$24,MATCH($A291,المنتجات!$A$5:$A$24,0)),0)))</f>
        <v/>
      </c>
      <c r="K291" s="27" t="str">
        <f aca="false">IF(OR($A291="",$C291=""),"",N(F291)*IF(E291="لكل حبة",SUMIFS(الإنتاج!$G$5:$G$504,الإنتاج!$C$5:$C$504,$A291),SUMIFS(الإنتاج!$E$5:$E$504,الإنتاج!$C$5:$C$504,$A291)))</f>
        <v/>
      </c>
      <c r="L291" s="29"/>
    </row>
    <row r="292" customFormat="false" ht="15" hidden="false" customHeight="false" outlineLevel="0" collapsed="false">
      <c r="A292" s="29"/>
      <c r="B292" s="28" t="str">
        <f aca="false">IF($A292="","",IFERROR(INDEX(المنتجات!$C$5:$C$24,MATCH($A292,المنتجات!$A$5:$A$24,0)),"كود غير موجود"))</f>
        <v/>
      </c>
      <c r="C292" s="29"/>
      <c r="D292" s="28" t="str">
        <f aca="false">IF($C292="","",IFERROR(INDEX('المواد الخام'!$B$5:$B$104,MATCH($C292,'المواد الخام'!$A$5:$A$104,0)),"كود غير موجود"))</f>
        <v/>
      </c>
      <c r="E292" s="29"/>
      <c r="F292" s="24"/>
      <c r="G292" s="28" t="str">
        <f aca="false">IF($C292="","",IFERROR(INDEX('المواد الخام'!$D$5:$D$104,MATCH($C292,'المواد الخام'!$A$5:$A$104,0)),""))</f>
        <v/>
      </c>
      <c r="H292" s="31" t="str">
        <f aca="false">IF($C292="","",IFERROR(INDEX('المواد الخام'!$G$5:$G$104,MATCH($C292,'المواد الخام'!$A$5:$A$104,0)),0))</f>
        <v/>
      </c>
      <c r="I292" s="25" t="str">
        <f aca="false">IF($C292="","",N(F292)*N(H292))</f>
        <v/>
      </c>
      <c r="J292" s="25" t="str">
        <f aca="false">IF(OR($A292="",$C292=""),"",IF(E292="لكل حبة",I292,IFERROR(I292/INDEX(المنتجات!$G$5:$G$24,MATCH($A292,المنتجات!$A$5:$A$24,0)),0)))</f>
        <v/>
      </c>
      <c r="K292" s="27" t="str">
        <f aca="false">IF(OR($A292="",$C292=""),"",N(F292)*IF(E292="لكل حبة",SUMIFS(الإنتاج!$G$5:$G$504,الإنتاج!$C$5:$C$504,$A292),SUMIFS(الإنتاج!$E$5:$E$504,الإنتاج!$C$5:$C$504,$A292)))</f>
        <v/>
      </c>
      <c r="L292" s="29"/>
    </row>
    <row r="293" customFormat="false" ht="15" hidden="false" customHeight="false" outlineLevel="0" collapsed="false">
      <c r="A293" s="29"/>
      <c r="B293" s="28" t="str">
        <f aca="false">IF($A293="","",IFERROR(INDEX(المنتجات!$C$5:$C$24,MATCH($A293,المنتجات!$A$5:$A$24,0)),"كود غير موجود"))</f>
        <v/>
      </c>
      <c r="C293" s="29"/>
      <c r="D293" s="28" t="str">
        <f aca="false">IF($C293="","",IFERROR(INDEX('المواد الخام'!$B$5:$B$104,MATCH($C293,'المواد الخام'!$A$5:$A$104,0)),"كود غير موجود"))</f>
        <v/>
      </c>
      <c r="E293" s="29"/>
      <c r="F293" s="24"/>
      <c r="G293" s="28" t="str">
        <f aca="false">IF($C293="","",IFERROR(INDEX('المواد الخام'!$D$5:$D$104,MATCH($C293,'المواد الخام'!$A$5:$A$104,0)),""))</f>
        <v/>
      </c>
      <c r="H293" s="31" t="str">
        <f aca="false">IF($C293="","",IFERROR(INDEX('المواد الخام'!$G$5:$G$104,MATCH($C293,'المواد الخام'!$A$5:$A$104,0)),0))</f>
        <v/>
      </c>
      <c r="I293" s="25" t="str">
        <f aca="false">IF($C293="","",N(F293)*N(H293))</f>
        <v/>
      </c>
      <c r="J293" s="25" t="str">
        <f aca="false">IF(OR($A293="",$C293=""),"",IF(E293="لكل حبة",I293,IFERROR(I293/INDEX(المنتجات!$G$5:$G$24,MATCH($A293,المنتجات!$A$5:$A$24,0)),0)))</f>
        <v/>
      </c>
      <c r="K293" s="27" t="str">
        <f aca="false">IF(OR($A293="",$C293=""),"",N(F293)*IF(E293="لكل حبة",SUMIFS(الإنتاج!$G$5:$G$504,الإنتاج!$C$5:$C$504,$A293),SUMIFS(الإنتاج!$E$5:$E$504,الإنتاج!$C$5:$C$504,$A293)))</f>
        <v/>
      </c>
      <c r="L293" s="29"/>
    </row>
    <row r="294" customFormat="false" ht="15" hidden="false" customHeight="false" outlineLevel="0" collapsed="false">
      <c r="A294" s="29"/>
      <c r="B294" s="28" t="str">
        <f aca="false">IF($A294="","",IFERROR(INDEX(المنتجات!$C$5:$C$24,MATCH($A294,المنتجات!$A$5:$A$24,0)),"كود غير موجود"))</f>
        <v/>
      </c>
      <c r="C294" s="29"/>
      <c r="D294" s="28" t="str">
        <f aca="false">IF($C294="","",IFERROR(INDEX('المواد الخام'!$B$5:$B$104,MATCH($C294,'المواد الخام'!$A$5:$A$104,0)),"كود غير موجود"))</f>
        <v/>
      </c>
      <c r="E294" s="29"/>
      <c r="F294" s="24"/>
      <c r="G294" s="28" t="str">
        <f aca="false">IF($C294="","",IFERROR(INDEX('المواد الخام'!$D$5:$D$104,MATCH($C294,'المواد الخام'!$A$5:$A$104,0)),""))</f>
        <v/>
      </c>
      <c r="H294" s="31" t="str">
        <f aca="false">IF($C294="","",IFERROR(INDEX('المواد الخام'!$G$5:$G$104,MATCH($C294,'المواد الخام'!$A$5:$A$104,0)),0))</f>
        <v/>
      </c>
      <c r="I294" s="25" t="str">
        <f aca="false">IF($C294="","",N(F294)*N(H294))</f>
        <v/>
      </c>
      <c r="J294" s="25" t="str">
        <f aca="false">IF(OR($A294="",$C294=""),"",IF(E294="لكل حبة",I294,IFERROR(I294/INDEX(المنتجات!$G$5:$G$24,MATCH($A294,المنتجات!$A$5:$A$24,0)),0)))</f>
        <v/>
      </c>
      <c r="K294" s="27" t="str">
        <f aca="false">IF(OR($A294="",$C294=""),"",N(F294)*IF(E294="لكل حبة",SUMIFS(الإنتاج!$G$5:$G$504,الإنتاج!$C$5:$C$504,$A294),SUMIFS(الإنتاج!$E$5:$E$504,الإنتاج!$C$5:$C$504,$A294)))</f>
        <v/>
      </c>
      <c r="L294" s="29"/>
    </row>
    <row r="295" customFormat="false" ht="15" hidden="false" customHeight="false" outlineLevel="0" collapsed="false">
      <c r="A295" s="29"/>
      <c r="B295" s="28" t="str">
        <f aca="false">IF($A295="","",IFERROR(INDEX(المنتجات!$C$5:$C$24,MATCH($A295,المنتجات!$A$5:$A$24,0)),"كود غير موجود"))</f>
        <v/>
      </c>
      <c r="C295" s="29"/>
      <c r="D295" s="28" t="str">
        <f aca="false">IF($C295="","",IFERROR(INDEX('المواد الخام'!$B$5:$B$104,MATCH($C295,'المواد الخام'!$A$5:$A$104,0)),"كود غير موجود"))</f>
        <v/>
      </c>
      <c r="E295" s="29"/>
      <c r="F295" s="24"/>
      <c r="G295" s="28" t="str">
        <f aca="false">IF($C295="","",IFERROR(INDEX('المواد الخام'!$D$5:$D$104,MATCH($C295,'المواد الخام'!$A$5:$A$104,0)),""))</f>
        <v/>
      </c>
      <c r="H295" s="31" t="str">
        <f aca="false">IF($C295="","",IFERROR(INDEX('المواد الخام'!$G$5:$G$104,MATCH($C295,'المواد الخام'!$A$5:$A$104,0)),0))</f>
        <v/>
      </c>
      <c r="I295" s="25" t="str">
        <f aca="false">IF($C295="","",N(F295)*N(H295))</f>
        <v/>
      </c>
      <c r="J295" s="25" t="str">
        <f aca="false">IF(OR($A295="",$C295=""),"",IF(E295="لكل حبة",I295,IFERROR(I295/INDEX(المنتجات!$G$5:$G$24,MATCH($A295,المنتجات!$A$5:$A$24,0)),0)))</f>
        <v/>
      </c>
      <c r="K295" s="27" t="str">
        <f aca="false">IF(OR($A295="",$C295=""),"",N(F295)*IF(E295="لكل حبة",SUMIFS(الإنتاج!$G$5:$G$504,الإنتاج!$C$5:$C$504,$A295),SUMIFS(الإنتاج!$E$5:$E$504,الإنتاج!$C$5:$C$504,$A295)))</f>
        <v/>
      </c>
      <c r="L295" s="29"/>
    </row>
    <row r="296" customFormat="false" ht="15" hidden="false" customHeight="false" outlineLevel="0" collapsed="false">
      <c r="A296" s="29"/>
      <c r="B296" s="28" t="str">
        <f aca="false">IF($A296="","",IFERROR(INDEX(المنتجات!$C$5:$C$24,MATCH($A296,المنتجات!$A$5:$A$24,0)),"كود غير موجود"))</f>
        <v/>
      </c>
      <c r="C296" s="29"/>
      <c r="D296" s="28" t="str">
        <f aca="false">IF($C296="","",IFERROR(INDEX('المواد الخام'!$B$5:$B$104,MATCH($C296,'المواد الخام'!$A$5:$A$104,0)),"كود غير موجود"))</f>
        <v/>
      </c>
      <c r="E296" s="29"/>
      <c r="F296" s="24"/>
      <c r="G296" s="28" t="str">
        <f aca="false">IF($C296="","",IFERROR(INDEX('المواد الخام'!$D$5:$D$104,MATCH($C296,'المواد الخام'!$A$5:$A$104,0)),""))</f>
        <v/>
      </c>
      <c r="H296" s="31" t="str">
        <f aca="false">IF($C296="","",IFERROR(INDEX('المواد الخام'!$G$5:$G$104,MATCH($C296,'المواد الخام'!$A$5:$A$104,0)),0))</f>
        <v/>
      </c>
      <c r="I296" s="25" t="str">
        <f aca="false">IF($C296="","",N(F296)*N(H296))</f>
        <v/>
      </c>
      <c r="J296" s="25" t="str">
        <f aca="false">IF(OR($A296="",$C296=""),"",IF(E296="لكل حبة",I296,IFERROR(I296/INDEX(المنتجات!$G$5:$G$24,MATCH($A296,المنتجات!$A$5:$A$24,0)),0)))</f>
        <v/>
      </c>
      <c r="K296" s="27" t="str">
        <f aca="false">IF(OR($A296="",$C296=""),"",N(F296)*IF(E296="لكل حبة",SUMIFS(الإنتاج!$G$5:$G$504,الإنتاج!$C$5:$C$504,$A296),SUMIFS(الإنتاج!$E$5:$E$504,الإنتاج!$C$5:$C$504,$A296)))</f>
        <v/>
      </c>
      <c r="L296" s="29"/>
    </row>
    <row r="297" customFormat="false" ht="15" hidden="false" customHeight="false" outlineLevel="0" collapsed="false">
      <c r="A297" s="29"/>
      <c r="B297" s="28" t="str">
        <f aca="false">IF($A297="","",IFERROR(INDEX(المنتجات!$C$5:$C$24,MATCH($A297,المنتجات!$A$5:$A$24,0)),"كود غير موجود"))</f>
        <v/>
      </c>
      <c r="C297" s="29"/>
      <c r="D297" s="28" t="str">
        <f aca="false">IF($C297="","",IFERROR(INDEX('المواد الخام'!$B$5:$B$104,MATCH($C297,'المواد الخام'!$A$5:$A$104,0)),"كود غير موجود"))</f>
        <v/>
      </c>
      <c r="E297" s="29"/>
      <c r="F297" s="24"/>
      <c r="G297" s="28" t="str">
        <f aca="false">IF($C297="","",IFERROR(INDEX('المواد الخام'!$D$5:$D$104,MATCH($C297,'المواد الخام'!$A$5:$A$104,0)),""))</f>
        <v/>
      </c>
      <c r="H297" s="31" t="str">
        <f aca="false">IF($C297="","",IFERROR(INDEX('المواد الخام'!$G$5:$G$104,MATCH($C297,'المواد الخام'!$A$5:$A$104,0)),0))</f>
        <v/>
      </c>
      <c r="I297" s="25" t="str">
        <f aca="false">IF($C297="","",N(F297)*N(H297))</f>
        <v/>
      </c>
      <c r="J297" s="25" t="str">
        <f aca="false">IF(OR($A297="",$C297=""),"",IF(E297="لكل حبة",I297,IFERROR(I297/INDEX(المنتجات!$G$5:$G$24,MATCH($A297,المنتجات!$A$5:$A$24,0)),0)))</f>
        <v/>
      </c>
      <c r="K297" s="27" t="str">
        <f aca="false">IF(OR($A297="",$C297=""),"",N(F297)*IF(E297="لكل حبة",SUMIFS(الإنتاج!$G$5:$G$504,الإنتاج!$C$5:$C$504,$A297),SUMIFS(الإنتاج!$E$5:$E$504,الإنتاج!$C$5:$C$504,$A297)))</f>
        <v/>
      </c>
      <c r="L297" s="29"/>
    </row>
    <row r="298" customFormat="false" ht="15" hidden="false" customHeight="false" outlineLevel="0" collapsed="false">
      <c r="A298" s="29"/>
      <c r="B298" s="28" t="str">
        <f aca="false">IF($A298="","",IFERROR(INDEX(المنتجات!$C$5:$C$24,MATCH($A298,المنتجات!$A$5:$A$24,0)),"كود غير موجود"))</f>
        <v/>
      </c>
      <c r="C298" s="29"/>
      <c r="D298" s="28" t="str">
        <f aca="false">IF($C298="","",IFERROR(INDEX('المواد الخام'!$B$5:$B$104,MATCH($C298,'المواد الخام'!$A$5:$A$104,0)),"كود غير موجود"))</f>
        <v/>
      </c>
      <c r="E298" s="29"/>
      <c r="F298" s="24"/>
      <c r="G298" s="28" t="str">
        <f aca="false">IF($C298="","",IFERROR(INDEX('المواد الخام'!$D$5:$D$104,MATCH($C298,'المواد الخام'!$A$5:$A$104,0)),""))</f>
        <v/>
      </c>
      <c r="H298" s="31" t="str">
        <f aca="false">IF($C298="","",IFERROR(INDEX('المواد الخام'!$G$5:$G$104,MATCH($C298,'المواد الخام'!$A$5:$A$104,0)),0))</f>
        <v/>
      </c>
      <c r="I298" s="25" t="str">
        <f aca="false">IF($C298="","",N(F298)*N(H298))</f>
        <v/>
      </c>
      <c r="J298" s="25" t="str">
        <f aca="false">IF(OR($A298="",$C298=""),"",IF(E298="لكل حبة",I298,IFERROR(I298/INDEX(المنتجات!$G$5:$G$24,MATCH($A298,المنتجات!$A$5:$A$24,0)),0)))</f>
        <v/>
      </c>
      <c r="K298" s="27" t="str">
        <f aca="false">IF(OR($A298="",$C298=""),"",N(F298)*IF(E298="لكل حبة",SUMIFS(الإنتاج!$G$5:$G$504,الإنتاج!$C$5:$C$504,$A298),SUMIFS(الإنتاج!$E$5:$E$504,الإنتاج!$C$5:$C$504,$A298)))</f>
        <v/>
      </c>
      <c r="L298" s="29"/>
    </row>
    <row r="299" customFormat="false" ht="15" hidden="false" customHeight="false" outlineLevel="0" collapsed="false">
      <c r="A299" s="29"/>
      <c r="B299" s="28" t="str">
        <f aca="false">IF($A299="","",IFERROR(INDEX(المنتجات!$C$5:$C$24,MATCH($A299,المنتجات!$A$5:$A$24,0)),"كود غير موجود"))</f>
        <v/>
      </c>
      <c r="C299" s="29"/>
      <c r="D299" s="28" t="str">
        <f aca="false">IF($C299="","",IFERROR(INDEX('المواد الخام'!$B$5:$B$104,MATCH($C299,'المواد الخام'!$A$5:$A$104,0)),"كود غير موجود"))</f>
        <v/>
      </c>
      <c r="E299" s="29"/>
      <c r="F299" s="24"/>
      <c r="G299" s="28" t="str">
        <f aca="false">IF($C299="","",IFERROR(INDEX('المواد الخام'!$D$5:$D$104,MATCH($C299,'المواد الخام'!$A$5:$A$104,0)),""))</f>
        <v/>
      </c>
      <c r="H299" s="31" t="str">
        <f aca="false">IF($C299="","",IFERROR(INDEX('المواد الخام'!$G$5:$G$104,MATCH($C299,'المواد الخام'!$A$5:$A$104,0)),0))</f>
        <v/>
      </c>
      <c r="I299" s="25" t="str">
        <f aca="false">IF($C299="","",N(F299)*N(H299))</f>
        <v/>
      </c>
      <c r="J299" s="25" t="str">
        <f aca="false">IF(OR($A299="",$C299=""),"",IF(E299="لكل حبة",I299,IFERROR(I299/INDEX(المنتجات!$G$5:$G$24,MATCH($A299,المنتجات!$A$5:$A$24,0)),0)))</f>
        <v/>
      </c>
      <c r="K299" s="27" t="str">
        <f aca="false">IF(OR($A299="",$C299=""),"",N(F299)*IF(E299="لكل حبة",SUMIFS(الإنتاج!$G$5:$G$504,الإنتاج!$C$5:$C$504,$A299),SUMIFS(الإنتاج!$E$5:$E$504,الإنتاج!$C$5:$C$504,$A299)))</f>
        <v/>
      </c>
      <c r="L299" s="29"/>
    </row>
    <row r="300" customFormat="false" ht="15" hidden="false" customHeight="false" outlineLevel="0" collapsed="false">
      <c r="A300" s="29"/>
      <c r="B300" s="28" t="str">
        <f aca="false">IF($A300="","",IFERROR(INDEX(المنتجات!$C$5:$C$24,MATCH($A300,المنتجات!$A$5:$A$24,0)),"كود غير موجود"))</f>
        <v/>
      </c>
      <c r="C300" s="29"/>
      <c r="D300" s="28" t="str">
        <f aca="false">IF($C300="","",IFERROR(INDEX('المواد الخام'!$B$5:$B$104,MATCH($C300,'المواد الخام'!$A$5:$A$104,0)),"كود غير موجود"))</f>
        <v/>
      </c>
      <c r="E300" s="29"/>
      <c r="F300" s="24"/>
      <c r="G300" s="28" t="str">
        <f aca="false">IF($C300="","",IFERROR(INDEX('المواد الخام'!$D$5:$D$104,MATCH($C300,'المواد الخام'!$A$5:$A$104,0)),""))</f>
        <v/>
      </c>
      <c r="H300" s="31" t="str">
        <f aca="false">IF($C300="","",IFERROR(INDEX('المواد الخام'!$G$5:$G$104,MATCH($C300,'المواد الخام'!$A$5:$A$104,0)),0))</f>
        <v/>
      </c>
      <c r="I300" s="25" t="str">
        <f aca="false">IF($C300="","",N(F300)*N(H300))</f>
        <v/>
      </c>
      <c r="J300" s="25" t="str">
        <f aca="false">IF(OR($A300="",$C300=""),"",IF(E300="لكل حبة",I300,IFERROR(I300/INDEX(المنتجات!$G$5:$G$24,MATCH($A300,المنتجات!$A$5:$A$24,0)),0)))</f>
        <v/>
      </c>
      <c r="K300" s="27" t="str">
        <f aca="false">IF(OR($A300="",$C300=""),"",N(F300)*IF(E300="لكل حبة",SUMIFS(الإنتاج!$G$5:$G$504,الإنتاج!$C$5:$C$504,$A300),SUMIFS(الإنتاج!$E$5:$E$504,الإنتاج!$C$5:$C$504,$A300)))</f>
        <v/>
      </c>
      <c r="L300" s="29"/>
    </row>
    <row r="301" customFormat="false" ht="15" hidden="false" customHeight="false" outlineLevel="0" collapsed="false">
      <c r="A301" s="29"/>
      <c r="B301" s="28" t="str">
        <f aca="false">IF($A301="","",IFERROR(INDEX(المنتجات!$C$5:$C$24,MATCH($A301,المنتجات!$A$5:$A$24,0)),"كود غير موجود"))</f>
        <v/>
      </c>
      <c r="C301" s="29"/>
      <c r="D301" s="28" t="str">
        <f aca="false">IF($C301="","",IFERROR(INDEX('المواد الخام'!$B$5:$B$104,MATCH($C301,'المواد الخام'!$A$5:$A$104,0)),"كود غير موجود"))</f>
        <v/>
      </c>
      <c r="E301" s="29"/>
      <c r="F301" s="24"/>
      <c r="G301" s="28" t="str">
        <f aca="false">IF($C301="","",IFERROR(INDEX('المواد الخام'!$D$5:$D$104,MATCH($C301,'المواد الخام'!$A$5:$A$104,0)),""))</f>
        <v/>
      </c>
      <c r="H301" s="31" t="str">
        <f aca="false">IF($C301="","",IFERROR(INDEX('المواد الخام'!$G$5:$G$104,MATCH($C301,'المواد الخام'!$A$5:$A$104,0)),0))</f>
        <v/>
      </c>
      <c r="I301" s="25" t="str">
        <f aca="false">IF($C301="","",N(F301)*N(H301))</f>
        <v/>
      </c>
      <c r="J301" s="25" t="str">
        <f aca="false">IF(OR($A301="",$C301=""),"",IF(E301="لكل حبة",I301,IFERROR(I301/INDEX(المنتجات!$G$5:$G$24,MATCH($A301,المنتجات!$A$5:$A$24,0)),0)))</f>
        <v/>
      </c>
      <c r="K301" s="27" t="str">
        <f aca="false">IF(OR($A301="",$C301=""),"",N(F301)*IF(E301="لكل حبة",SUMIFS(الإنتاج!$G$5:$G$504,الإنتاج!$C$5:$C$504,$A301),SUMIFS(الإنتاج!$E$5:$E$504,الإنتاج!$C$5:$C$504,$A301)))</f>
        <v/>
      </c>
      <c r="L301" s="29"/>
    </row>
    <row r="302" customFormat="false" ht="15" hidden="false" customHeight="false" outlineLevel="0" collapsed="false">
      <c r="A302" s="29"/>
      <c r="B302" s="28" t="str">
        <f aca="false">IF($A302="","",IFERROR(INDEX(المنتجات!$C$5:$C$24,MATCH($A302,المنتجات!$A$5:$A$24,0)),"كود غير موجود"))</f>
        <v/>
      </c>
      <c r="C302" s="29"/>
      <c r="D302" s="28" t="str">
        <f aca="false">IF($C302="","",IFERROR(INDEX('المواد الخام'!$B$5:$B$104,MATCH($C302,'المواد الخام'!$A$5:$A$104,0)),"كود غير موجود"))</f>
        <v/>
      </c>
      <c r="E302" s="29"/>
      <c r="F302" s="24"/>
      <c r="G302" s="28" t="str">
        <f aca="false">IF($C302="","",IFERROR(INDEX('المواد الخام'!$D$5:$D$104,MATCH($C302,'المواد الخام'!$A$5:$A$104,0)),""))</f>
        <v/>
      </c>
      <c r="H302" s="31" t="str">
        <f aca="false">IF($C302="","",IFERROR(INDEX('المواد الخام'!$G$5:$G$104,MATCH($C302,'المواد الخام'!$A$5:$A$104,0)),0))</f>
        <v/>
      </c>
      <c r="I302" s="25" t="str">
        <f aca="false">IF($C302="","",N(F302)*N(H302))</f>
        <v/>
      </c>
      <c r="J302" s="25" t="str">
        <f aca="false">IF(OR($A302="",$C302=""),"",IF(E302="لكل حبة",I302,IFERROR(I302/INDEX(المنتجات!$G$5:$G$24,MATCH($A302,المنتجات!$A$5:$A$24,0)),0)))</f>
        <v/>
      </c>
      <c r="K302" s="27" t="str">
        <f aca="false">IF(OR($A302="",$C302=""),"",N(F302)*IF(E302="لكل حبة",SUMIFS(الإنتاج!$G$5:$G$504,الإنتاج!$C$5:$C$504,$A302),SUMIFS(الإنتاج!$E$5:$E$504,الإنتاج!$C$5:$C$504,$A302)))</f>
        <v/>
      </c>
      <c r="L302" s="29"/>
    </row>
    <row r="303" customFormat="false" ht="15" hidden="false" customHeight="false" outlineLevel="0" collapsed="false">
      <c r="A303" s="29"/>
      <c r="B303" s="28" t="str">
        <f aca="false">IF($A303="","",IFERROR(INDEX(المنتجات!$C$5:$C$24,MATCH($A303,المنتجات!$A$5:$A$24,0)),"كود غير موجود"))</f>
        <v/>
      </c>
      <c r="C303" s="29"/>
      <c r="D303" s="28" t="str">
        <f aca="false">IF($C303="","",IFERROR(INDEX('المواد الخام'!$B$5:$B$104,MATCH($C303,'المواد الخام'!$A$5:$A$104,0)),"كود غير موجود"))</f>
        <v/>
      </c>
      <c r="E303" s="29"/>
      <c r="F303" s="24"/>
      <c r="G303" s="28" t="str">
        <f aca="false">IF($C303="","",IFERROR(INDEX('المواد الخام'!$D$5:$D$104,MATCH($C303,'المواد الخام'!$A$5:$A$104,0)),""))</f>
        <v/>
      </c>
      <c r="H303" s="31" t="str">
        <f aca="false">IF($C303="","",IFERROR(INDEX('المواد الخام'!$G$5:$G$104,MATCH($C303,'المواد الخام'!$A$5:$A$104,0)),0))</f>
        <v/>
      </c>
      <c r="I303" s="25" t="str">
        <f aca="false">IF($C303="","",N(F303)*N(H303))</f>
        <v/>
      </c>
      <c r="J303" s="25" t="str">
        <f aca="false">IF(OR($A303="",$C303=""),"",IF(E303="لكل حبة",I303,IFERROR(I303/INDEX(المنتجات!$G$5:$G$24,MATCH($A303,المنتجات!$A$5:$A$24,0)),0)))</f>
        <v/>
      </c>
      <c r="K303" s="27" t="str">
        <f aca="false">IF(OR($A303="",$C303=""),"",N(F303)*IF(E303="لكل حبة",SUMIFS(الإنتاج!$G$5:$G$504,الإنتاج!$C$5:$C$504,$A303),SUMIFS(الإنتاج!$E$5:$E$504,الإنتاج!$C$5:$C$504,$A303)))</f>
        <v/>
      </c>
      <c r="L303" s="29"/>
    </row>
    <row r="304" customFormat="false" ht="15" hidden="false" customHeight="false" outlineLevel="0" collapsed="false">
      <c r="A304" s="29"/>
      <c r="B304" s="28" t="str">
        <f aca="false">IF($A304="","",IFERROR(INDEX(المنتجات!$C$5:$C$24,MATCH($A304,المنتجات!$A$5:$A$24,0)),"كود غير موجود"))</f>
        <v/>
      </c>
      <c r="C304" s="29"/>
      <c r="D304" s="28" t="str">
        <f aca="false">IF($C304="","",IFERROR(INDEX('المواد الخام'!$B$5:$B$104,MATCH($C304,'المواد الخام'!$A$5:$A$104,0)),"كود غير موجود"))</f>
        <v/>
      </c>
      <c r="E304" s="29"/>
      <c r="F304" s="24"/>
      <c r="G304" s="28" t="str">
        <f aca="false">IF($C304="","",IFERROR(INDEX('المواد الخام'!$D$5:$D$104,MATCH($C304,'المواد الخام'!$A$5:$A$104,0)),""))</f>
        <v/>
      </c>
      <c r="H304" s="31" t="str">
        <f aca="false">IF($C304="","",IFERROR(INDEX('المواد الخام'!$G$5:$G$104,MATCH($C304,'المواد الخام'!$A$5:$A$104,0)),0))</f>
        <v/>
      </c>
      <c r="I304" s="25" t="str">
        <f aca="false">IF($C304="","",N(F304)*N(H304))</f>
        <v/>
      </c>
      <c r="J304" s="25" t="str">
        <f aca="false">IF(OR($A304="",$C304=""),"",IF(E304="لكل حبة",I304,IFERROR(I304/INDEX(المنتجات!$G$5:$G$24,MATCH($A304,المنتجات!$A$5:$A$24,0)),0)))</f>
        <v/>
      </c>
      <c r="K304" s="27" t="str">
        <f aca="false">IF(OR($A304="",$C304=""),"",N(F304)*IF(E304="لكل حبة",SUMIFS(الإنتاج!$G$5:$G$504,الإنتاج!$C$5:$C$504,$A304),SUMIFS(الإنتاج!$E$5:$E$504,الإنتاج!$C$5:$C$504,$A304)))</f>
        <v/>
      </c>
      <c r="L304" s="29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A5:A304" type="list">
      <formula1>المنتجات!$A$5:$A$24</formula1>
      <formula2>0</formula2>
    </dataValidation>
    <dataValidation allowBlank="true" errorStyle="stop" operator="between" showDropDown="false" showErrorMessage="false" showInputMessage="false" sqref="C5:C304" type="list">
      <formula1>'المواد الخام'!$A$5:$A$104</formula1>
      <formula2>0</formula2>
    </dataValidation>
    <dataValidation allowBlank="true" errorStyle="stop" operator="between" showDropDown="false" showErrorMessage="false" showInputMessage="false" sqref="E5:E304" type="list">
      <formula1>الإعدادات!$H$5:$H$16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9" min="7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24"/>
  </cols>
  <sheetData>
    <row r="1" customFormat="false" ht="30" hidden="false" customHeight="true" outlineLevel="0" collapsed="false">
      <c r="A1" s="18" t="s">
        <v>126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31.5" hidden="false" customHeight="true" outlineLevel="0" collapsed="false">
      <c r="A2" s="19" t="s">
        <v>127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4" customFormat="false" ht="33.75" hidden="false" customHeight="true" outlineLevel="0" collapsed="false">
      <c r="A4" s="20" t="s">
        <v>59</v>
      </c>
      <c r="B4" s="20" t="s">
        <v>109</v>
      </c>
      <c r="C4" s="20" t="s">
        <v>128</v>
      </c>
      <c r="D4" s="20" t="s">
        <v>62</v>
      </c>
      <c r="E4" s="20" t="s">
        <v>129</v>
      </c>
      <c r="F4" s="20" t="s">
        <v>130</v>
      </c>
      <c r="G4" s="20" t="s">
        <v>112</v>
      </c>
      <c r="H4" s="20" t="s">
        <v>67</v>
      </c>
      <c r="I4" s="20" t="s">
        <v>131</v>
      </c>
      <c r="J4" s="20" t="s">
        <v>132</v>
      </c>
      <c r="K4" s="20" t="s">
        <v>133</v>
      </c>
      <c r="L4" s="20" t="s">
        <v>70</v>
      </c>
      <c r="M4" s="20" t="s">
        <v>134</v>
      </c>
      <c r="N4" s="20" t="s">
        <v>56</v>
      </c>
      <c r="O4" s="20" t="s">
        <v>135</v>
      </c>
      <c r="P4" s="20" t="s">
        <v>136</v>
      </c>
      <c r="Q4" s="20" t="s">
        <v>72</v>
      </c>
    </row>
    <row r="5" customFormat="false" ht="15" hidden="false" customHeight="false" outlineLevel="0" collapsed="false">
      <c r="A5" s="21" t="s">
        <v>116</v>
      </c>
      <c r="B5" s="21" t="s">
        <v>137</v>
      </c>
      <c r="C5" s="21" t="s">
        <v>138</v>
      </c>
      <c r="D5" s="21" t="s">
        <v>76</v>
      </c>
      <c r="E5" s="30"/>
      <c r="F5" s="24"/>
      <c r="G5" s="31" t="n">
        <f aca="false">IF($A5="","",IFERROR(SUMIFS('حركة المخزون'!$G$5:$G$1004,'حركة المخزون'!$C$5:$C$1004,$A5,'حركة المخزون'!$B$5:$B$1004,"وارد شراء")/SUMIFS('حركة المخزون'!$E$5:$E$1004,'حركة المخزون'!$C$5:$C$1004,$A5,'حركة المخزون'!$B$5:$B$1004,"وارد شراء"),IFERROR(E5/F5,0)))</f>
        <v>0</v>
      </c>
      <c r="H5" s="24"/>
      <c r="I5" s="27" t="n">
        <f aca="false">IF($A5="","",SUMIFS('حركة المخزون'!$E$5:$E$1004,'حركة المخزون'!$C$5:$C$1004,$A5,'حركة المخزون'!$B$5:$B$1004,"وارد شراء"))</f>
        <v>0</v>
      </c>
      <c r="J5" s="27" t="n">
        <f aca="false">IF($A5="","",SUMIFS(الوصفات!$K$5:$K$304,الوصفات!$C$5:$C$304,$A5))</f>
        <v>0</v>
      </c>
      <c r="K5" s="27" t="n">
        <f aca="false">IF($A5="","",SUMIFS('حركة المخزون'!$E$5:$E$1004,'حركة المخزون'!$C$5:$C$1004,$A5,'حركة المخزون'!$B$5:$B$1004,"تسوية زيادة")-SUMIFS('حركة المخزون'!$E$5:$E$1004,'حركة المخزون'!$C$5:$C$1004,$A5,'حركة المخزون'!$B$5:$B$1004,"تالف")-SUMIFS('حركة المخزون'!$E$5:$E$1004,'حركة المخزون'!$C$5:$C$1004,$A5,'حركة المخزون'!$B$5:$B$1004,"عينة / هدية")-SUMIFS('حركة المخزون'!$E$5:$E$1004,'حركة المخزون'!$C$5:$C$1004,$A5,'حركة المخزون'!$B$5:$B$1004,"تسوية نقص"))</f>
        <v>0</v>
      </c>
      <c r="L5" s="27" t="n">
        <f aca="false">IF($A5="","",N(H5)+I5-J5+K5)</f>
        <v>0</v>
      </c>
      <c r="M5" s="24"/>
      <c r="N5" s="28" t="str">
        <f aca="false">IF($A5="","",IF(AND(H5="",I5=0,J5=0),"لم يُسجل رصيد",IF(L5&lt;=0,"نفد",IF(L5&lt;=N(M5),"اطلب الآن","متوفر"))))</f>
        <v>لم يُسجل رصيد</v>
      </c>
      <c r="O5" s="25" t="n">
        <f aca="false">IF($A5="","",L5*G5)</f>
        <v>0</v>
      </c>
      <c r="P5" s="29"/>
      <c r="Q5" s="29" t="s">
        <v>139</v>
      </c>
    </row>
    <row r="6" customFormat="false" ht="15" hidden="false" customHeight="false" outlineLevel="0" collapsed="false">
      <c r="A6" s="21" t="s">
        <v>119</v>
      </c>
      <c r="B6" s="21" t="s">
        <v>140</v>
      </c>
      <c r="C6" s="21" t="s">
        <v>138</v>
      </c>
      <c r="D6" s="21" t="s">
        <v>76</v>
      </c>
      <c r="E6" s="30"/>
      <c r="F6" s="24"/>
      <c r="G6" s="31" t="n">
        <f aca="false">IF($A6="","",IFERROR(SUMIFS('حركة المخزون'!$G$5:$G$1004,'حركة المخزون'!$C$5:$C$1004,$A6,'حركة المخزون'!$B$5:$B$1004,"وارد شراء")/SUMIFS('حركة المخزون'!$E$5:$E$1004,'حركة المخزون'!$C$5:$C$1004,$A6,'حركة المخزون'!$B$5:$B$1004,"وارد شراء"),IFERROR(E6/F6,0)))</f>
        <v>0</v>
      </c>
      <c r="H6" s="24"/>
      <c r="I6" s="27" t="n">
        <f aca="false">IF($A6="","",SUMIFS('حركة المخزون'!$E$5:$E$1004,'حركة المخزون'!$C$5:$C$1004,$A6,'حركة المخزون'!$B$5:$B$1004,"وارد شراء"))</f>
        <v>0</v>
      </c>
      <c r="J6" s="27" t="n">
        <f aca="false">IF($A6="","",SUMIFS(الوصفات!$K$5:$K$304,الوصفات!$C$5:$C$304,$A6))</f>
        <v>0</v>
      </c>
      <c r="K6" s="27" t="n">
        <f aca="false">IF($A6="","",SUMIFS('حركة المخزون'!$E$5:$E$1004,'حركة المخزون'!$C$5:$C$1004,$A6,'حركة المخزون'!$B$5:$B$1004,"تسوية زيادة")-SUMIFS('حركة المخزون'!$E$5:$E$1004,'حركة المخزون'!$C$5:$C$1004,$A6,'حركة المخزون'!$B$5:$B$1004,"تالف")-SUMIFS('حركة المخزون'!$E$5:$E$1004,'حركة المخزون'!$C$5:$C$1004,$A6,'حركة المخزون'!$B$5:$B$1004,"عينة / هدية")-SUMIFS('حركة المخزون'!$E$5:$E$1004,'حركة المخزون'!$C$5:$C$1004,$A6,'حركة المخزون'!$B$5:$B$1004,"تسوية نقص"))</f>
        <v>0</v>
      </c>
      <c r="L6" s="27" t="n">
        <f aca="false">IF($A6="","",N(H6)+I6-J6+K6)</f>
        <v>0</v>
      </c>
      <c r="M6" s="24"/>
      <c r="N6" s="28" t="str">
        <f aca="false">IF($A6="","",IF(AND(H6="",I6=0,J6=0),"لم يُسجل رصيد",IF(L6&lt;=0,"نفد",IF(L6&lt;=N(M6),"اطلب الآن","متوفر"))))</f>
        <v>لم يُسجل رصيد</v>
      </c>
      <c r="O6" s="25" t="n">
        <f aca="false">IF($A6="","",L6*G6)</f>
        <v>0</v>
      </c>
      <c r="P6" s="29"/>
      <c r="Q6" s="29" t="s">
        <v>139</v>
      </c>
    </row>
    <row r="7" customFormat="false" ht="15" hidden="false" customHeight="false" outlineLevel="0" collapsed="false">
      <c r="A7" s="21" t="s">
        <v>141</v>
      </c>
      <c r="B7" s="21" t="s">
        <v>142</v>
      </c>
      <c r="C7" s="21" t="s">
        <v>138</v>
      </c>
      <c r="D7" s="21" t="s">
        <v>76</v>
      </c>
      <c r="E7" s="30"/>
      <c r="F7" s="24"/>
      <c r="G7" s="31" t="n">
        <f aca="false">IF($A7="","",IFERROR(SUMIFS('حركة المخزون'!$G$5:$G$1004,'حركة المخزون'!$C$5:$C$1004,$A7,'حركة المخزون'!$B$5:$B$1004,"وارد شراء")/SUMIFS('حركة المخزون'!$E$5:$E$1004,'حركة المخزون'!$C$5:$C$1004,$A7,'حركة المخزون'!$B$5:$B$1004,"وارد شراء"),IFERROR(E7/F7,0)))</f>
        <v>0</v>
      </c>
      <c r="H7" s="24"/>
      <c r="I7" s="27" t="n">
        <f aca="false">IF($A7="","",SUMIFS('حركة المخزون'!$E$5:$E$1004,'حركة المخزون'!$C$5:$C$1004,$A7,'حركة المخزون'!$B$5:$B$1004,"وارد شراء"))</f>
        <v>0</v>
      </c>
      <c r="J7" s="27" t="n">
        <f aca="false">IF($A7="","",SUMIFS(الوصفات!$K$5:$K$304,الوصفات!$C$5:$C$304,$A7))</f>
        <v>0</v>
      </c>
      <c r="K7" s="27" t="n">
        <f aca="false">IF($A7="","",SUMIFS('حركة المخزون'!$E$5:$E$1004,'حركة المخزون'!$C$5:$C$1004,$A7,'حركة المخزون'!$B$5:$B$1004,"تسوية زيادة")-SUMIFS('حركة المخزون'!$E$5:$E$1004,'حركة المخزون'!$C$5:$C$1004,$A7,'حركة المخزون'!$B$5:$B$1004,"تالف")-SUMIFS('حركة المخزون'!$E$5:$E$1004,'حركة المخزون'!$C$5:$C$1004,$A7,'حركة المخزون'!$B$5:$B$1004,"عينة / هدية")-SUMIFS('حركة المخزون'!$E$5:$E$1004,'حركة المخزون'!$C$5:$C$1004,$A7,'حركة المخزون'!$B$5:$B$1004,"تسوية نقص"))</f>
        <v>0</v>
      </c>
      <c r="L7" s="27" t="n">
        <f aca="false">IF($A7="","",N(H7)+I7-J7+K7)</f>
        <v>0</v>
      </c>
      <c r="M7" s="24"/>
      <c r="N7" s="28" t="str">
        <f aca="false">IF($A7="","",IF(AND(H7="",I7=0,J7=0),"لم يُسجل رصيد",IF(L7&lt;=0,"نفد",IF(L7&lt;=N(M7),"اطلب الآن","متوفر"))))</f>
        <v>لم يُسجل رصيد</v>
      </c>
      <c r="O7" s="25" t="n">
        <f aca="false">IF($A7="","",L7*G7)</f>
        <v>0</v>
      </c>
      <c r="P7" s="29"/>
      <c r="Q7" s="29" t="s">
        <v>139</v>
      </c>
    </row>
    <row r="8" customFormat="false" ht="15" hidden="false" customHeight="false" outlineLevel="0" collapsed="false">
      <c r="A8" s="21" t="s">
        <v>143</v>
      </c>
      <c r="B8" s="21" t="s">
        <v>144</v>
      </c>
      <c r="C8" s="21" t="s">
        <v>138</v>
      </c>
      <c r="D8" s="21" t="s">
        <v>76</v>
      </c>
      <c r="E8" s="30"/>
      <c r="F8" s="24"/>
      <c r="G8" s="31" t="n">
        <f aca="false">IF($A8="","",IFERROR(SUMIFS('حركة المخزون'!$G$5:$G$1004,'حركة المخزون'!$C$5:$C$1004,$A8,'حركة المخزون'!$B$5:$B$1004,"وارد شراء")/SUMIFS('حركة المخزون'!$E$5:$E$1004,'حركة المخزون'!$C$5:$C$1004,$A8,'حركة المخزون'!$B$5:$B$1004,"وارد شراء"),IFERROR(E8/F8,0)))</f>
        <v>0</v>
      </c>
      <c r="H8" s="24"/>
      <c r="I8" s="27" t="n">
        <f aca="false">IF($A8="","",SUMIFS('حركة المخزون'!$E$5:$E$1004,'حركة المخزون'!$C$5:$C$1004,$A8,'حركة المخزون'!$B$5:$B$1004,"وارد شراء"))</f>
        <v>0</v>
      </c>
      <c r="J8" s="27" t="n">
        <f aca="false">IF($A8="","",SUMIFS(الوصفات!$K$5:$K$304,الوصفات!$C$5:$C$304,$A8))</f>
        <v>0</v>
      </c>
      <c r="K8" s="27" t="n">
        <f aca="false">IF($A8="","",SUMIFS('حركة المخزون'!$E$5:$E$1004,'حركة المخزون'!$C$5:$C$1004,$A8,'حركة المخزون'!$B$5:$B$1004,"تسوية زيادة")-SUMIFS('حركة المخزون'!$E$5:$E$1004,'حركة المخزون'!$C$5:$C$1004,$A8,'حركة المخزون'!$B$5:$B$1004,"تالف")-SUMIFS('حركة المخزون'!$E$5:$E$1004,'حركة المخزون'!$C$5:$C$1004,$A8,'حركة المخزون'!$B$5:$B$1004,"عينة / هدية")-SUMIFS('حركة المخزون'!$E$5:$E$1004,'حركة المخزون'!$C$5:$C$1004,$A8,'حركة المخزون'!$B$5:$B$1004,"تسوية نقص"))</f>
        <v>0</v>
      </c>
      <c r="L8" s="27" t="n">
        <f aca="false">IF($A8="","",N(H8)+I8-J8+K8)</f>
        <v>0</v>
      </c>
      <c r="M8" s="24"/>
      <c r="N8" s="28" t="str">
        <f aca="false">IF($A8="","",IF(AND(H8="",I8=0,J8=0),"لم يُسجل رصيد",IF(L8&lt;=0,"نفد",IF(L8&lt;=N(M8),"اطلب الآن","متوفر"))))</f>
        <v>لم يُسجل رصيد</v>
      </c>
      <c r="O8" s="25" t="n">
        <f aca="false">IF($A8="","",L8*G8)</f>
        <v>0</v>
      </c>
      <c r="P8" s="29"/>
      <c r="Q8" s="29" t="s">
        <v>139</v>
      </c>
    </row>
    <row r="9" customFormat="false" ht="15" hidden="false" customHeight="false" outlineLevel="0" collapsed="false">
      <c r="A9" s="21" t="s">
        <v>145</v>
      </c>
      <c r="B9" s="21" t="s">
        <v>146</v>
      </c>
      <c r="C9" s="21" t="s">
        <v>138</v>
      </c>
      <c r="D9" s="21" t="s">
        <v>76</v>
      </c>
      <c r="E9" s="30"/>
      <c r="F9" s="24"/>
      <c r="G9" s="31" t="n">
        <f aca="false">IF($A9="","",IFERROR(SUMIFS('حركة المخزون'!$G$5:$G$1004,'حركة المخزون'!$C$5:$C$1004,$A9,'حركة المخزون'!$B$5:$B$1004,"وارد شراء")/SUMIFS('حركة المخزون'!$E$5:$E$1004,'حركة المخزون'!$C$5:$C$1004,$A9,'حركة المخزون'!$B$5:$B$1004,"وارد شراء"),IFERROR(E9/F9,0)))</f>
        <v>0</v>
      </c>
      <c r="H9" s="24"/>
      <c r="I9" s="27" t="n">
        <f aca="false">IF($A9="","",SUMIFS('حركة المخزون'!$E$5:$E$1004,'حركة المخزون'!$C$5:$C$1004,$A9,'حركة المخزون'!$B$5:$B$1004,"وارد شراء"))</f>
        <v>0</v>
      </c>
      <c r="J9" s="27" t="n">
        <f aca="false">IF($A9="","",SUMIFS(الوصفات!$K$5:$K$304,الوصفات!$C$5:$C$304,$A9))</f>
        <v>0</v>
      </c>
      <c r="K9" s="27" t="n">
        <f aca="false">IF($A9="","",SUMIFS('حركة المخزون'!$E$5:$E$1004,'حركة المخزون'!$C$5:$C$1004,$A9,'حركة المخزون'!$B$5:$B$1004,"تسوية زيادة")-SUMIFS('حركة المخزون'!$E$5:$E$1004,'حركة المخزون'!$C$5:$C$1004,$A9,'حركة المخزون'!$B$5:$B$1004,"تالف")-SUMIFS('حركة المخزون'!$E$5:$E$1004,'حركة المخزون'!$C$5:$C$1004,$A9,'حركة المخزون'!$B$5:$B$1004,"عينة / هدية")-SUMIFS('حركة المخزون'!$E$5:$E$1004,'حركة المخزون'!$C$5:$C$1004,$A9,'حركة المخزون'!$B$5:$B$1004,"تسوية نقص"))</f>
        <v>0</v>
      </c>
      <c r="L9" s="27" t="n">
        <f aca="false">IF($A9="","",N(H9)+I9-J9+K9)</f>
        <v>0</v>
      </c>
      <c r="M9" s="24"/>
      <c r="N9" s="28" t="str">
        <f aca="false">IF($A9="","",IF(AND(H9="",I9=0,J9=0),"لم يُسجل رصيد",IF(L9&lt;=0,"نفد",IF(L9&lt;=N(M9),"اطلب الآن","متوفر"))))</f>
        <v>لم يُسجل رصيد</v>
      </c>
      <c r="O9" s="25" t="n">
        <f aca="false">IF($A9="","",L9*G9)</f>
        <v>0</v>
      </c>
      <c r="P9" s="29"/>
      <c r="Q9" s="29" t="s">
        <v>139</v>
      </c>
    </row>
    <row r="10" customFormat="false" ht="15" hidden="false" customHeight="false" outlineLevel="0" collapsed="false">
      <c r="A10" s="21" t="s">
        <v>147</v>
      </c>
      <c r="B10" s="21" t="s">
        <v>148</v>
      </c>
      <c r="C10" s="21" t="s">
        <v>138</v>
      </c>
      <c r="D10" s="21" t="s">
        <v>90</v>
      </c>
      <c r="E10" s="30"/>
      <c r="F10" s="24"/>
      <c r="G10" s="31" t="n">
        <f aca="false">IF($A10="","",IFERROR(SUMIFS('حركة المخزون'!$G$5:$G$1004,'حركة المخزون'!$C$5:$C$1004,$A10,'حركة المخزون'!$B$5:$B$1004,"وارد شراء")/SUMIFS('حركة المخزون'!$E$5:$E$1004,'حركة المخزون'!$C$5:$C$1004,$A10,'حركة المخزون'!$B$5:$B$1004,"وارد شراء"),IFERROR(E10/F10,0)))</f>
        <v>0</v>
      </c>
      <c r="H10" s="24"/>
      <c r="I10" s="27" t="n">
        <f aca="false">IF($A10="","",SUMIFS('حركة المخزون'!$E$5:$E$1004,'حركة المخزون'!$C$5:$C$1004,$A10,'حركة المخزون'!$B$5:$B$1004,"وارد شراء"))</f>
        <v>0</v>
      </c>
      <c r="J10" s="27" t="n">
        <f aca="false">IF($A10="","",SUMIFS(الوصفات!$K$5:$K$304,الوصفات!$C$5:$C$304,$A10))</f>
        <v>0</v>
      </c>
      <c r="K10" s="27" t="n">
        <f aca="false">IF($A10="","",SUMIFS('حركة المخزون'!$E$5:$E$1004,'حركة المخزون'!$C$5:$C$1004,$A10,'حركة المخزون'!$B$5:$B$1004,"تسوية زيادة")-SUMIFS('حركة المخزون'!$E$5:$E$1004,'حركة المخزون'!$C$5:$C$1004,$A10,'حركة المخزون'!$B$5:$B$1004,"تالف")-SUMIFS('حركة المخزون'!$E$5:$E$1004,'حركة المخزون'!$C$5:$C$1004,$A10,'حركة المخزون'!$B$5:$B$1004,"عينة / هدية")-SUMIFS('حركة المخزون'!$E$5:$E$1004,'حركة المخزون'!$C$5:$C$1004,$A10,'حركة المخزون'!$B$5:$B$1004,"تسوية نقص"))</f>
        <v>0</v>
      </c>
      <c r="L10" s="27" t="n">
        <f aca="false">IF($A10="","",N(H10)+I10-J10+K10)</f>
        <v>0</v>
      </c>
      <c r="M10" s="24"/>
      <c r="N10" s="28" t="str">
        <f aca="false">IF($A10="","",IF(AND(H10="",I10=0,J10=0),"لم يُسجل رصيد",IF(L10&lt;=0,"نفد",IF(L10&lt;=N(M10),"اطلب الآن","متوفر"))))</f>
        <v>لم يُسجل رصيد</v>
      </c>
      <c r="O10" s="25" t="n">
        <f aca="false">IF($A10="","",L10*G10)</f>
        <v>0</v>
      </c>
      <c r="P10" s="29"/>
      <c r="Q10" s="29" t="s">
        <v>139</v>
      </c>
    </row>
    <row r="11" customFormat="false" ht="15" hidden="false" customHeight="false" outlineLevel="0" collapsed="false">
      <c r="A11" s="21" t="s">
        <v>149</v>
      </c>
      <c r="B11" s="21" t="s">
        <v>150</v>
      </c>
      <c r="C11" s="21" t="s">
        <v>138</v>
      </c>
      <c r="D11" s="21" t="s">
        <v>76</v>
      </c>
      <c r="E11" s="30"/>
      <c r="F11" s="24"/>
      <c r="G11" s="31" t="n">
        <f aca="false">IF($A11="","",IFERROR(SUMIFS('حركة المخزون'!$G$5:$G$1004,'حركة المخزون'!$C$5:$C$1004,$A11,'حركة المخزون'!$B$5:$B$1004,"وارد شراء")/SUMIFS('حركة المخزون'!$E$5:$E$1004,'حركة المخزون'!$C$5:$C$1004,$A11,'حركة المخزون'!$B$5:$B$1004,"وارد شراء"),IFERROR(E11/F11,0)))</f>
        <v>0</v>
      </c>
      <c r="H11" s="24"/>
      <c r="I11" s="27" t="n">
        <f aca="false">IF($A11="","",SUMIFS('حركة المخزون'!$E$5:$E$1004,'حركة المخزون'!$C$5:$C$1004,$A11,'حركة المخزون'!$B$5:$B$1004,"وارد شراء"))</f>
        <v>0</v>
      </c>
      <c r="J11" s="27" t="n">
        <f aca="false">IF($A11="","",SUMIFS(الوصفات!$K$5:$K$304,الوصفات!$C$5:$C$304,$A11))</f>
        <v>0</v>
      </c>
      <c r="K11" s="27" t="n">
        <f aca="false">IF($A11="","",SUMIFS('حركة المخزون'!$E$5:$E$1004,'حركة المخزون'!$C$5:$C$1004,$A11,'حركة المخزون'!$B$5:$B$1004,"تسوية زيادة")-SUMIFS('حركة المخزون'!$E$5:$E$1004,'حركة المخزون'!$C$5:$C$1004,$A11,'حركة المخزون'!$B$5:$B$1004,"تالف")-SUMIFS('حركة المخزون'!$E$5:$E$1004,'حركة المخزون'!$C$5:$C$1004,$A11,'حركة المخزون'!$B$5:$B$1004,"عينة / هدية")-SUMIFS('حركة المخزون'!$E$5:$E$1004,'حركة المخزون'!$C$5:$C$1004,$A11,'حركة المخزون'!$B$5:$B$1004,"تسوية نقص"))</f>
        <v>0</v>
      </c>
      <c r="L11" s="27" t="n">
        <f aca="false">IF($A11="","",N(H11)+I11-J11+K11)</f>
        <v>0</v>
      </c>
      <c r="M11" s="24"/>
      <c r="N11" s="28" t="str">
        <f aca="false">IF($A11="","",IF(AND(H11="",I11=0,J11=0),"لم يُسجل رصيد",IF(L11&lt;=0,"نفد",IF(L11&lt;=N(M11),"اطلب الآن","متوفر"))))</f>
        <v>لم يُسجل رصيد</v>
      </c>
      <c r="O11" s="25" t="n">
        <f aca="false">IF($A11="","",L11*G11)</f>
        <v>0</v>
      </c>
      <c r="P11" s="29"/>
      <c r="Q11" s="29" t="s">
        <v>139</v>
      </c>
    </row>
    <row r="12" customFormat="false" ht="15" hidden="false" customHeight="false" outlineLevel="0" collapsed="false">
      <c r="A12" s="21" t="s">
        <v>151</v>
      </c>
      <c r="B12" s="21" t="s">
        <v>152</v>
      </c>
      <c r="C12" s="21" t="s">
        <v>138</v>
      </c>
      <c r="D12" s="21" t="s">
        <v>76</v>
      </c>
      <c r="E12" s="30"/>
      <c r="F12" s="24"/>
      <c r="G12" s="31" t="n">
        <f aca="false">IF($A12="","",IFERROR(SUMIFS('حركة المخزون'!$G$5:$G$1004,'حركة المخزون'!$C$5:$C$1004,$A12,'حركة المخزون'!$B$5:$B$1004,"وارد شراء")/SUMIFS('حركة المخزون'!$E$5:$E$1004,'حركة المخزون'!$C$5:$C$1004,$A12,'حركة المخزون'!$B$5:$B$1004,"وارد شراء"),IFERROR(E12/F12,0)))</f>
        <v>0</v>
      </c>
      <c r="H12" s="24"/>
      <c r="I12" s="27" t="n">
        <f aca="false">IF($A12="","",SUMIFS('حركة المخزون'!$E$5:$E$1004,'حركة المخزون'!$C$5:$C$1004,$A12,'حركة المخزون'!$B$5:$B$1004,"وارد شراء"))</f>
        <v>0</v>
      </c>
      <c r="J12" s="27" t="n">
        <f aca="false">IF($A12="","",SUMIFS(الوصفات!$K$5:$K$304,الوصفات!$C$5:$C$304,$A12))</f>
        <v>0</v>
      </c>
      <c r="K12" s="27" t="n">
        <f aca="false">IF($A12="","",SUMIFS('حركة المخزون'!$E$5:$E$1004,'حركة المخزون'!$C$5:$C$1004,$A12,'حركة المخزون'!$B$5:$B$1004,"تسوية زيادة")-SUMIFS('حركة المخزون'!$E$5:$E$1004,'حركة المخزون'!$C$5:$C$1004,$A12,'حركة المخزون'!$B$5:$B$1004,"تالف")-SUMIFS('حركة المخزون'!$E$5:$E$1004,'حركة المخزون'!$C$5:$C$1004,$A12,'حركة المخزون'!$B$5:$B$1004,"عينة / هدية")-SUMIFS('حركة المخزون'!$E$5:$E$1004,'حركة المخزون'!$C$5:$C$1004,$A12,'حركة المخزون'!$B$5:$B$1004,"تسوية نقص"))</f>
        <v>0</v>
      </c>
      <c r="L12" s="27" t="n">
        <f aca="false">IF($A12="","",N(H12)+I12-J12+K12)</f>
        <v>0</v>
      </c>
      <c r="M12" s="24"/>
      <c r="N12" s="28" t="str">
        <f aca="false">IF($A12="","",IF(AND(H12="",I12=0,J12=0),"لم يُسجل رصيد",IF(L12&lt;=0,"نفد",IF(L12&lt;=N(M12),"اطلب الآن","متوفر"))))</f>
        <v>لم يُسجل رصيد</v>
      </c>
      <c r="O12" s="25" t="n">
        <f aca="false">IF($A12="","",L12*G12)</f>
        <v>0</v>
      </c>
      <c r="P12" s="29"/>
      <c r="Q12" s="29" t="s">
        <v>139</v>
      </c>
    </row>
    <row r="13" customFormat="false" ht="15" hidden="false" customHeight="false" outlineLevel="0" collapsed="false">
      <c r="A13" s="21" t="s">
        <v>153</v>
      </c>
      <c r="B13" s="21" t="s">
        <v>154</v>
      </c>
      <c r="C13" s="21" t="s">
        <v>138</v>
      </c>
      <c r="D13" s="21" t="s">
        <v>90</v>
      </c>
      <c r="E13" s="30"/>
      <c r="F13" s="24"/>
      <c r="G13" s="31" t="n">
        <f aca="false">IF($A13="","",IFERROR(SUMIFS('حركة المخزون'!$G$5:$G$1004,'حركة المخزون'!$C$5:$C$1004,$A13,'حركة المخزون'!$B$5:$B$1004,"وارد شراء")/SUMIFS('حركة المخزون'!$E$5:$E$1004,'حركة المخزون'!$C$5:$C$1004,$A13,'حركة المخزون'!$B$5:$B$1004,"وارد شراء"),IFERROR(E13/F13,0)))</f>
        <v>0</v>
      </c>
      <c r="H13" s="24"/>
      <c r="I13" s="27" t="n">
        <f aca="false">IF($A13="","",SUMIFS('حركة المخزون'!$E$5:$E$1004,'حركة المخزون'!$C$5:$C$1004,$A13,'حركة المخزون'!$B$5:$B$1004,"وارد شراء"))</f>
        <v>0</v>
      </c>
      <c r="J13" s="27" t="n">
        <f aca="false">IF($A13="","",SUMIFS(الوصفات!$K$5:$K$304,الوصفات!$C$5:$C$304,$A13))</f>
        <v>0</v>
      </c>
      <c r="K13" s="27" t="n">
        <f aca="false">IF($A13="","",SUMIFS('حركة المخزون'!$E$5:$E$1004,'حركة المخزون'!$C$5:$C$1004,$A13,'حركة المخزون'!$B$5:$B$1004,"تسوية زيادة")-SUMIFS('حركة المخزون'!$E$5:$E$1004,'حركة المخزون'!$C$5:$C$1004,$A13,'حركة المخزون'!$B$5:$B$1004,"تالف")-SUMIFS('حركة المخزون'!$E$5:$E$1004,'حركة المخزون'!$C$5:$C$1004,$A13,'حركة المخزون'!$B$5:$B$1004,"عينة / هدية")-SUMIFS('حركة المخزون'!$E$5:$E$1004,'حركة المخزون'!$C$5:$C$1004,$A13,'حركة المخزون'!$B$5:$B$1004,"تسوية نقص"))</f>
        <v>0</v>
      </c>
      <c r="L13" s="27" t="n">
        <f aca="false">IF($A13="","",N(H13)+I13-J13+K13)</f>
        <v>0</v>
      </c>
      <c r="M13" s="24"/>
      <c r="N13" s="28" t="str">
        <f aca="false">IF($A13="","",IF(AND(H13="",I13=0,J13=0),"لم يُسجل رصيد",IF(L13&lt;=0,"نفد",IF(L13&lt;=N(M13),"اطلب الآن","متوفر"))))</f>
        <v>لم يُسجل رصيد</v>
      </c>
      <c r="O13" s="25" t="n">
        <f aca="false">IF($A13="","",L13*G13)</f>
        <v>0</v>
      </c>
      <c r="P13" s="29"/>
      <c r="Q13" s="29" t="s">
        <v>139</v>
      </c>
    </row>
    <row r="14" customFormat="false" ht="15" hidden="false" customHeight="false" outlineLevel="0" collapsed="false">
      <c r="A14" s="21" t="s">
        <v>155</v>
      </c>
      <c r="B14" s="21" t="s">
        <v>156</v>
      </c>
      <c r="C14" s="21" t="s">
        <v>138</v>
      </c>
      <c r="D14" s="21" t="s">
        <v>90</v>
      </c>
      <c r="E14" s="30"/>
      <c r="F14" s="24"/>
      <c r="G14" s="31" t="n">
        <f aca="false">IF($A14="","",IFERROR(SUMIFS('حركة المخزون'!$G$5:$G$1004,'حركة المخزون'!$C$5:$C$1004,$A14,'حركة المخزون'!$B$5:$B$1004,"وارد شراء")/SUMIFS('حركة المخزون'!$E$5:$E$1004,'حركة المخزون'!$C$5:$C$1004,$A14,'حركة المخزون'!$B$5:$B$1004,"وارد شراء"),IFERROR(E14/F14,0)))</f>
        <v>0</v>
      </c>
      <c r="H14" s="24"/>
      <c r="I14" s="27" t="n">
        <f aca="false">IF($A14="","",SUMIFS('حركة المخزون'!$E$5:$E$1004,'حركة المخزون'!$C$5:$C$1004,$A14,'حركة المخزون'!$B$5:$B$1004,"وارد شراء"))</f>
        <v>0</v>
      </c>
      <c r="J14" s="27" t="n">
        <f aca="false">IF($A14="","",SUMIFS(الوصفات!$K$5:$K$304,الوصفات!$C$5:$C$304,$A14))</f>
        <v>0</v>
      </c>
      <c r="K14" s="27" t="n">
        <f aca="false">IF($A14="","",SUMIFS('حركة المخزون'!$E$5:$E$1004,'حركة المخزون'!$C$5:$C$1004,$A14,'حركة المخزون'!$B$5:$B$1004,"تسوية زيادة")-SUMIFS('حركة المخزون'!$E$5:$E$1004,'حركة المخزون'!$C$5:$C$1004,$A14,'حركة المخزون'!$B$5:$B$1004,"تالف")-SUMIFS('حركة المخزون'!$E$5:$E$1004,'حركة المخزون'!$C$5:$C$1004,$A14,'حركة المخزون'!$B$5:$B$1004,"عينة / هدية")-SUMIFS('حركة المخزون'!$E$5:$E$1004,'حركة المخزون'!$C$5:$C$1004,$A14,'حركة المخزون'!$B$5:$B$1004,"تسوية نقص"))</f>
        <v>0</v>
      </c>
      <c r="L14" s="27" t="n">
        <f aca="false">IF($A14="","",N(H14)+I14-J14+K14)</f>
        <v>0</v>
      </c>
      <c r="M14" s="24"/>
      <c r="N14" s="28" t="str">
        <f aca="false">IF($A14="","",IF(AND(H14="",I14=0,J14=0),"لم يُسجل رصيد",IF(L14&lt;=0,"نفد",IF(L14&lt;=N(M14),"اطلب الآن","متوفر"))))</f>
        <v>لم يُسجل رصيد</v>
      </c>
      <c r="O14" s="25" t="n">
        <f aca="false">IF($A14="","",L14*G14)</f>
        <v>0</v>
      </c>
      <c r="P14" s="29"/>
      <c r="Q14" s="29" t="s">
        <v>139</v>
      </c>
    </row>
    <row r="15" customFormat="false" ht="15" hidden="false" customHeight="false" outlineLevel="0" collapsed="false">
      <c r="A15" s="21" t="s">
        <v>121</v>
      </c>
      <c r="B15" s="21" t="s">
        <v>157</v>
      </c>
      <c r="C15" s="21" t="s">
        <v>158</v>
      </c>
      <c r="D15" s="21" t="s">
        <v>159</v>
      </c>
      <c r="E15" s="30"/>
      <c r="F15" s="24"/>
      <c r="G15" s="31" t="n">
        <f aca="false">IF($A15="","",IFERROR(SUMIFS('حركة المخزون'!$G$5:$G$1004,'حركة المخزون'!$C$5:$C$1004,$A15,'حركة المخزون'!$B$5:$B$1004,"وارد شراء")/SUMIFS('حركة المخزون'!$E$5:$E$1004,'حركة المخزون'!$C$5:$C$1004,$A15,'حركة المخزون'!$B$5:$B$1004,"وارد شراء"),IFERROR(E15/F15,0)))</f>
        <v>0</v>
      </c>
      <c r="H15" s="24"/>
      <c r="I15" s="27" t="n">
        <f aca="false">IF($A15="","",SUMIFS('حركة المخزون'!$E$5:$E$1004,'حركة المخزون'!$C$5:$C$1004,$A15,'حركة المخزون'!$B$5:$B$1004,"وارد شراء"))</f>
        <v>0</v>
      </c>
      <c r="J15" s="27" t="n">
        <f aca="false">IF($A15="","",SUMIFS(الوصفات!$K$5:$K$304,الوصفات!$C$5:$C$304,$A15))</f>
        <v>0</v>
      </c>
      <c r="K15" s="27" t="n">
        <f aca="false">IF($A15="","",SUMIFS('حركة المخزون'!$E$5:$E$1004,'حركة المخزون'!$C$5:$C$1004,$A15,'حركة المخزون'!$B$5:$B$1004,"تسوية زيادة")-SUMIFS('حركة المخزون'!$E$5:$E$1004,'حركة المخزون'!$C$5:$C$1004,$A15,'حركة المخزون'!$B$5:$B$1004,"تالف")-SUMIFS('حركة المخزون'!$E$5:$E$1004,'حركة المخزون'!$C$5:$C$1004,$A15,'حركة المخزون'!$B$5:$B$1004,"عينة / هدية")-SUMIFS('حركة المخزون'!$E$5:$E$1004,'حركة المخزون'!$C$5:$C$1004,$A15,'حركة المخزون'!$B$5:$B$1004,"تسوية نقص"))</f>
        <v>0</v>
      </c>
      <c r="L15" s="27" t="n">
        <f aca="false">IF($A15="","",N(H15)+I15-J15+K15)</f>
        <v>0</v>
      </c>
      <c r="M15" s="24"/>
      <c r="N15" s="28" t="str">
        <f aca="false">IF($A15="","",IF(AND(H15="",I15=0,J15=0),"لم يُسجل رصيد",IF(L15&lt;=0,"نفد",IF(L15&lt;=N(M15),"اطلب الآن","متوفر"))))</f>
        <v>لم يُسجل رصيد</v>
      </c>
      <c r="O15" s="25" t="n">
        <f aca="false">IF($A15="","",L15*G15)</f>
        <v>0</v>
      </c>
      <c r="P15" s="29"/>
      <c r="Q15" s="29" t="s">
        <v>139</v>
      </c>
    </row>
    <row r="16" customFormat="false" ht="15" hidden="false" customHeight="false" outlineLevel="0" collapsed="false">
      <c r="A16" s="21" t="s">
        <v>160</v>
      </c>
      <c r="B16" s="21" t="s">
        <v>161</v>
      </c>
      <c r="C16" s="21" t="s">
        <v>158</v>
      </c>
      <c r="D16" s="21" t="s">
        <v>159</v>
      </c>
      <c r="E16" s="30"/>
      <c r="F16" s="24"/>
      <c r="G16" s="31" t="n">
        <f aca="false">IF($A16="","",IFERROR(SUMIFS('حركة المخزون'!$G$5:$G$1004,'حركة المخزون'!$C$5:$C$1004,$A16,'حركة المخزون'!$B$5:$B$1004,"وارد شراء")/SUMIFS('حركة المخزون'!$E$5:$E$1004,'حركة المخزون'!$C$5:$C$1004,$A16,'حركة المخزون'!$B$5:$B$1004,"وارد شراء"),IFERROR(E16/F16,0)))</f>
        <v>0</v>
      </c>
      <c r="H16" s="24"/>
      <c r="I16" s="27" t="n">
        <f aca="false">IF($A16="","",SUMIFS('حركة المخزون'!$E$5:$E$1004,'حركة المخزون'!$C$5:$C$1004,$A16,'حركة المخزون'!$B$5:$B$1004,"وارد شراء"))</f>
        <v>0</v>
      </c>
      <c r="J16" s="27" t="n">
        <f aca="false">IF($A16="","",SUMIFS(الوصفات!$K$5:$K$304,الوصفات!$C$5:$C$304,$A16))</f>
        <v>0</v>
      </c>
      <c r="K16" s="27" t="n">
        <f aca="false">IF($A16="","",SUMIFS('حركة المخزون'!$E$5:$E$1004,'حركة المخزون'!$C$5:$C$1004,$A16,'حركة المخزون'!$B$5:$B$1004,"تسوية زيادة")-SUMIFS('حركة المخزون'!$E$5:$E$1004,'حركة المخزون'!$C$5:$C$1004,$A16,'حركة المخزون'!$B$5:$B$1004,"تالف")-SUMIFS('حركة المخزون'!$E$5:$E$1004,'حركة المخزون'!$C$5:$C$1004,$A16,'حركة المخزون'!$B$5:$B$1004,"عينة / هدية")-SUMIFS('حركة المخزون'!$E$5:$E$1004,'حركة المخزون'!$C$5:$C$1004,$A16,'حركة المخزون'!$B$5:$B$1004,"تسوية نقص"))</f>
        <v>0</v>
      </c>
      <c r="L16" s="27" t="n">
        <f aca="false">IF($A16="","",N(H16)+I16-J16+K16)</f>
        <v>0</v>
      </c>
      <c r="M16" s="24"/>
      <c r="N16" s="28" t="str">
        <f aca="false">IF($A16="","",IF(AND(H16="",I16=0,J16=0),"لم يُسجل رصيد",IF(L16&lt;=0,"نفد",IF(L16&lt;=N(M16),"اطلب الآن","متوفر"))))</f>
        <v>لم يُسجل رصيد</v>
      </c>
      <c r="O16" s="25" t="n">
        <f aca="false">IF($A16="","",L16*G16)</f>
        <v>0</v>
      </c>
      <c r="P16" s="29"/>
      <c r="Q16" s="29" t="s">
        <v>139</v>
      </c>
    </row>
    <row r="17" customFormat="false" ht="15" hidden="false" customHeight="false" outlineLevel="0" collapsed="false">
      <c r="A17" s="21" t="s">
        <v>124</v>
      </c>
      <c r="B17" s="21" t="s">
        <v>162</v>
      </c>
      <c r="C17" s="21" t="s">
        <v>158</v>
      </c>
      <c r="D17" s="21" t="s">
        <v>159</v>
      </c>
      <c r="E17" s="30"/>
      <c r="F17" s="24"/>
      <c r="G17" s="31" t="n">
        <f aca="false">IF($A17="","",IFERROR(SUMIFS('حركة المخزون'!$G$5:$G$1004,'حركة المخزون'!$C$5:$C$1004,$A17,'حركة المخزون'!$B$5:$B$1004,"وارد شراء")/SUMIFS('حركة المخزون'!$E$5:$E$1004,'حركة المخزون'!$C$5:$C$1004,$A17,'حركة المخزون'!$B$5:$B$1004,"وارد شراء"),IFERROR(E17/F17,0)))</f>
        <v>0</v>
      </c>
      <c r="H17" s="24"/>
      <c r="I17" s="27" t="n">
        <f aca="false">IF($A17="","",SUMIFS('حركة المخزون'!$E$5:$E$1004,'حركة المخزون'!$C$5:$C$1004,$A17,'حركة المخزون'!$B$5:$B$1004,"وارد شراء"))</f>
        <v>0</v>
      </c>
      <c r="J17" s="27" t="n">
        <f aca="false">IF($A17="","",SUMIFS(الوصفات!$K$5:$K$304,الوصفات!$C$5:$C$304,$A17))</f>
        <v>0</v>
      </c>
      <c r="K17" s="27" t="n">
        <f aca="false">IF($A17="","",SUMIFS('حركة المخزون'!$E$5:$E$1004,'حركة المخزون'!$C$5:$C$1004,$A17,'حركة المخزون'!$B$5:$B$1004,"تسوية زيادة")-SUMIFS('حركة المخزون'!$E$5:$E$1004,'حركة المخزون'!$C$5:$C$1004,$A17,'حركة المخزون'!$B$5:$B$1004,"تالف")-SUMIFS('حركة المخزون'!$E$5:$E$1004,'حركة المخزون'!$C$5:$C$1004,$A17,'حركة المخزون'!$B$5:$B$1004,"عينة / هدية")-SUMIFS('حركة المخزون'!$E$5:$E$1004,'حركة المخزون'!$C$5:$C$1004,$A17,'حركة المخزون'!$B$5:$B$1004,"تسوية نقص"))</f>
        <v>0</v>
      </c>
      <c r="L17" s="27" t="n">
        <f aca="false">IF($A17="","",N(H17)+I17-J17+K17)</f>
        <v>0</v>
      </c>
      <c r="M17" s="24"/>
      <c r="N17" s="28" t="str">
        <f aca="false">IF($A17="","",IF(AND(H17="",I17=0,J17=0),"لم يُسجل رصيد",IF(L17&lt;=0,"نفد",IF(L17&lt;=N(M17),"اطلب الآن","متوفر"))))</f>
        <v>لم يُسجل رصيد</v>
      </c>
      <c r="O17" s="25" t="n">
        <f aca="false">IF($A17="","",L17*G17)</f>
        <v>0</v>
      </c>
      <c r="P17" s="29"/>
      <c r="Q17" s="29" t="s">
        <v>139</v>
      </c>
    </row>
    <row r="18" customFormat="false" ht="15" hidden="false" customHeight="false" outlineLevel="0" collapsed="false">
      <c r="A18" s="21" t="s">
        <v>163</v>
      </c>
      <c r="B18" s="21" t="s">
        <v>164</v>
      </c>
      <c r="C18" s="21" t="s">
        <v>158</v>
      </c>
      <c r="D18" s="21" t="s">
        <v>159</v>
      </c>
      <c r="E18" s="30"/>
      <c r="F18" s="24"/>
      <c r="G18" s="31" t="n">
        <f aca="false">IF($A18="","",IFERROR(SUMIFS('حركة المخزون'!$G$5:$G$1004,'حركة المخزون'!$C$5:$C$1004,$A18,'حركة المخزون'!$B$5:$B$1004,"وارد شراء")/SUMIFS('حركة المخزون'!$E$5:$E$1004,'حركة المخزون'!$C$5:$C$1004,$A18,'حركة المخزون'!$B$5:$B$1004,"وارد شراء"),IFERROR(E18/F18,0)))</f>
        <v>0</v>
      </c>
      <c r="H18" s="24"/>
      <c r="I18" s="27" t="n">
        <f aca="false">IF($A18="","",SUMIFS('حركة المخزون'!$E$5:$E$1004,'حركة المخزون'!$C$5:$C$1004,$A18,'حركة المخزون'!$B$5:$B$1004,"وارد شراء"))</f>
        <v>0</v>
      </c>
      <c r="J18" s="27" t="n">
        <f aca="false">IF($A18="","",SUMIFS(الوصفات!$K$5:$K$304,الوصفات!$C$5:$C$304,$A18))</f>
        <v>0</v>
      </c>
      <c r="K18" s="27" t="n">
        <f aca="false">IF($A18="","",SUMIFS('حركة المخزون'!$E$5:$E$1004,'حركة المخزون'!$C$5:$C$1004,$A18,'حركة المخزون'!$B$5:$B$1004,"تسوية زيادة")-SUMIFS('حركة المخزون'!$E$5:$E$1004,'حركة المخزون'!$C$5:$C$1004,$A18,'حركة المخزون'!$B$5:$B$1004,"تالف")-SUMIFS('حركة المخزون'!$E$5:$E$1004,'حركة المخزون'!$C$5:$C$1004,$A18,'حركة المخزون'!$B$5:$B$1004,"عينة / هدية")-SUMIFS('حركة المخزون'!$E$5:$E$1004,'حركة المخزون'!$C$5:$C$1004,$A18,'حركة المخزون'!$B$5:$B$1004,"تسوية نقص"))</f>
        <v>0</v>
      </c>
      <c r="L18" s="27" t="n">
        <f aca="false">IF($A18="","",N(H18)+I18-J18+K18)</f>
        <v>0</v>
      </c>
      <c r="M18" s="24"/>
      <c r="N18" s="28" t="str">
        <f aca="false">IF($A18="","",IF(AND(H18="",I18=0,J18=0),"لم يُسجل رصيد",IF(L18&lt;=0,"نفد",IF(L18&lt;=N(M18),"اطلب الآن","متوفر"))))</f>
        <v>لم يُسجل رصيد</v>
      </c>
      <c r="O18" s="25" t="n">
        <f aca="false">IF($A18="","",L18*G18)</f>
        <v>0</v>
      </c>
      <c r="P18" s="29"/>
      <c r="Q18" s="29" t="s">
        <v>139</v>
      </c>
    </row>
    <row r="19" customFormat="false" ht="15" hidden="false" customHeight="false" outlineLevel="0" collapsed="false">
      <c r="A19" s="21" t="s">
        <v>165</v>
      </c>
      <c r="B19" s="21" t="s">
        <v>166</v>
      </c>
      <c r="C19" s="21" t="s">
        <v>158</v>
      </c>
      <c r="D19" s="21" t="s">
        <v>159</v>
      </c>
      <c r="E19" s="30"/>
      <c r="F19" s="24"/>
      <c r="G19" s="31" t="n">
        <f aca="false">IF($A19="","",IFERROR(SUMIFS('حركة المخزون'!$G$5:$G$1004,'حركة المخزون'!$C$5:$C$1004,$A19,'حركة المخزون'!$B$5:$B$1004,"وارد شراء")/SUMIFS('حركة المخزون'!$E$5:$E$1004,'حركة المخزون'!$C$5:$C$1004,$A19,'حركة المخزون'!$B$5:$B$1004,"وارد شراء"),IFERROR(E19/F19,0)))</f>
        <v>0</v>
      </c>
      <c r="H19" s="24"/>
      <c r="I19" s="27" t="n">
        <f aca="false">IF($A19="","",SUMIFS('حركة المخزون'!$E$5:$E$1004,'حركة المخزون'!$C$5:$C$1004,$A19,'حركة المخزون'!$B$5:$B$1004,"وارد شراء"))</f>
        <v>0</v>
      </c>
      <c r="J19" s="27" t="n">
        <f aca="false">IF($A19="","",SUMIFS(الوصفات!$K$5:$K$304,الوصفات!$C$5:$C$304,$A19))</f>
        <v>0</v>
      </c>
      <c r="K19" s="27" t="n">
        <f aca="false">IF($A19="","",SUMIFS('حركة المخزون'!$E$5:$E$1004,'حركة المخزون'!$C$5:$C$1004,$A19,'حركة المخزون'!$B$5:$B$1004,"تسوية زيادة")-SUMIFS('حركة المخزون'!$E$5:$E$1004,'حركة المخزون'!$C$5:$C$1004,$A19,'حركة المخزون'!$B$5:$B$1004,"تالف")-SUMIFS('حركة المخزون'!$E$5:$E$1004,'حركة المخزون'!$C$5:$C$1004,$A19,'حركة المخزون'!$B$5:$B$1004,"عينة / هدية")-SUMIFS('حركة المخزون'!$E$5:$E$1004,'حركة المخزون'!$C$5:$C$1004,$A19,'حركة المخزون'!$B$5:$B$1004,"تسوية نقص"))</f>
        <v>0</v>
      </c>
      <c r="L19" s="27" t="n">
        <f aca="false">IF($A19="","",N(H19)+I19-J19+K19)</f>
        <v>0</v>
      </c>
      <c r="M19" s="24"/>
      <c r="N19" s="28" t="str">
        <f aca="false">IF($A19="","",IF(AND(H19="",I19=0,J19=0),"لم يُسجل رصيد",IF(L19&lt;=0,"نفد",IF(L19&lt;=N(M19),"اطلب الآن","متوفر"))))</f>
        <v>لم يُسجل رصيد</v>
      </c>
      <c r="O19" s="25" t="n">
        <f aca="false">IF($A19="","",L19*G19)</f>
        <v>0</v>
      </c>
      <c r="P19" s="29"/>
      <c r="Q19" s="29" t="s">
        <v>139</v>
      </c>
    </row>
    <row r="20" customFormat="false" ht="15" hidden="false" customHeight="false" outlineLevel="0" collapsed="false">
      <c r="A20" s="21" t="s">
        <v>167</v>
      </c>
      <c r="B20" s="21" t="s">
        <v>168</v>
      </c>
      <c r="C20" s="21" t="s">
        <v>158</v>
      </c>
      <c r="D20" s="21" t="s">
        <v>159</v>
      </c>
      <c r="E20" s="30"/>
      <c r="F20" s="24"/>
      <c r="G20" s="31" t="n">
        <f aca="false">IF($A20="","",IFERROR(SUMIFS('حركة المخزون'!$G$5:$G$1004,'حركة المخزون'!$C$5:$C$1004,$A20,'حركة المخزون'!$B$5:$B$1004,"وارد شراء")/SUMIFS('حركة المخزون'!$E$5:$E$1004,'حركة المخزون'!$C$5:$C$1004,$A20,'حركة المخزون'!$B$5:$B$1004,"وارد شراء"),IFERROR(E20/F20,0)))</f>
        <v>0</v>
      </c>
      <c r="H20" s="24"/>
      <c r="I20" s="27" t="n">
        <f aca="false">IF($A20="","",SUMIFS('حركة المخزون'!$E$5:$E$1004,'حركة المخزون'!$C$5:$C$1004,$A20,'حركة المخزون'!$B$5:$B$1004,"وارد شراء"))</f>
        <v>0</v>
      </c>
      <c r="J20" s="27" t="n">
        <f aca="false">IF($A20="","",SUMIFS(الوصفات!$K$5:$K$304,الوصفات!$C$5:$C$304,$A20))</f>
        <v>0</v>
      </c>
      <c r="K20" s="27" t="n">
        <f aca="false">IF($A20="","",SUMIFS('حركة المخزون'!$E$5:$E$1004,'حركة المخزون'!$C$5:$C$1004,$A20,'حركة المخزون'!$B$5:$B$1004,"تسوية زيادة")-SUMIFS('حركة المخزون'!$E$5:$E$1004,'حركة المخزون'!$C$5:$C$1004,$A20,'حركة المخزون'!$B$5:$B$1004,"تالف")-SUMIFS('حركة المخزون'!$E$5:$E$1004,'حركة المخزون'!$C$5:$C$1004,$A20,'حركة المخزون'!$B$5:$B$1004,"عينة / هدية")-SUMIFS('حركة المخزون'!$E$5:$E$1004,'حركة المخزون'!$C$5:$C$1004,$A20,'حركة المخزون'!$B$5:$B$1004,"تسوية نقص"))</f>
        <v>0</v>
      </c>
      <c r="L20" s="27" t="n">
        <f aca="false">IF($A20="","",N(H20)+I20-J20+K20)</f>
        <v>0</v>
      </c>
      <c r="M20" s="24"/>
      <c r="N20" s="28" t="str">
        <f aca="false">IF($A20="","",IF(AND(H20="",I20=0,J20=0),"لم يُسجل رصيد",IF(L20&lt;=0,"نفد",IF(L20&lt;=N(M20),"اطلب الآن","متوفر"))))</f>
        <v>لم يُسجل رصيد</v>
      </c>
      <c r="O20" s="25" t="n">
        <f aca="false">IF($A20="","",L20*G20)</f>
        <v>0</v>
      </c>
      <c r="P20" s="29"/>
      <c r="Q20" s="29" t="s">
        <v>139</v>
      </c>
    </row>
    <row r="21" customFormat="false" ht="15" hidden="false" customHeight="false" outlineLevel="0" collapsed="false">
      <c r="A21" s="21" t="s">
        <v>169</v>
      </c>
      <c r="B21" s="21" t="s">
        <v>170</v>
      </c>
      <c r="C21" s="21" t="s">
        <v>158</v>
      </c>
      <c r="D21" s="21" t="s">
        <v>159</v>
      </c>
      <c r="E21" s="30"/>
      <c r="F21" s="24"/>
      <c r="G21" s="31" t="n">
        <f aca="false">IF($A21="","",IFERROR(SUMIFS('حركة المخزون'!$G$5:$G$1004,'حركة المخزون'!$C$5:$C$1004,$A21,'حركة المخزون'!$B$5:$B$1004,"وارد شراء")/SUMIFS('حركة المخزون'!$E$5:$E$1004,'حركة المخزون'!$C$5:$C$1004,$A21,'حركة المخزون'!$B$5:$B$1004,"وارد شراء"),IFERROR(E21/F21,0)))</f>
        <v>0</v>
      </c>
      <c r="H21" s="24"/>
      <c r="I21" s="27" t="n">
        <f aca="false">IF($A21="","",SUMIFS('حركة المخزون'!$E$5:$E$1004,'حركة المخزون'!$C$5:$C$1004,$A21,'حركة المخزون'!$B$5:$B$1004,"وارد شراء"))</f>
        <v>0</v>
      </c>
      <c r="J21" s="27" t="n">
        <f aca="false">IF($A21="","",SUMIFS(الوصفات!$K$5:$K$304,الوصفات!$C$5:$C$304,$A21))</f>
        <v>0</v>
      </c>
      <c r="K21" s="27" t="n">
        <f aca="false">IF($A21="","",SUMIFS('حركة المخزون'!$E$5:$E$1004,'حركة المخزون'!$C$5:$C$1004,$A21,'حركة المخزون'!$B$5:$B$1004,"تسوية زيادة")-SUMIFS('حركة المخزون'!$E$5:$E$1004,'حركة المخزون'!$C$5:$C$1004,$A21,'حركة المخزون'!$B$5:$B$1004,"تالف")-SUMIFS('حركة المخزون'!$E$5:$E$1004,'حركة المخزون'!$C$5:$C$1004,$A21,'حركة المخزون'!$B$5:$B$1004,"عينة / هدية")-SUMIFS('حركة المخزون'!$E$5:$E$1004,'حركة المخزون'!$C$5:$C$1004,$A21,'حركة المخزون'!$B$5:$B$1004,"تسوية نقص"))</f>
        <v>0</v>
      </c>
      <c r="L21" s="27" t="n">
        <f aca="false">IF($A21="","",N(H21)+I21-J21+K21)</f>
        <v>0</v>
      </c>
      <c r="M21" s="24"/>
      <c r="N21" s="28" t="str">
        <f aca="false">IF($A21="","",IF(AND(H21="",I21=0,J21=0),"لم يُسجل رصيد",IF(L21&lt;=0,"نفد",IF(L21&lt;=N(M21),"اطلب الآن","متوفر"))))</f>
        <v>لم يُسجل رصيد</v>
      </c>
      <c r="O21" s="25" t="n">
        <f aca="false">IF($A21="","",L21*G21)</f>
        <v>0</v>
      </c>
      <c r="P21" s="29"/>
      <c r="Q21" s="29" t="s">
        <v>139</v>
      </c>
    </row>
    <row r="22" customFormat="false" ht="15" hidden="false" customHeight="false" outlineLevel="0" collapsed="false">
      <c r="A22" s="21" t="s">
        <v>171</v>
      </c>
      <c r="B22" s="21" t="s">
        <v>172</v>
      </c>
      <c r="C22" s="21" t="s">
        <v>158</v>
      </c>
      <c r="D22" s="21" t="s">
        <v>159</v>
      </c>
      <c r="E22" s="30"/>
      <c r="F22" s="24"/>
      <c r="G22" s="31" t="n">
        <f aca="false">IF($A22="","",IFERROR(SUMIFS('حركة المخزون'!$G$5:$G$1004,'حركة المخزون'!$C$5:$C$1004,$A22,'حركة المخزون'!$B$5:$B$1004,"وارد شراء")/SUMIFS('حركة المخزون'!$E$5:$E$1004,'حركة المخزون'!$C$5:$C$1004,$A22,'حركة المخزون'!$B$5:$B$1004,"وارد شراء"),IFERROR(E22/F22,0)))</f>
        <v>0</v>
      </c>
      <c r="H22" s="24"/>
      <c r="I22" s="27" t="n">
        <f aca="false">IF($A22="","",SUMIFS('حركة المخزون'!$E$5:$E$1004,'حركة المخزون'!$C$5:$C$1004,$A22,'حركة المخزون'!$B$5:$B$1004,"وارد شراء"))</f>
        <v>0</v>
      </c>
      <c r="J22" s="27" t="n">
        <f aca="false">IF($A22="","",SUMIFS(الوصفات!$K$5:$K$304,الوصفات!$C$5:$C$304,$A22))</f>
        <v>0</v>
      </c>
      <c r="K22" s="27" t="n">
        <f aca="false">IF($A22="","",SUMIFS('حركة المخزون'!$E$5:$E$1004,'حركة المخزون'!$C$5:$C$1004,$A22,'حركة المخزون'!$B$5:$B$1004,"تسوية زيادة")-SUMIFS('حركة المخزون'!$E$5:$E$1004,'حركة المخزون'!$C$5:$C$1004,$A22,'حركة المخزون'!$B$5:$B$1004,"تالف")-SUMIFS('حركة المخزون'!$E$5:$E$1004,'حركة المخزون'!$C$5:$C$1004,$A22,'حركة المخزون'!$B$5:$B$1004,"عينة / هدية")-SUMIFS('حركة المخزون'!$E$5:$E$1004,'حركة المخزون'!$C$5:$C$1004,$A22,'حركة المخزون'!$B$5:$B$1004,"تسوية نقص"))</f>
        <v>0</v>
      </c>
      <c r="L22" s="27" t="n">
        <f aca="false">IF($A22="","",N(H22)+I22-J22+K22)</f>
        <v>0</v>
      </c>
      <c r="M22" s="24"/>
      <c r="N22" s="28" t="str">
        <f aca="false">IF($A22="","",IF(AND(H22="",I22=0,J22=0),"لم يُسجل رصيد",IF(L22&lt;=0,"نفد",IF(L22&lt;=N(M22),"اطلب الآن","متوفر"))))</f>
        <v>لم يُسجل رصيد</v>
      </c>
      <c r="O22" s="25" t="n">
        <f aca="false">IF($A22="","",L22*G22)</f>
        <v>0</v>
      </c>
      <c r="P22" s="29"/>
      <c r="Q22" s="29" t="s">
        <v>139</v>
      </c>
    </row>
    <row r="23" customFormat="false" ht="15" hidden="false" customHeight="false" outlineLevel="0" collapsed="false">
      <c r="A23" s="21" t="s">
        <v>173</v>
      </c>
      <c r="B23" s="21" t="s">
        <v>174</v>
      </c>
      <c r="C23" s="21" t="s">
        <v>158</v>
      </c>
      <c r="D23" s="21" t="s">
        <v>159</v>
      </c>
      <c r="E23" s="30"/>
      <c r="F23" s="24"/>
      <c r="G23" s="31" t="n">
        <f aca="false">IF($A23="","",IFERROR(SUMIFS('حركة المخزون'!$G$5:$G$1004,'حركة المخزون'!$C$5:$C$1004,$A23,'حركة المخزون'!$B$5:$B$1004,"وارد شراء")/SUMIFS('حركة المخزون'!$E$5:$E$1004,'حركة المخزون'!$C$5:$C$1004,$A23,'حركة المخزون'!$B$5:$B$1004,"وارد شراء"),IFERROR(E23/F23,0)))</f>
        <v>0</v>
      </c>
      <c r="H23" s="24"/>
      <c r="I23" s="27" t="n">
        <f aca="false">IF($A23="","",SUMIFS('حركة المخزون'!$E$5:$E$1004,'حركة المخزون'!$C$5:$C$1004,$A23,'حركة المخزون'!$B$5:$B$1004,"وارد شراء"))</f>
        <v>0</v>
      </c>
      <c r="J23" s="27" t="n">
        <f aca="false">IF($A23="","",SUMIFS(الوصفات!$K$5:$K$304,الوصفات!$C$5:$C$304,$A23))</f>
        <v>0</v>
      </c>
      <c r="K23" s="27" t="n">
        <f aca="false">IF($A23="","",SUMIFS('حركة المخزون'!$E$5:$E$1004,'حركة المخزون'!$C$5:$C$1004,$A23,'حركة المخزون'!$B$5:$B$1004,"تسوية زيادة")-SUMIFS('حركة المخزون'!$E$5:$E$1004,'حركة المخزون'!$C$5:$C$1004,$A23,'حركة المخزون'!$B$5:$B$1004,"تالف")-SUMIFS('حركة المخزون'!$E$5:$E$1004,'حركة المخزون'!$C$5:$C$1004,$A23,'حركة المخزون'!$B$5:$B$1004,"عينة / هدية")-SUMIFS('حركة المخزون'!$E$5:$E$1004,'حركة المخزون'!$C$5:$C$1004,$A23,'حركة المخزون'!$B$5:$B$1004,"تسوية نقص"))</f>
        <v>0</v>
      </c>
      <c r="L23" s="27" t="n">
        <f aca="false">IF($A23="","",N(H23)+I23-J23+K23)</f>
        <v>0</v>
      </c>
      <c r="M23" s="24"/>
      <c r="N23" s="28" t="str">
        <f aca="false">IF($A23="","",IF(AND(H23="",I23=0,J23=0),"لم يُسجل رصيد",IF(L23&lt;=0,"نفد",IF(L23&lt;=N(M23),"اطلب الآن","متوفر"))))</f>
        <v>لم يُسجل رصيد</v>
      </c>
      <c r="O23" s="25" t="n">
        <f aca="false">IF($A23="","",L23*G23)</f>
        <v>0</v>
      </c>
      <c r="P23" s="29"/>
      <c r="Q23" s="29" t="s">
        <v>139</v>
      </c>
    </row>
    <row r="24" customFormat="false" ht="15" hidden="false" customHeight="false" outlineLevel="0" collapsed="false">
      <c r="A24" s="29"/>
      <c r="B24" s="29"/>
      <c r="C24" s="29"/>
      <c r="D24" s="29"/>
      <c r="E24" s="30"/>
      <c r="F24" s="24"/>
      <c r="G24" s="31" t="str">
        <f aca="false">IF($A24="","",IFERROR(SUMIFS('حركة المخزون'!$G$5:$G$1004,'حركة المخزون'!$C$5:$C$1004,$A24,'حركة المخزون'!$B$5:$B$1004,"وارد شراء")/SUMIFS('حركة المخزون'!$E$5:$E$1004,'حركة المخزون'!$C$5:$C$1004,$A24,'حركة المخزون'!$B$5:$B$1004,"وارد شراء"),IFERROR(E24/F24,0)))</f>
        <v/>
      </c>
      <c r="H24" s="24"/>
      <c r="I24" s="27" t="str">
        <f aca="false">IF($A24="","",SUMIFS('حركة المخزون'!$E$5:$E$1004,'حركة المخزون'!$C$5:$C$1004,$A24,'حركة المخزون'!$B$5:$B$1004,"وارد شراء"))</f>
        <v/>
      </c>
      <c r="J24" s="27" t="str">
        <f aca="false">IF($A24="","",SUMIFS(الوصفات!$K$5:$K$304,الوصفات!$C$5:$C$304,$A24))</f>
        <v/>
      </c>
      <c r="K24" s="27" t="str">
        <f aca="false">IF($A24="","",SUMIFS('حركة المخزون'!$E$5:$E$1004,'حركة المخزون'!$C$5:$C$1004,$A24,'حركة المخزون'!$B$5:$B$1004,"تسوية زيادة")-SUMIFS('حركة المخزون'!$E$5:$E$1004,'حركة المخزون'!$C$5:$C$1004,$A24,'حركة المخزون'!$B$5:$B$1004,"تالف")-SUMIFS('حركة المخزون'!$E$5:$E$1004,'حركة المخزون'!$C$5:$C$1004,$A24,'حركة المخزون'!$B$5:$B$1004,"عينة / هدية")-SUMIFS('حركة المخزون'!$E$5:$E$1004,'حركة المخزون'!$C$5:$C$1004,$A24,'حركة المخزون'!$B$5:$B$1004,"تسوية نقص"))</f>
        <v/>
      </c>
      <c r="L24" s="27" t="str">
        <f aca="false">IF($A24="","",N(H24)+I24-J24+K24)</f>
        <v/>
      </c>
      <c r="M24" s="24"/>
      <c r="N24" s="28" t="str">
        <f aca="false">IF($A24="","",IF(AND(H24="",I24=0,J24=0),"لم يُسجل رصيد",IF(L24&lt;=0,"نفد",IF(L24&lt;=N(M24),"اطلب الآن","متوفر"))))</f>
        <v/>
      </c>
      <c r="O24" s="25" t="str">
        <f aca="false">IF($A24="","",L24*G24)</f>
        <v/>
      </c>
      <c r="P24" s="29"/>
      <c r="Q24" s="29"/>
    </row>
    <row r="25" customFormat="false" ht="15" hidden="false" customHeight="false" outlineLevel="0" collapsed="false">
      <c r="A25" s="29"/>
      <c r="B25" s="29"/>
      <c r="C25" s="29"/>
      <c r="D25" s="29"/>
      <c r="E25" s="30"/>
      <c r="F25" s="24"/>
      <c r="G25" s="31" t="str">
        <f aca="false">IF($A25="","",IFERROR(SUMIFS('حركة المخزون'!$G$5:$G$1004,'حركة المخزون'!$C$5:$C$1004,$A25,'حركة المخزون'!$B$5:$B$1004,"وارد شراء")/SUMIFS('حركة المخزون'!$E$5:$E$1004,'حركة المخزون'!$C$5:$C$1004,$A25,'حركة المخزون'!$B$5:$B$1004,"وارد شراء"),IFERROR(E25/F25,0)))</f>
        <v/>
      </c>
      <c r="H25" s="24"/>
      <c r="I25" s="27" t="str">
        <f aca="false">IF($A25="","",SUMIFS('حركة المخزون'!$E$5:$E$1004,'حركة المخزون'!$C$5:$C$1004,$A25,'حركة المخزون'!$B$5:$B$1004,"وارد شراء"))</f>
        <v/>
      </c>
      <c r="J25" s="27" t="str">
        <f aca="false">IF($A25="","",SUMIFS(الوصفات!$K$5:$K$304,الوصفات!$C$5:$C$304,$A25))</f>
        <v/>
      </c>
      <c r="K25" s="27" t="str">
        <f aca="false">IF($A25="","",SUMIFS('حركة المخزون'!$E$5:$E$1004,'حركة المخزون'!$C$5:$C$1004,$A25,'حركة المخزون'!$B$5:$B$1004,"تسوية زيادة")-SUMIFS('حركة المخزون'!$E$5:$E$1004,'حركة المخزون'!$C$5:$C$1004,$A25,'حركة المخزون'!$B$5:$B$1004,"تالف")-SUMIFS('حركة المخزون'!$E$5:$E$1004,'حركة المخزون'!$C$5:$C$1004,$A25,'حركة المخزون'!$B$5:$B$1004,"عينة / هدية")-SUMIFS('حركة المخزون'!$E$5:$E$1004,'حركة المخزون'!$C$5:$C$1004,$A25,'حركة المخزون'!$B$5:$B$1004,"تسوية نقص"))</f>
        <v/>
      </c>
      <c r="L25" s="27" t="str">
        <f aca="false">IF($A25="","",N(H25)+I25-J25+K25)</f>
        <v/>
      </c>
      <c r="M25" s="24"/>
      <c r="N25" s="28" t="str">
        <f aca="false">IF($A25="","",IF(AND(H25="",I25=0,J25=0),"لم يُسجل رصيد",IF(L25&lt;=0,"نفد",IF(L25&lt;=N(M25),"اطلب الآن","متوفر"))))</f>
        <v/>
      </c>
      <c r="O25" s="25" t="str">
        <f aca="false">IF($A25="","",L25*G25)</f>
        <v/>
      </c>
      <c r="P25" s="29"/>
      <c r="Q25" s="29"/>
    </row>
    <row r="26" customFormat="false" ht="15" hidden="false" customHeight="false" outlineLevel="0" collapsed="false">
      <c r="A26" s="29"/>
      <c r="B26" s="29"/>
      <c r="C26" s="29"/>
      <c r="D26" s="29"/>
      <c r="E26" s="30"/>
      <c r="F26" s="24"/>
      <c r="G26" s="31" t="str">
        <f aca="false">IF($A26="","",IFERROR(SUMIFS('حركة المخزون'!$G$5:$G$1004,'حركة المخزون'!$C$5:$C$1004,$A26,'حركة المخزون'!$B$5:$B$1004,"وارد شراء")/SUMIFS('حركة المخزون'!$E$5:$E$1004,'حركة المخزون'!$C$5:$C$1004,$A26,'حركة المخزون'!$B$5:$B$1004,"وارد شراء"),IFERROR(E26/F26,0)))</f>
        <v/>
      </c>
      <c r="H26" s="24"/>
      <c r="I26" s="27" t="str">
        <f aca="false">IF($A26="","",SUMIFS('حركة المخزون'!$E$5:$E$1004,'حركة المخزون'!$C$5:$C$1004,$A26,'حركة المخزون'!$B$5:$B$1004,"وارد شراء"))</f>
        <v/>
      </c>
      <c r="J26" s="27" t="str">
        <f aca="false">IF($A26="","",SUMIFS(الوصفات!$K$5:$K$304,الوصفات!$C$5:$C$304,$A26))</f>
        <v/>
      </c>
      <c r="K26" s="27" t="str">
        <f aca="false">IF($A26="","",SUMIFS('حركة المخزون'!$E$5:$E$1004,'حركة المخزون'!$C$5:$C$1004,$A26,'حركة المخزون'!$B$5:$B$1004,"تسوية زيادة")-SUMIFS('حركة المخزون'!$E$5:$E$1004,'حركة المخزون'!$C$5:$C$1004,$A26,'حركة المخزون'!$B$5:$B$1004,"تالف")-SUMIFS('حركة المخزون'!$E$5:$E$1004,'حركة المخزون'!$C$5:$C$1004,$A26,'حركة المخزون'!$B$5:$B$1004,"عينة / هدية")-SUMIFS('حركة المخزون'!$E$5:$E$1004,'حركة المخزون'!$C$5:$C$1004,$A26,'حركة المخزون'!$B$5:$B$1004,"تسوية نقص"))</f>
        <v/>
      </c>
      <c r="L26" s="27" t="str">
        <f aca="false">IF($A26="","",N(H26)+I26-J26+K26)</f>
        <v/>
      </c>
      <c r="M26" s="24"/>
      <c r="N26" s="28" t="str">
        <f aca="false">IF($A26="","",IF(AND(H26="",I26=0,J26=0),"لم يُسجل رصيد",IF(L26&lt;=0,"نفد",IF(L26&lt;=N(M26),"اطلب الآن","متوفر"))))</f>
        <v/>
      </c>
      <c r="O26" s="25" t="str">
        <f aca="false">IF($A26="","",L26*G26)</f>
        <v/>
      </c>
      <c r="P26" s="29"/>
      <c r="Q26" s="29"/>
    </row>
    <row r="27" customFormat="false" ht="15" hidden="false" customHeight="false" outlineLevel="0" collapsed="false">
      <c r="A27" s="29"/>
      <c r="B27" s="29"/>
      <c r="C27" s="29"/>
      <c r="D27" s="29"/>
      <c r="E27" s="30"/>
      <c r="F27" s="24"/>
      <c r="G27" s="31" t="str">
        <f aca="false">IF($A27="","",IFERROR(SUMIFS('حركة المخزون'!$G$5:$G$1004,'حركة المخزون'!$C$5:$C$1004,$A27,'حركة المخزون'!$B$5:$B$1004,"وارد شراء")/SUMIFS('حركة المخزون'!$E$5:$E$1004,'حركة المخزون'!$C$5:$C$1004,$A27,'حركة المخزون'!$B$5:$B$1004,"وارد شراء"),IFERROR(E27/F27,0)))</f>
        <v/>
      </c>
      <c r="H27" s="24"/>
      <c r="I27" s="27" t="str">
        <f aca="false">IF($A27="","",SUMIFS('حركة المخزون'!$E$5:$E$1004,'حركة المخزون'!$C$5:$C$1004,$A27,'حركة المخزون'!$B$5:$B$1004,"وارد شراء"))</f>
        <v/>
      </c>
      <c r="J27" s="27" t="str">
        <f aca="false">IF($A27="","",SUMIFS(الوصفات!$K$5:$K$304,الوصفات!$C$5:$C$304,$A27))</f>
        <v/>
      </c>
      <c r="K27" s="27" t="str">
        <f aca="false">IF($A27="","",SUMIFS('حركة المخزون'!$E$5:$E$1004,'حركة المخزون'!$C$5:$C$1004,$A27,'حركة المخزون'!$B$5:$B$1004,"تسوية زيادة")-SUMIFS('حركة المخزون'!$E$5:$E$1004,'حركة المخزون'!$C$5:$C$1004,$A27,'حركة المخزون'!$B$5:$B$1004,"تالف")-SUMIFS('حركة المخزون'!$E$5:$E$1004,'حركة المخزون'!$C$5:$C$1004,$A27,'حركة المخزون'!$B$5:$B$1004,"عينة / هدية")-SUMIFS('حركة المخزون'!$E$5:$E$1004,'حركة المخزون'!$C$5:$C$1004,$A27,'حركة المخزون'!$B$5:$B$1004,"تسوية نقص"))</f>
        <v/>
      </c>
      <c r="L27" s="27" t="str">
        <f aca="false">IF($A27="","",N(H27)+I27-J27+K27)</f>
        <v/>
      </c>
      <c r="M27" s="24"/>
      <c r="N27" s="28" t="str">
        <f aca="false">IF($A27="","",IF(AND(H27="",I27=0,J27=0),"لم يُسجل رصيد",IF(L27&lt;=0,"نفد",IF(L27&lt;=N(M27),"اطلب الآن","متوفر"))))</f>
        <v/>
      </c>
      <c r="O27" s="25" t="str">
        <f aca="false">IF($A27="","",L27*G27)</f>
        <v/>
      </c>
      <c r="P27" s="29"/>
      <c r="Q27" s="29"/>
    </row>
    <row r="28" customFormat="false" ht="15" hidden="false" customHeight="false" outlineLevel="0" collapsed="false">
      <c r="A28" s="29"/>
      <c r="B28" s="29"/>
      <c r="C28" s="29"/>
      <c r="D28" s="29"/>
      <c r="E28" s="30"/>
      <c r="F28" s="24"/>
      <c r="G28" s="31" t="str">
        <f aca="false">IF($A28="","",IFERROR(SUMIFS('حركة المخزون'!$G$5:$G$1004,'حركة المخزون'!$C$5:$C$1004,$A28,'حركة المخزون'!$B$5:$B$1004,"وارد شراء")/SUMIFS('حركة المخزون'!$E$5:$E$1004,'حركة المخزون'!$C$5:$C$1004,$A28,'حركة المخزون'!$B$5:$B$1004,"وارد شراء"),IFERROR(E28/F28,0)))</f>
        <v/>
      </c>
      <c r="H28" s="24"/>
      <c r="I28" s="27" t="str">
        <f aca="false">IF($A28="","",SUMIFS('حركة المخزون'!$E$5:$E$1004,'حركة المخزون'!$C$5:$C$1004,$A28,'حركة المخزون'!$B$5:$B$1004,"وارد شراء"))</f>
        <v/>
      </c>
      <c r="J28" s="27" t="str">
        <f aca="false">IF($A28="","",SUMIFS(الوصفات!$K$5:$K$304,الوصفات!$C$5:$C$304,$A28))</f>
        <v/>
      </c>
      <c r="K28" s="27" t="str">
        <f aca="false">IF($A28="","",SUMIFS('حركة المخزون'!$E$5:$E$1004,'حركة المخزون'!$C$5:$C$1004,$A28,'حركة المخزون'!$B$5:$B$1004,"تسوية زيادة")-SUMIFS('حركة المخزون'!$E$5:$E$1004,'حركة المخزون'!$C$5:$C$1004,$A28,'حركة المخزون'!$B$5:$B$1004,"تالف")-SUMIFS('حركة المخزون'!$E$5:$E$1004,'حركة المخزون'!$C$5:$C$1004,$A28,'حركة المخزون'!$B$5:$B$1004,"عينة / هدية")-SUMIFS('حركة المخزون'!$E$5:$E$1004,'حركة المخزون'!$C$5:$C$1004,$A28,'حركة المخزون'!$B$5:$B$1004,"تسوية نقص"))</f>
        <v/>
      </c>
      <c r="L28" s="27" t="str">
        <f aca="false">IF($A28="","",N(H28)+I28-J28+K28)</f>
        <v/>
      </c>
      <c r="M28" s="24"/>
      <c r="N28" s="28" t="str">
        <f aca="false">IF($A28="","",IF(AND(H28="",I28=0,J28=0),"لم يُسجل رصيد",IF(L28&lt;=0,"نفد",IF(L28&lt;=N(M28),"اطلب الآن","متوفر"))))</f>
        <v/>
      </c>
      <c r="O28" s="25" t="str">
        <f aca="false">IF($A28="","",L28*G28)</f>
        <v/>
      </c>
      <c r="P28" s="29"/>
      <c r="Q28" s="29"/>
    </row>
    <row r="29" customFormat="false" ht="15" hidden="false" customHeight="false" outlineLevel="0" collapsed="false">
      <c r="A29" s="29"/>
      <c r="B29" s="29"/>
      <c r="C29" s="29"/>
      <c r="D29" s="29"/>
      <c r="E29" s="30"/>
      <c r="F29" s="24"/>
      <c r="G29" s="31" t="str">
        <f aca="false">IF($A29="","",IFERROR(SUMIFS('حركة المخزون'!$G$5:$G$1004,'حركة المخزون'!$C$5:$C$1004,$A29,'حركة المخزون'!$B$5:$B$1004,"وارد شراء")/SUMIFS('حركة المخزون'!$E$5:$E$1004,'حركة المخزون'!$C$5:$C$1004,$A29,'حركة المخزون'!$B$5:$B$1004,"وارد شراء"),IFERROR(E29/F29,0)))</f>
        <v/>
      </c>
      <c r="H29" s="24"/>
      <c r="I29" s="27" t="str">
        <f aca="false">IF($A29="","",SUMIFS('حركة المخزون'!$E$5:$E$1004,'حركة المخزون'!$C$5:$C$1004,$A29,'حركة المخزون'!$B$5:$B$1004,"وارد شراء"))</f>
        <v/>
      </c>
      <c r="J29" s="27" t="str">
        <f aca="false">IF($A29="","",SUMIFS(الوصفات!$K$5:$K$304,الوصفات!$C$5:$C$304,$A29))</f>
        <v/>
      </c>
      <c r="K29" s="27" t="str">
        <f aca="false">IF($A29="","",SUMIFS('حركة المخزون'!$E$5:$E$1004,'حركة المخزون'!$C$5:$C$1004,$A29,'حركة المخزون'!$B$5:$B$1004,"تسوية زيادة")-SUMIFS('حركة المخزون'!$E$5:$E$1004,'حركة المخزون'!$C$5:$C$1004,$A29,'حركة المخزون'!$B$5:$B$1004,"تالف")-SUMIFS('حركة المخزون'!$E$5:$E$1004,'حركة المخزون'!$C$5:$C$1004,$A29,'حركة المخزون'!$B$5:$B$1004,"عينة / هدية")-SUMIFS('حركة المخزون'!$E$5:$E$1004,'حركة المخزون'!$C$5:$C$1004,$A29,'حركة المخزون'!$B$5:$B$1004,"تسوية نقص"))</f>
        <v/>
      </c>
      <c r="L29" s="27" t="str">
        <f aca="false">IF($A29="","",N(H29)+I29-J29+K29)</f>
        <v/>
      </c>
      <c r="M29" s="24"/>
      <c r="N29" s="28" t="str">
        <f aca="false">IF($A29="","",IF(AND(H29="",I29=0,J29=0),"لم يُسجل رصيد",IF(L29&lt;=0,"نفد",IF(L29&lt;=N(M29),"اطلب الآن","متوفر"))))</f>
        <v/>
      </c>
      <c r="O29" s="25" t="str">
        <f aca="false">IF($A29="","",L29*G29)</f>
        <v/>
      </c>
      <c r="P29" s="29"/>
      <c r="Q29" s="29"/>
    </row>
    <row r="30" customFormat="false" ht="15" hidden="false" customHeight="false" outlineLevel="0" collapsed="false">
      <c r="A30" s="29"/>
      <c r="B30" s="29"/>
      <c r="C30" s="29"/>
      <c r="D30" s="29"/>
      <c r="E30" s="30"/>
      <c r="F30" s="24"/>
      <c r="G30" s="31" t="str">
        <f aca="false">IF($A30="","",IFERROR(SUMIFS('حركة المخزون'!$G$5:$G$1004,'حركة المخزون'!$C$5:$C$1004,$A30,'حركة المخزون'!$B$5:$B$1004,"وارد شراء")/SUMIFS('حركة المخزون'!$E$5:$E$1004,'حركة المخزون'!$C$5:$C$1004,$A30,'حركة المخزون'!$B$5:$B$1004,"وارد شراء"),IFERROR(E30/F30,0)))</f>
        <v/>
      </c>
      <c r="H30" s="24"/>
      <c r="I30" s="27" t="str">
        <f aca="false">IF($A30="","",SUMIFS('حركة المخزون'!$E$5:$E$1004,'حركة المخزون'!$C$5:$C$1004,$A30,'حركة المخزون'!$B$5:$B$1004,"وارد شراء"))</f>
        <v/>
      </c>
      <c r="J30" s="27" t="str">
        <f aca="false">IF($A30="","",SUMIFS(الوصفات!$K$5:$K$304,الوصفات!$C$5:$C$304,$A30))</f>
        <v/>
      </c>
      <c r="K30" s="27" t="str">
        <f aca="false">IF($A30="","",SUMIFS('حركة المخزون'!$E$5:$E$1004,'حركة المخزون'!$C$5:$C$1004,$A30,'حركة المخزون'!$B$5:$B$1004,"تسوية زيادة")-SUMIFS('حركة المخزون'!$E$5:$E$1004,'حركة المخزون'!$C$5:$C$1004,$A30,'حركة المخزون'!$B$5:$B$1004,"تالف")-SUMIFS('حركة المخزون'!$E$5:$E$1004,'حركة المخزون'!$C$5:$C$1004,$A30,'حركة المخزون'!$B$5:$B$1004,"عينة / هدية")-SUMIFS('حركة المخزون'!$E$5:$E$1004,'حركة المخزون'!$C$5:$C$1004,$A30,'حركة المخزون'!$B$5:$B$1004,"تسوية نقص"))</f>
        <v/>
      </c>
      <c r="L30" s="27" t="str">
        <f aca="false">IF($A30="","",N(H30)+I30-J30+K30)</f>
        <v/>
      </c>
      <c r="M30" s="24"/>
      <c r="N30" s="28" t="str">
        <f aca="false">IF($A30="","",IF(AND(H30="",I30=0,J30=0),"لم يُسجل رصيد",IF(L30&lt;=0,"نفد",IF(L30&lt;=N(M30),"اطلب الآن","متوفر"))))</f>
        <v/>
      </c>
      <c r="O30" s="25" t="str">
        <f aca="false">IF($A30="","",L30*G30)</f>
        <v/>
      </c>
      <c r="P30" s="29"/>
      <c r="Q30" s="29"/>
    </row>
    <row r="31" customFormat="false" ht="15" hidden="false" customHeight="false" outlineLevel="0" collapsed="false">
      <c r="A31" s="29"/>
      <c r="B31" s="29"/>
      <c r="C31" s="29"/>
      <c r="D31" s="29"/>
      <c r="E31" s="30"/>
      <c r="F31" s="24"/>
      <c r="G31" s="31" t="str">
        <f aca="false">IF($A31="","",IFERROR(SUMIFS('حركة المخزون'!$G$5:$G$1004,'حركة المخزون'!$C$5:$C$1004,$A31,'حركة المخزون'!$B$5:$B$1004,"وارد شراء")/SUMIFS('حركة المخزون'!$E$5:$E$1004,'حركة المخزون'!$C$5:$C$1004,$A31,'حركة المخزون'!$B$5:$B$1004,"وارد شراء"),IFERROR(E31/F31,0)))</f>
        <v/>
      </c>
      <c r="H31" s="24"/>
      <c r="I31" s="27" t="str">
        <f aca="false">IF($A31="","",SUMIFS('حركة المخزون'!$E$5:$E$1004,'حركة المخزون'!$C$5:$C$1004,$A31,'حركة المخزون'!$B$5:$B$1004,"وارد شراء"))</f>
        <v/>
      </c>
      <c r="J31" s="27" t="str">
        <f aca="false">IF($A31="","",SUMIFS(الوصفات!$K$5:$K$304,الوصفات!$C$5:$C$304,$A31))</f>
        <v/>
      </c>
      <c r="K31" s="27" t="str">
        <f aca="false">IF($A31="","",SUMIFS('حركة المخزون'!$E$5:$E$1004,'حركة المخزون'!$C$5:$C$1004,$A31,'حركة المخزون'!$B$5:$B$1004,"تسوية زيادة")-SUMIFS('حركة المخزون'!$E$5:$E$1004,'حركة المخزون'!$C$5:$C$1004,$A31,'حركة المخزون'!$B$5:$B$1004,"تالف")-SUMIFS('حركة المخزون'!$E$5:$E$1004,'حركة المخزون'!$C$5:$C$1004,$A31,'حركة المخزون'!$B$5:$B$1004,"عينة / هدية")-SUMIFS('حركة المخزون'!$E$5:$E$1004,'حركة المخزون'!$C$5:$C$1004,$A31,'حركة المخزون'!$B$5:$B$1004,"تسوية نقص"))</f>
        <v/>
      </c>
      <c r="L31" s="27" t="str">
        <f aca="false">IF($A31="","",N(H31)+I31-J31+K31)</f>
        <v/>
      </c>
      <c r="M31" s="24"/>
      <c r="N31" s="28" t="str">
        <f aca="false">IF($A31="","",IF(AND(H31="",I31=0,J31=0),"لم يُسجل رصيد",IF(L31&lt;=0,"نفد",IF(L31&lt;=N(M31),"اطلب الآن","متوفر"))))</f>
        <v/>
      </c>
      <c r="O31" s="25" t="str">
        <f aca="false">IF($A31="","",L31*G31)</f>
        <v/>
      </c>
      <c r="P31" s="29"/>
      <c r="Q31" s="29"/>
    </row>
    <row r="32" customFormat="false" ht="15" hidden="false" customHeight="false" outlineLevel="0" collapsed="false">
      <c r="A32" s="29"/>
      <c r="B32" s="29"/>
      <c r="C32" s="29"/>
      <c r="D32" s="29"/>
      <c r="E32" s="30"/>
      <c r="F32" s="24"/>
      <c r="G32" s="31" t="str">
        <f aca="false">IF($A32="","",IFERROR(SUMIFS('حركة المخزون'!$G$5:$G$1004,'حركة المخزون'!$C$5:$C$1004,$A32,'حركة المخزون'!$B$5:$B$1004,"وارد شراء")/SUMIFS('حركة المخزون'!$E$5:$E$1004,'حركة المخزون'!$C$5:$C$1004,$A32,'حركة المخزون'!$B$5:$B$1004,"وارد شراء"),IFERROR(E32/F32,0)))</f>
        <v/>
      </c>
      <c r="H32" s="24"/>
      <c r="I32" s="27" t="str">
        <f aca="false">IF($A32="","",SUMIFS('حركة المخزون'!$E$5:$E$1004,'حركة المخزون'!$C$5:$C$1004,$A32,'حركة المخزون'!$B$5:$B$1004,"وارد شراء"))</f>
        <v/>
      </c>
      <c r="J32" s="27" t="str">
        <f aca="false">IF($A32="","",SUMIFS(الوصفات!$K$5:$K$304,الوصفات!$C$5:$C$304,$A32))</f>
        <v/>
      </c>
      <c r="K32" s="27" t="str">
        <f aca="false">IF($A32="","",SUMIFS('حركة المخزون'!$E$5:$E$1004,'حركة المخزون'!$C$5:$C$1004,$A32,'حركة المخزون'!$B$5:$B$1004,"تسوية زيادة")-SUMIFS('حركة المخزون'!$E$5:$E$1004,'حركة المخزون'!$C$5:$C$1004,$A32,'حركة المخزون'!$B$5:$B$1004,"تالف")-SUMIFS('حركة المخزون'!$E$5:$E$1004,'حركة المخزون'!$C$5:$C$1004,$A32,'حركة المخزون'!$B$5:$B$1004,"عينة / هدية")-SUMIFS('حركة المخزون'!$E$5:$E$1004,'حركة المخزون'!$C$5:$C$1004,$A32,'حركة المخزون'!$B$5:$B$1004,"تسوية نقص"))</f>
        <v/>
      </c>
      <c r="L32" s="27" t="str">
        <f aca="false">IF($A32="","",N(H32)+I32-J32+K32)</f>
        <v/>
      </c>
      <c r="M32" s="24"/>
      <c r="N32" s="28" t="str">
        <f aca="false">IF($A32="","",IF(AND(H32="",I32=0,J32=0),"لم يُسجل رصيد",IF(L32&lt;=0,"نفد",IF(L32&lt;=N(M32),"اطلب الآن","متوفر"))))</f>
        <v/>
      </c>
      <c r="O32" s="25" t="str">
        <f aca="false">IF($A32="","",L32*G32)</f>
        <v/>
      </c>
      <c r="P32" s="29"/>
      <c r="Q32" s="29"/>
    </row>
    <row r="33" customFormat="false" ht="15" hidden="false" customHeight="false" outlineLevel="0" collapsed="false">
      <c r="A33" s="29"/>
      <c r="B33" s="29"/>
      <c r="C33" s="29"/>
      <c r="D33" s="29"/>
      <c r="E33" s="30"/>
      <c r="F33" s="24"/>
      <c r="G33" s="31" t="str">
        <f aca="false">IF($A33="","",IFERROR(SUMIFS('حركة المخزون'!$G$5:$G$1004,'حركة المخزون'!$C$5:$C$1004,$A33,'حركة المخزون'!$B$5:$B$1004,"وارد شراء")/SUMIFS('حركة المخزون'!$E$5:$E$1004,'حركة المخزون'!$C$5:$C$1004,$A33,'حركة المخزون'!$B$5:$B$1004,"وارد شراء"),IFERROR(E33/F33,0)))</f>
        <v/>
      </c>
      <c r="H33" s="24"/>
      <c r="I33" s="27" t="str">
        <f aca="false">IF($A33="","",SUMIFS('حركة المخزون'!$E$5:$E$1004,'حركة المخزون'!$C$5:$C$1004,$A33,'حركة المخزون'!$B$5:$B$1004,"وارد شراء"))</f>
        <v/>
      </c>
      <c r="J33" s="27" t="str">
        <f aca="false">IF($A33="","",SUMIFS(الوصفات!$K$5:$K$304,الوصفات!$C$5:$C$304,$A33))</f>
        <v/>
      </c>
      <c r="K33" s="27" t="str">
        <f aca="false">IF($A33="","",SUMIFS('حركة المخزون'!$E$5:$E$1004,'حركة المخزون'!$C$5:$C$1004,$A33,'حركة المخزون'!$B$5:$B$1004,"تسوية زيادة")-SUMIFS('حركة المخزون'!$E$5:$E$1004,'حركة المخزون'!$C$5:$C$1004,$A33,'حركة المخزون'!$B$5:$B$1004,"تالف")-SUMIFS('حركة المخزون'!$E$5:$E$1004,'حركة المخزون'!$C$5:$C$1004,$A33,'حركة المخزون'!$B$5:$B$1004,"عينة / هدية")-SUMIFS('حركة المخزون'!$E$5:$E$1004,'حركة المخزون'!$C$5:$C$1004,$A33,'حركة المخزون'!$B$5:$B$1004,"تسوية نقص"))</f>
        <v/>
      </c>
      <c r="L33" s="27" t="str">
        <f aca="false">IF($A33="","",N(H33)+I33-J33+K33)</f>
        <v/>
      </c>
      <c r="M33" s="24"/>
      <c r="N33" s="28" t="str">
        <f aca="false">IF($A33="","",IF(AND(H33="",I33=0,J33=0),"لم يُسجل رصيد",IF(L33&lt;=0,"نفد",IF(L33&lt;=N(M33),"اطلب الآن","متوفر"))))</f>
        <v/>
      </c>
      <c r="O33" s="25" t="str">
        <f aca="false">IF($A33="","",L33*G33)</f>
        <v/>
      </c>
      <c r="P33" s="29"/>
      <c r="Q33" s="29"/>
    </row>
    <row r="34" customFormat="false" ht="15" hidden="false" customHeight="false" outlineLevel="0" collapsed="false">
      <c r="A34" s="29"/>
      <c r="B34" s="29"/>
      <c r="C34" s="29"/>
      <c r="D34" s="29"/>
      <c r="E34" s="30"/>
      <c r="F34" s="24"/>
      <c r="G34" s="31" t="str">
        <f aca="false">IF($A34="","",IFERROR(SUMIFS('حركة المخزون'!$G$5:$G$1004,'حركة المخزون'!$C$5:$C$1004,$A34,'حركة المخزون'!$B$5:$B$1004,"وارد شراء")/SUMIFS('حركة المخزون'!$E$5:$E$1004,'حركة المخزون'!$C$5:$C$1004,$A34,'حركة المخزون'!$B$5:$B$1004,"وارد شراء"),IFERROR(E34/F34,0)))</f>
        <v/>
      </c>
      <c r="H34" s="24"/>
      <c r="I34" s="27" t="str">
        <f aca="false">IF($A34="","",SUMIFS('حركة المخزون'!$E$5:$E$1004,'حركة المخزون'!$C$5:$C$1004,$A34,'حركة المخزون'!$B$5:$B$1004,"وارد شراء"))</f>
        <v/>
      </c>
      <c r="J34" s="27" t="str">
        <f aca="false">IF($A34="","",SUMIFS(الوصفات!$K$5:$K$304,الوصفات!$C$5:$C$304,$A34))</f>
        <v/>
      </c>
      <c r="K34" s="27" t="str">
        <f aca="false">IF($A34="","",SUMIFS('حركة المخزون'!$E$5:$E$1004,'حركة المخزون'!$C$5:$C$1004,$A34,'حركة المخزون'!$B$5:$B$1004,"تسوية زيادة")-SUMIFS('حركة المخزون'!$E$5:$E$1004,'حركة المخزون'!$C$5:$C$1004,$A34,'حركة المخزون'!$B$5:$B$1004,"تالف")-SUMIFS('حركة المخزون'!$E$5:$E$1004,'حركة المخزون'!$C$5:$C$1004,$A34,'حركة المخزون'!$B$5:$B$1004,"عينة / هدية")-SUMIFS('حركة المخزون'!$E$5:$E$1004,'حركة المخزون'!$C$5:$C$1004,$A34,'حركة المخزون'!$B$5:$B$1004,"تسوية نقص"))</f>
        <v/>
      </c>
      <c r="L34" s="27" t="str">
        <f aca="false">IF($A34="","",N(H34)+I34-J34+K34)</f>
        <v/>
      </c>
      <c r="M34" s="24"/>
      <c r="N34" s="28" t="str">
        <f aca="false">IF($A34="","",IF(AND(H34="",I34=0,J34=0),"لم يُسجل رصيد",IF(L34&lt;=0,"نفد",IF(L34&lt;=N(M34),"اطلب الآن","متوفر"))))</f>
        <v/>
      </c>
      <c r="O34" s="25" t="str">
        <f aca="false">IF($A34="","",L34*G34)</f>
        <v/>
      </c>
      <c r="P34" s="29"/>
      <c r="Q34" s="29"/>
    </row>
    <row r="35" customFormat="false" ht="15" hidden="false" customHeight="false" outlineLevel="0" collapsed="false">
      <c r="A35" s="29"/>
      <c r="B35" s="29"/>
      <c r="C35" s="29"/>
      <c r="D35" s="29"/>
      <c r="E35" s="30"/>
      <c r="F35" s="24"/>
      <c r="G35" s="31" t="str">
        <f aca="false">IF($A35="","",IFERROR(SUMIFS('حركة المخزون'!$G$5:$G$1004,'حركة المخزون'!$C$5:$C$1004,$A35,'حركة المخزون'!$B$5:$B$1004,"وارد شراء")/SUMIFS('حركة المخزون'!$E$5:$E$1004,'حركة المخزون'!$C$5:$C$1004,$A35,'حركة المخزون'!$B$5:$B$1004,"وارد شراء"),IFERROR(E35/F35,0)))</f>
        <v/>
      </c>
      <c r="H35" s="24"/>
      <c r="I35" s="27" t="str">
        <f aca="false">IF($A35="","",SUMIFS('حركة المخزون'!$E$5:$E$1004,'حركة المخزون'!$C$5:$C$1004,$A35,'حركة المخزون'!$B$5:$B$1004,"وارد شراء"))</f>
        <v/>
      </c>
      <c r="J35" s="27" t="str">
        <f aca="false">IF($A35="","",SUMIFS(الوصفات!$K$5:$K$304,الوصفات!$C$5:$C$304,$A35))</f>
        <v/>
      </c>
      <c r="K35" s="27" t="str">
        <f aca="false">IF($A35="","",SUMIFS('حركة المخزون'!$E$5:$E$1004,'حركة المخزون'!$C$5:$C$1004,$A35,'حركة المخزون'!$B$5:$B$1004,"تسوية زيادة")-SUMIFS('حركة المخزون'!$E$5:$E$1004,'حركة المخزون'!$C$5:$C$1004,$A35,'حركة المخزون'!$B$5:$B$1004,"تالف")-SUMIFS('حركة المخزون'!$E$5:$E$1004,'حركة المخزون'!$C$5:$C$1004,$A35,'حركة المخزون'!$B$5:$B$1004,"عينة / هدية")-SUMIFS('حركة المخزون'!$E$5:$E$1004,'حركة المخزون'!$C$5:$C$1004,$A35,'حركة المخزون'!$B$5:$B$1004,"تسوية نقص"))</f>
        <v/>
      </c>
      <c r="L35" s="27" t="str">
        <f aca="false">IF($A35="","",N(H35)+I35-J35+K35)</f>
        <v/>
      </c>
      <c r="M35" s="24"/>
      <c r="N35" s="28" t="str">
        <f aca="false">IF($A35="","",IF(AND(H35="",I35=0,J35=0),"لم يُسجل رصيد",IF(L35&lt;=0,"نفد",IF(L35&lt;=N(M35),"اطلب الآن","متوفر"))))</f>
        <v/>
      </c>
      <c r="O35" s="25" t="str">
        <f aca="false">IF($A35="","",L35*G35)</f>
        <v/>
      </c>
      <c r="P35" s="29"/>
      <c r="Q35" s="29"/>
    </row>
    <row r="36" customFormat="false" ht="15" hidden="false" customHeight="false" outlineLevel="0" collapsed="false">
      <c r="A36" s="29"/>
      <c r="B36" s="29"/>
      <c r="C36" s="29"/>
      <c r="D36" s="29"/>
      <c r="E36" s="30"/>
      <c r="F36" s="24"/>
      <c r="G36" s="31" t="str">
        <f aca="false">IF($A36="","",IFERROR(SUMIFS('حركة المخزون'!$G$5:$G$1004,'حركة المخزون'!$C$5:$C$1004,$A36,'حركة المخزون'!$B$5:$B$1004,"وارد شراء")/SUMIFS('حركة المخزون'!$E$5:$E$1004,'حركة المخزون'!$C$5:$C$1004,$A36,'حركة المخزون'!$B$5:$B$1004,"وارد شراء"),IFERROR(E36/F36,0)))</f>
        <v/>
      </c>
      <c r="H36" s="24"/>
      <c r="I36" s="27" t="str">
        <f aca="false">IF($A36="","",SUMIFS('حركة المخزون'!$E$5:$E$1004,'حركة المخزون'!$C$5:$C$1004,$A36,'حركة المخزون'!$B$5:$B$1004,"وارد شراء"))</f>
        <v/>
      </c>
      <c r="J36" s="27" t="str">
        <f aca="false">IF($A36="","",SUMIFS(الوصفات!$K$5:$K$304,الوصفات!$C$5:$C$304,$A36))</f>
        <v/>
      </c>
      <c r="K36" s="27" t="str">
        <f aca="false">IF($A36="","",SUMIFS('حركة المخزون'!$E$5:$E$1004,'حركة المخزون'!$C$5:$C$1004,$A36,'حركة المخزون'!$B$5:$B$1004,"تسوية زيادة")-SUMIFS('حركة المخزون'!$E$5:$E$1004,'حركة المخزون'!$C$5:$C$1004,$A36,'حركة المخزون'!$B$5:$B$1004,"تالف")-SUMIFS('حركة المخزون'!$E$5:$E$1004,'حركة المخزون'!$C$5:$C$1004,$A36,'حركة المخزون'!$B$5:$B$1004,"عينة / هدية")-SUMIFS('حركة المخزون'!$E$5:$E$1004,'حركة المخزون'!$C$5:$C$1004,$A36,'حركة المخزون'!$B$5:$B$1004,"تسوية نقص"))</f>
        <v/>
      </c>
      <c r="L36" s="27" t="str">
        <f aca="false">IF($A36="","",N(H36)+I36-J36+K36)</f>
        <v/>
      </c>
      <c r="M36" s="24"/>
      <c r="N36" s="28" t="str">
        <f aca="false">IF($A36="","",IF(AND(H36="",I36=0,J36=0),"لم يُسجل رصيد",IF(L36&lt;=0,"نفد",IF(L36&lt;=N(M36),"اطلب الآن","متوفر"))))</f>
        <v/>
      </c>
      <c r="O36" s="25" t="str">
        <f aca="false">IF($A36="","",L36*G36)</f>
        <v/>
      </c>
      <c r="P36" s="29"/>
      <c r="Q36" s="29"/>
    </row>
    <row r="37" customFormat="false" ht="15" hidden="false" customHeight="false" outlineLevel="0" collapsed="false">
      <c r="A37" s="29"/>
      <c r="B37" s="29"/>
      <c r="C37" s="29"/>
      <c r="D37" s="29"/>
      <c r="E37" s="30"/>
      <c r="F37" s="24"/>
      <c r="G37" s="31" t="str">
        <f aca="false">IF($A37="","",IFERROR(SUMIFS('حركة المخزون'!$G$5:$G$1004,'حركة المخزون'!$C$5:$C$1004,$A37,'حركة المخزون'!$B$5:$B$1004,"وارد شراء")/SUMIFS('حركة المخزون'!$E$5:$E$1004,'حركة المخزون'!$C$5:$C$1004,$A37,'حركة المخزون'!$B$5:$B$1004,"وارد شراء"),IFERROR(E37/F37,0)))</f>
        <v/>
      </c>
      <c r="H37" s="24"/>
      <c r="I37" s="27" t="str">
        <f aca="false">IF($A37="","",SUMIFS('حركة المخزون'!$E$5:$E$1004,'حركة المخزون'!$C$5:$C$1004,$A37,'حركة المخزون'!$B$5:$B$1004,"وارد شراء"))</f>
        <v/>
      </c>
      <c r="J37" s="27" t="str">
        <f aca="false">IF($A37="","",SUMIFS(الوصفات!$K$5:$K$304,الوصفات!$C$5:$C$304,$A37))</f>
        <v/>
      </c>
      <c r="K37" s="27" t="str">
        <f aca="false">IF($A37="","",SUMIFS('حركة المخزون'!$E$5:$E$1004,'حركة المخزون'!$C$5:$C$1004,$A37,'حركة المخزون'!$B$5:$B$1004,"تسوية زيادة")-SUMIFS('حركة المخزون'!$E$5:$E$1004,'حركة المخزون'!$C$5:$C$1004,$A37,'حركة المخزون'!$B$5:$B$1004,"تالف")-SUMIFS('حركة المخزون'!$E$5:$E$1004,'حركة المخزون'!$C$5:$C$1004,$A37,'حركة المخزون'!$B$5:$B$1004,"عينة / هدية")-SUMIFS('حركة المخزون'!$E$5:$E$1004,'حركة المخزون'!$C$5:$C$1004,$A37,'حركة المخزون'!$B$5:$B$1004,"تسوية نقص"))</f>
        <v/>
      </c>
      <c r="L37" s="27" t="str">
        <f aca="false">IF($A37="","",N(H37)+I37-J37+K37)</f>
        <v/>
      </c>
      <c r="M37" s="24"/>
      <c r="N37" s="28" t="str">
        <f aca="false">IF($A37="","",IF(AND(H37="",I37=0,J37=0),"لم يُسجل رصيد",IF(L37&lt;=0,"نفد",IF(L37&lt;=N(M37),"اطلب الآن","متوفر"))))</f>
        <v/>
      </c>
      <c r="O37" s="25" t="str">
        <f aca="false">IF($A37="","",L37*G37)</f>
        <v/>
      </c>
      <c r="P37" s="29"/>
      <c r="Q37" s="29"/>
    </row>
    <row r="38" customFormat="false" ht="15" hidden="false" customHeight="false" outlineLevel="0" collapsed="false">
      <c r="A38" s="29"/>
      <c r="B38" s="29"/>
      <c r="C38" s="29"/>
      <c r="D38" s="29"/>
      <c r="E38" s="30"/>
      <c r="F38" s="24"/>
      <c r="G38" s="31" t="str">
        <f aca="false">IF($A38="","",IFERROR(SUMIFS('حركة المخزون'!$G$5:$G$1004,'حركة المخزون'!$C$5:$C$1004,$A38,'حركة المخزون'!$B$5:$B$1004,"وارد شراء")/SUMIFS('حركة المخزون'!$E$5:$E$1004,'حركة المخزون'!$C$5:$C$1004,$A38,'حركة المخزون'!$B$5:$B$1004,"وارد شراء"),IFERROR(E38/F38,0)))</f>
        <v/>
      </c>
      <c r="H38" s="24"/>
      <c r="I38" s="27" t="str">
        <f aca="false">IF($A38="","",SUMIFS('حركة المخزون'!$E$5:$E$1004,'حركة المخزون'!$C$5:$C$1004,$A38,'حركة المخزون'!$B$5:$B$1004,"وارد شراء"))</f>
        <v/>
      </c>
      <c r="J38" s="27" t="str">
        <f aca="false">IF($A38="","",SUMIFS(الوصفات!$K$5:$K$304,الوصفات!$C$5:$C$304,$A38))</f>
        <v/>
      </c>
      <c r="K38" s="27" t="str">
        <f aca="false">IF($A38="","",SUMIFS('حركة المخزون'!$E$5:$E$1004,'حركة المخزون'!$C$5:$C$1004,$A38,'حركة المخزون'!$B$5:$B$1004,"تسوية زيادة")-SUMIFS('حركة المخزون'!$E$5:$E$1004,'حركة المخزون'!$C$5:$C$1004,$A38,'حركة المخزون'!$B$5:$B$1004,"تالف")-SUMIFS('حركة المخزون'!$E$5:$E$1004,'حركة المخزون'!$C$5:$C$1004,$A38,'حركة المخزون'!$B$5:$B$1004,"عينة / هدية")-SUMIFS('حركة المخزون'!$E$5:$E$1004,'حركة المخزون'!$C$5:$C$1004,$A38,'حركة المخزون'!$B$5:$B$1004,"تسوية نقص"))</f>
        <v/>
      </c>
      <c r="L38" s="27" t="str">
        <f aca="false">IF($A38="","",N(H38)+I38-J38+K38)</f>
        <v/>
      </c>
      <c r="M38" s="24"/>
      <c r="N38" s="28" t="str">
        <f aca="false">IF($A38="","",IF(AND(H38="",I38=0,J38=0),"لم يُسجل رصيد",IF(L38&lt;=0,"نفد",IF(L38&lt;=N(M38),"اطلب الآن","متوفر"))))</f>
        <v/>
      </c>
      <c r="O38" s="25" t="str">
        <f aca="false">IF($A38="","",L38*G38)</f>
        <v/>
      </c>
      <c r="P38" s="29"/>
      <c r="Q38" s="29"/>
    </row>
    <row r="39" customFormat="false" ht="15" hidden="false" customHeight="false" outlineLevel="0" collapsed="false">
      <c r="A39" s="29"/>
      <c r="B39" s="29"/>
      <c r="C39" s="29"/>
      <c r="D39" s="29"/>
      <c r="E39" s="30"/>
      <c r="F39" s="24"/>
      <c r="G39" s="31" t="str">
        <f aca="false">IF($A39="","",IFERROR(SUMIFS('حركة المخزون'!$G$5:$G$1004,'حركة المخزون'!$C$5:$C$1004,$A39,'حركة المخزون'!$B$5:$B$1004,"وارد شراء")/SUMIFS('حركة المخزون'!$E$5:$E$1004,'حركة المخزون'!$C$5:$C$1004,$A39,'حركة المخزون'!$B$5:$B$1004,"وارد شراء"),IFERROR(E39/F39,0)))</f>
        <v/>
      </c>
      <c r="H39" s="24"/>
      <c r="I39" s="27" t="str">
        <f aca="false">IF($A39="","",SUMIFS('حركة المخزون'!$E$5:$E$1004,'حركة المخزون'!$C$5:$C$1004,$A39,'حركة المخزون'!$B$5:$B$1004,"وارد شراء"))</f>
        <v/>
      </c>
      <c r="J39" s="27" t="str">
        <f aca="false">IF($A39="","",SUMIFS(الوصفات!$K$5:$K$304,الوصفات!$C$5:$C$304,$A39))</f>
        <v/>
      </c>
      <c r="K39" s="27" t="str">
        <f aca="false">IF($A39="","",SUMIFS('حركة المخزون'!$E$5:$E$1004,'حركة المخزون'!$C$5:$C$1004,$A39,'حركة المخزون'!$B$5:$B$1004,"تسوية زيادة")-SUMIFS('حركة المخزون'!$E$5:$E$1004,'حركة المخزون'!$C$5:$C$1004,$A39,'حركة المخزون'!$B$5:$B$1004,"تالف")-SUMIFS('حركة المخزون'!$E$5:$E$1004,'حركة المخزون'!$C$5:$C$1004,$A39,'حركة المخزون'!$B$5:$B$1004,"عينة / هدية")-SUMIFS('حركة المخزون'!$E$5:$E$1004,'حركة المخزون'!$C$5:$C$1004,$A39,'حركة المخزون'!$B$5:$B$1004,"تسوية نقص"))</f>
        <v/>
      </c>
      <c r="L39" s="27" t="str">
        <f aca="false">IF($A39="","",N(H39)+I39-J39+K39)</f>
        <v/>
      </c>
      <c r="M39" s="24"/>
      <c r="N39" s="28" t="str">
        <f aca="false">IF($A39="","",IF(AND(H39="",I39=0,J39=0),"لم يُسجل رصيد",IF(L39&lt;=0,"نفد",IF(L39&lt;=N(M39),"اطلب الآن","متوفر"))))</f>
        <v/>
      </c>
      <c r="O39" s="25" t="str">
        <f aca="false">IF($A39="","",L39*G39)</f>
        <v/>
      </c>
      <c r="P39" s="29"/>
      <c r="Q39" s="29"/>
    </row>
    <row r="40" customFormat="false" ht="15" hidden="false" customHeight="false" outlineLevel="0" collapsed="false">
      <c r="A40" s="29"/>
      <c r="B40" s="29"/>
      <c r="C40" s="29"/>
      <c r="D40" s="29"/>
      <c r="E40" s="30"/>
      <c r="F40" s="24"/>
      <c r="G40" s="31" t="str">
        <f aca="false">IF($A40="","",IFERROR(SUMIFS('حركة المخزون'!$G$5:$G$1004,'حركة المخزون'!$C$5:$C$1004,$A40,'حركة المخزون'!$B$5:$B$1004,"وارد شراء")/SUMIFS('حركة المخزون'!$E$5:$E$1004,'حركة المخزون'!$C$5:$C$1004,$A40,'حركة المخزون'!$B$5:$B$1004,"وارد شراء"),IFERROR(E40/F40,0)))</f>
        <v/>
      </c>
      <c r="H40" s="24"/>
      <c r="I40" s="27" t="str">
        <f aca="false">IF($A40="","",SUMIFS('حركة المخزون'!$E$5:$E$1004,'حركة المخزون'!$C$5:$C$1004,$A40,'حركة المخزون'!$B$5:$B$1004,"وارد شراء"))</f>
        <v/>
      </c>
      <c r="J40" s="27" t="str">
        <f aca="false">IF($A40="","",SUMIFS(الوصفات!$K$5:$K$304,الوصفات!$C$5:$C$304,$A40))</f>
        <v/>
      </c>
      <c r="K40" s="27" t="str">
        <f aca="false">IF($A40="","",SUMIFS('حركة المخزون'!$E$5:$E$1004,'حركة المخزون'!$C$5:$C$1004,$A40,'حركة المخزون'!$B$5:$B$1004,"تسوية زيادة")-SUMIFS('حركة المخزون'!$E$5:$E$1004,'حركة المخزون'!$C$5:$C$1004,$A40,'حركة المخزون'!$B$5:$B$1004,"تالف")-SUMIFS('حركة المخزون'!$E$5:$E$1004,'حركة المخزون'!$C$5:$C$1004,$A40,'حركة المخزون'!$B$5:$B$1004,"عينة / هدية")-SUMIFS('حركة المخزون'!$E$5:$E$1004,'حركة المخزون'!$C$5:$C$1004,$A40,'حركة المخزون'!$B$5:$B$1004,"تسوية نقص"))</f>
        <v/>
      </c>
      <c r="L40" s="27" t="str">
        <f aca="false">IF($A40="","",N(H40)+I40-J40+K40)</f>
        <v/>
      </c>
      <c r="M40" s="24"/>
      <c r="N40" s="28" t="str">
        <f aca="false">IF($A40="","",IF(AND(H40="",I40=0,J40=0),"لم يُسجل رصيد",IF(L40&lt;=0,"نفد",IF(L40&lt;=N(M40),"اطلب الآن","متوفر"))))</f>
        <v/>
      </c>
      <c r="O40" s="25" t="str">
        <f aca="false">IF($A40="","",L40*G40)</f>
        <v/>
      </c>
      <c r="P40" s="29"/>
      <c r="Q40" s="29"/>
    </row>
    <row r="41" customFormat="false" ht="15" hidden="false" customHeight="false" outlineLevel="0" collapsed="false">
      <c r="A41" s="29"/>
      <c r="B41" s="29"/>
      <c r="C41" s="29"/>
      <c r="D41" s="29"/>
      <c r="E41" s="30"/>
      <c r="F41" s="24"/>
      <c r="G41" s="31" t="str">
        <f aca="false">IF($A41="","",IFERROR(SUMIFS('حركة المخزون'!$G$5:$G$1004,'حركة المخزون'!$C$5:$C$1004,$A41,'حركة المخزون'!$B$5:$B$1004,"وارد شراء")/SUMIFS('حركة المخزون'!$E$5:$E$1004,'حركة المخزون'!$C$5:$C$1004,$A41,'حركة المخزون'!$B$5:$B$1004,"وارد شراء"),IFERROR(E41/F41,0)))</f>
        <v/>
      </c>
      <c r="H41" s="24"/>
      <c r="I41" s="27" t="str">
        <f aca="false">IF($A41="","",SUMIFS('حركة المخزون'!$E$5:$E$1004,'حركة المخزون'!$C$5:$C$1004,$A41,'حركة المخزون'!$B$5:$B$1004,"وارد شراء"))</f>
        <v/>
      </c>
      <c r="J41" s="27" t="str">
        <f aca="false">IF($A41="","",SUMIFS(الوصفات!$K$5:$K$304,الوصفات!$C$5:$C$304,$A41))</f>
        <v/>
      </c>
      <c r="K41" s="27" t="str">
        <f aca="false">IF($A41="","",SUMIFS('حركة المخزون'!$E$5:$E$1004,'حركة المخزون'!$C$5:$C$1004,$A41,'حركة المخزون'!$B$5:$B$1004,"تسوية زيادة")-SUMIFS('حركة المخزون'!$E$5:$E$1004,'حركة المخزون'!$C$5:$C$1004,$A41,'حركة المخزون'!$B$5:$B$1004,"تالف")-SUMIFS('حركة المخزون'!$E$5:$E$1004,'حركة المخزون'!$C$5:$C$1004,$A41,'حركة المخزون'!$B$5:$B$1004,"عينة / هدية")-SUMIFS('حركة المخزون'!$E$5:$E$1004,'حركة المخزون'!$C$5:$C$1004,$A41,'حركة المخزون'!$B$5:$B$1004,"تسوية نقص"))</f>
        <v/>
      </c>
      <c r="L41" s="27" t="str">
        <f aca="false">IF($A41="","",N(H41)+I41-J41+K41)</f>
        <v/>
      </c>
      <c r="M41" s="24"/>
      <c r="N41" s="28" t="str">
        <f aca="false">IF($A41="","",IF(AND(H41="",I41=0,J41=0),"لم يُسجل رصيد",IF(L41&lt;=0,"نفد",IF(L41&lt;=N(M41),"اطلب الآن","متوفر"))))</f>
        <v/>
      </c>
      <c r="O41" s="25" t="str">
        <f aca="false">IF($A41="","",L41*G41)</f>
        <v/>
      </c>
      <c r="P41" s="29"/>
      <c r="Q41" s="29"/>
    </row>
    <row r="42" customFormat="false" ht="15" hidden="false" customHeight="false" outlineLevel="0" collapsed="false">
      <c r="A42" s="29"/>
      <c r="B42" s="29"/>
      <c r="C42" s="29"/>
      <c r="D42" s="29"/>
      <c r="E42" s="30"/>
      <c r="F42" s="24"/>
      <c r="G42" s="31" t="str">
        <f aca="false">IF($A42="","",IFERROR(SUMIFS('حركة المخزون'!$G$5:$G$1004,'حركة المخزون'!$C$5:$C$1004,$A42,'حركة المخزون'!$B$5:$B$1004,"وارد شراء")/SUMIFS('حركة المخزون'!$E$5:$E$1004,'حركة المخزون'!$C$5:$C$1004,$A42,'حركة المخزون'!$B$5:$B$1004,"وارد شراء"),IFERROR(E42/F42,0)))</f>
        <v/>
      </c>
      <c r="H42" s="24"/>
      <c r="I42" s="27" t="str">
        <f aca="false">IF($A42="","",SUMIFS('حركة المخزون'!$E$5:$E$1004,'حركة المخزون'!$C$5:$C$1004,$A42,'حركة المخزون'!$B$5:$B$1004,"وارد شراء"))</f>
        <v/>
      </c>
      <c r="J42" s="27" t="str">
        <f aca="false">IF($A42="","",SUMIFS(الوصفات!$K$5:$K$304,الوصفات!$C$5:$C$304,$A42))</f>
        <v/>
      </c>
      <c r="K42" s="27" t="str">
        <f aca="false">IF($A42="","",SUMIFS('حركة المخزون'!$E$5:$E$1004,'حركة المخزون'!$C$5:$C$1004,$A42,'حركة المخزون'!$B$5:$B$1004,"تسوية زيادة")-SUMIFS('حركة المخزون'!$E$5:$E$1004,'حركة المخزون'!$C$5:$C$1004,$A42,'حركة المخزون'!$B$5:$B$1004,"تالف")-SUMIFS('حركة المخزون'!$E$5:$E$1004,'حركة المخزون'!$C$5:$C$1004,$A42,'حركة المخزون'!$B$5:$B$1004,"عينة / هدية")-SUMIFS('حركة المخزون'!$E$5:$E$1004,'حركة المخزون'!$C$5:$C$1004,$A42,'حركة المخزون'!$B$5:$B$1004,"تسوية نقص"))</f>
        <v/>
      </c>
      <c r="L42" s="27" t="str">
        <f aca="false">IF($A42="","",N(H42)+I42-J42+K42)</f>
        <v/>
      </c>
      <c r="M42" s="24"/>
      <c r="N42" s="28" t="str">
        <f aca="false">IF($A42="","",IF(AND(H42="",I42=0,J42=0),"لم يُسجل رصيد",IF(L42&lt;=0,"نفد",IF(L42&lt;=N(M42),"اطلب الآن","متوفر"))))</f>
        <v/>
      </c>
      <c r="O42" s="25" t="str">
        <f aca="false">IF($A42="","",L42*G42)</f>
        <v/>
      </c>
      <c r="P42" s="29"/>
      <c r="Q42" s="29"/>
    </row>
    <row r="43" customFormat="false" ht="15" hidden="false" customHeight="false" outlineLevel="0" collapsed="false">
      <c r="A43" s="29"/>
      <c r="B43" s="29"/>
      <c r="C43" s="29"/>
      <c r="D43" s="29"/>
      <c r="E43" s="30"/>
      <c r="F43" s="24"/>
      <c r="G43" s="31" t="str">
        <f aca="false">IF($A43="","",IFERROR(SUMIFS('حركة المخزون'!$G$5:$G$1004,'حركة المخزون'!$C$5:$C$1004,$A43,'حركة المخزون'!$B$5:$B$1004,"وارد شراء")/SUMIFS('حركة المخزون'!$E$5:$E$1004,'حركة المخزون'!$C$5:$C$1004,$A43,'حركة المخزون'!$B$5:$B$1004,"وارد شراء"),IFERROR(E43/F43,0)))</f>
        <v/>
      </c>
      <c r="H43" s="24"/>
      <c r="I43" s="27" t="str">
        <f aca="false">IF($A43="","",SUMIFS('حركة المخزون'!$E$5:$E$1004,'حركة المخزون'!$C$5:$C$1004,$A43,'حركة المخزون'!$B$5:$B$1004,"وارد شراء"))</f>
        <v/>
      </c>
      <c r="J43" s="27" t="str">
        <f aca="false">IF($A43="","",SUMIFS(الوصفات!$K$5:$K$304,الوصفات!$C$5:$C$304,$A43))</f>
        <v/>
      </c>
      <c r="K43" s="27" t="str">
        <f aca="false">IF($A43="","",SUMIFS('حركة المخزون'!$E$5:$E$1004,'حركة المخزون'!$C$5:$C$1004,$A43,'حركة المخزون'!$B$5:$B$1004,"تسوية زيادة")-SUMIFS('حركة المخزون'!$E$5:$E$1004,'حركة المخزون'!$C$5:$C$1004,$A43,'حركة المخزون'!$B$5:$B$1004,"تالف")-SUMIFS('حركة المخزون'!$E$5:$E$1004,'حركة المخزون'!$C$5:$C$1004,$A43,'حركة المخزون'!$B$5:$B$1004,"عينة / هدية")-SUMIFS('حركة المخزون'!$E$5:$E$1004,'حركة المخزون'!$C$5:$C$1004,$A43,'حركة المخزون'!$B$5:$B$1004,"تسوية نقص"))</f>
        <v/>
      </c>
      <c r="L43" s="27" t="str">
        <f aca="false">IF($A43="","",N(H43)+I43-J43+K43)</f>
        <v/>
      </c>
      <c r="M43" s="24"/>
      <c r="N43" s="28" t="str">
        <f aca="false">IF($A43="","",IF(AND(H43="",I43=0,J43=0),"لم يُسجل رصيد",IF(L43&lt;=0,"نفد",IF(L43&lt;=N(M43),"اطلب الآن","متوفر"))))</f>
        <v/>
      </c>
      <c r="O43" s="25" t="str">
        <f aca="false">IF($A43="","",L43*G43)</f>
        <v/>
      </c>
      <c r="P43" s="29"/>
      <c r="Q43" s="29"/>
    </row>
    <row r="44" customFormat="false" ht="15" hidden="false" customHeight="false" outlineLevel="0" collapsed="false">
      <c r="A44" s="29"/>
      <c r="B44" s="29"/>
      <c r="C44" s="29"/>
      <c r="D44" s="29"/>
      <c r="E44" s="30"/>
      <c r="F44" s="24"/>
      <c r="G44" s="31" t="str">
        <f aca="false">IF($A44="","",IFERROR(SUMIFS('حركة المخزون'!$G$5:$G$1004,'حركة المخزون'!$C$5:$C$1004,$A44,'حركة المخزون'!$B$5:$B$1004,"وارد شراء")/SUMIFS('حركة المخزون'!$E$5:$E$1004,'حركة المخزون'!$C$5:$C$1004,$A44,'حركة المخزون'!$B$5:$B$1004,"وارد شراء"),IFERROR(E44/F44,0)))</f>
        <v/>
      </c>
      <c r="H44" s="24"/>
      <c r="I44" s="27" t="str">
        <f aca="false">IF($A44="","",SUMIFS('حركة المخزون'!$E$5:$E$1004,'حركة المخزون'!$C$5:$C$1004,$A44,'حركة المخزون'!$B$5:$B$1004,"وارد شراء"))</f>
        <v/>
      </c>
      <c r="J44" s="27" t="str">
        <f aca="false">IF($A44="","",SUMIFS(الوصفات!$K$5:$K$304,الوصفات!$C$5:$C$304,$A44))</f>
        <v/>
      </c>
      <c r="K44" s="27" t="str">
        <f aca="false">IF($A44="","",SUMIFS('حركة المخزون'!$E$5:$E$1004,'حركة المخزون'!$C$5:$C$1004,$A44,'حركة المخزون'!$B$5:$B$1004,"تسوية زيادة")-SUMIFS('حركة المخزون'!$E$5:$E$1004,'حركة المخزون'!$C$5:$C$1004,$A44,'حركة المخزون'!$B$5:$B$1004,"تالف")-SUMIFS('حركة المخزون'!$E$5:$E$1004,'حركة المخزون'!$C$5:$C$1004,$A44,'حركة المخزون'!$B$5:$B$1004,"عينة / هدية")-SUMIFS('حركة المخزون'!$E$5:$E$1004,'حركة المخزون'!$C$5:$C$1004,$A44,'حركة المخزون'!$B$5:$B$1004,"تسوية نقص"))</f>
        <v/>
      </c>
      <c r="L44" s="27" t="str">
        <f aca="false">IF($A44="","",N(H44)+I44-J44+K44)</f>
        <v/>
      </c>
      <c r="M44" s="24"/>
      <c r="N44" s="28" t="str">
        <f aca="false">IF($A44="","",IF(AND(H44="",I44=0,J44=0),"لم يُسجل رصيد",IF(L44&lt;=0,"نفد",IF(L44&lt;=N(M44),"اطلب الآن","متوفر"))))</f>
        <v/>
      </c>
      <c r="O44" s="25" t="str">
        <f aca="false">IF($A44="","",L44*G44)</f>
        <v/>
      </c>
      <c r="P44" s="29"/>
      <c r="Q44" s="29"/>
    </row>
    <row r="45" customFormat="false" ht="15" hidden="false" customHeight="false" outlineLevel="0" collapsed="false">
      <c r="A45" s="29"/>
      <c r="B45" s="29"/>
      <c r="C45" s="29"/>
      <c r="D45" s="29"/>
      <c r="E45" s="30"/>
      <c r="F45" s="24"/>
      <c r="G45" s="31" t="str">
        <f aca="false">IF($A45="","",IFERROR(SUMIFS('حركة المخزون'!$G$5:$G$1004,'حركة المخزون'!$C$5:$C$1004,$A45,'حركة المخزون'!$B$5:$B$1004,"وارد شراء")/SUMIFS('حركة المخزون'!$E$5:$E$1004,'حركة المخزون'!$C$5:$C$1004,$A45,'حركة المخزون'!$B$5:$B$1004,"وارد شراء"),IFERROR(E45/F45,0)))</f>
        <v/>
      </c>
      <c r="H45" s="24"/>
      <c r="I45" s="27" t="str">
        <f aca="false">IF($A45="","",SUMIFS('حركة المخزون'!$E$5:$E$1004,'حركة المخزون'!$C$5:$C$1004,$A45,'حركة المخزون'!$B$5:$B$1004,"وارد شراء"))</f>
        <v/>
      </c>
      <c r="J45" s="27" t="str">
        <f aca="false">IF($A45="","",SUMIFS(الوصفات!$K$5:$K$304,الوصفات!$C$5:$C$304,$A45))</f>
        <v/>
      </c>
      <c r="K45" s="27" t="str">
        <f aca="false">IF($A45="","",SUMIFS('حركة المخزون'!$E$5:$E$1004,'حركة المخزون'!$C$5:$C$1004,$A45,'حركة المخزون'!$B$5:$B$1004,"تسوية زيادة")-SUMIFS('حركة المخزون'!$E$5:$E$1004,'حركة المخزون'!$C$5:$C$1004,$A45,'حركة المخزون'!$B$5:$B$1004,"تالف")-SUMIFS('حركة المخزون'!$E$5:$E$1004,'حركة المخزون'!$C$5:$C$1004,$A45,'حركة المخزون'!$B$5:$B$1004,"عينة / هدية")-SUMIFS('حركة المخزون'!$E$5:$E$1004,'حركة المخزون'!$C$5:$C$1004,$A45,'حركة المخزون'!$B$5:$B$1004,"تسوية نقص"))</f>
        <v/>
      </c>
      <c r="L45" s="27" t="str">
        <f aca="false">IF($A45="","",N(H45)+I45-J45+K45)</f>
        <v/>
      </c>
      <c r="M45" s="24"/>
      <c r="N45" s="28" t="str">
        <f aca="false">IF($A45="","",IF(AND(H45="",I45=0,J45=0),"لم يُسجل رصيد",IF(L45&lt;=0,"نفد",IF(L45&lt;=N(M45),"اطلب الآن","متوفر"))))</f>
        <v/>
      </c>
      <c r="O45" s="25" t="str">
        <f aca="false">IF($A45="","",L45*G45)</f>
        <v/>
      </c>
      <c r="P45" s="29"/>
      <c r="Q45" s="29"/>
    </row>
    <row r="46" customFormat="false" ht="15" hidden="false" customHeight="false" outlineLevel="0" collapsed="false">
      <c r="A46" s="29"/>
      <c r="B46" s="29"/>
      <c r="C46" s="29"/>
      <c r="D46" s="29"/>
      <c r="E46" s="30"/>
      <c r="F46" s="24"/>
      <c r="G46" s="31" t="str">
        <f aca="false">IF($A46="","",IFERROR(SUMIFS('حركة المخزون'!$G$5:$G$1004,'حركة المخزون'!$C$5:$C$1004,$A46,'حركة المخزون'!$B$5:$B$1004,"وارد شراء")/SUMIFS('حركة المخزون'!$E$5:$E$1004,'حركة المخزون'!$C$5:$C$1004,$A46,'حركة المخزون'!$B$5:$B$1004,"وارد شراء"),IFERROR(E46/F46,0)))</f>
        <v/>
      </c>
      <c r="H46" s="24"/>
      <c r="I46" s="27" t="str">
        <f aca="false">IF($A46="","",SUMIFS('حركة المخزون'!$E$5:$E$1004,'حركة المخزون'!$C$5:$C$1004,$A46,'حركة المخزون'!$B$5:$B$1004,"وارد شراء"))</f>
        <v/>
      </c>
      <c r="J46" s="27" t="str">
        <f aca="false">IF($A46="","",SUMIFS(الوصفات!$K$5:$K$304,الوصفات!$C$5:$C$304,$A46))</f>
        <v/>
      </c>
      <c r="K46" s="27" t="str">
        <f aca="false">IF($A46="","",SUMIFS('حركة المخزون'!$E$5:$E$1004,'حركة المخزون'!$C$5:$C$1004,$A46,'حركة المخزون'!$B$5:$B$1004,"تسوية زيادة")-SUMIFS('حركة المخزون'!$E$5:$E$1004,'حركة المخزون'!$C$5:$C$1004,$A46,'حركة المخزون'!$B$5:$B$1004,"تالف")-SUMIFS('حركة المخزون'!$E$5:$E$1004,'حركة المخزون'!$C$5:$C$1004,$A46,'حركة المخزون'!$B$5:$B$1004,"عينة / هدية")-SUMIFS('حركة المخزون'!$E$5:$E$1004,'حركة المخزون'!$C$5:$C$1004,$A46,'حركة المخزون'!$B$5:$B$1004,"تسوية نقص"))</f>
        <v/>
      </c>
      <c r="L46" s="27" t="str">
        <f aca="false">IF($A46="","",N(H46)+I46-J46+K46)</f>
        <v/>
      </c>
      <c r="M46" s="24"/>
      <c r="N46" s="28" t="str">
        <f aca="false">IF($A46="","",IF(AND(H46="",I46=0,J46=0),"لم يُسجل رصيد",IF(L46&lt;=0,"نفد",IF(L46&lt;=N(M46),"اطلب الآن","متوفر"))))</f>
        <v/>
      </c>
      <c r="O46" s="25" t="str">
        <f aca="false">IF($A46="","",L46*G46)</f>
        <v/>
      </c>
      <c r="P46" s="29"/>
      <c r="Q46" s="29"/>
    </row>
    <row r="47" customFormat="false" ht="15" hidden="false" customHeight="false" outlineLevel="0" collapsed="false">
      <c r="A47" s="29"/>
      <c r="B47" s="29"/>
      <c r="C47" s="29"/>
      <c r="D47" s="29"/>
      <c r="E47" s="30"/>
      <c r="F47" s="24"/>
      <c r="G47" s="31" t="str">
        <f aca="false">IF($A47="","",IFERROR(SUMIFS('حركة المخزون'!$G$5:$G$1004,'حركة المخزون'!$C$5:$C$1004,$A47,'حركة المخزون'!$B$5:$B$1004,"وارد شراء")/SUMIFS('حركة المخزون'!$E$5:$E$1004,'حركة المخزون'!$C$5:$C$1004,$A47,'حركة المخزون'!$B$5:$B$1004,"وارد شراء"),IFERROR(E47/F47,0)))</f>
        <v/>
      </c>
      <c r="H47" s="24"/>
      <c r="I47" s="27" t="str">
        <f aca="false">IF($A47="","",SUMIFS('حركة المخزون'!$E$5:$E$1004,'حركة المخزون'!$C$5:$C$1004,$A47,'حركة المخزون'!$B$5:$B$1004,"وارد شراء"))</f>
        <v/>
      </c>
      <c r="J47" s="27" t="str">
        <f aca="false">IF($A47="","",SUMIFS(الوصفات!$K$5:$K$304,الوصفات!$C$5:$C$304,$A47))</f>
        <v/>
      </c>
      <c r="K47" s="27" t="str">
        <f aca="false">IF($A47="","",SUMIFS('حركة المخزون'!$E$5:$E$1004,'حركة المخزون'!$C$5:$C$1004,$A47,'حركة المخزون'!$B$5:$B$1004,"تسوية زيادة")-SUMIFS('حركة المخزون'!$E$5:$E$1004,'حركة المخزون'!$C$5:$C$1004,$A47,'حركة المخزون'!$B$5:$B$1004,"تالف")-SUMIFS('حركة المخزون'!$E$5:$E$1004,'حركة المخزون'!$C$5:$C$1004,$A47,'حركة المخزون'!$B$5:$B$1004,"عينة / هدية")-SUMIFS('حركة المخزون'!$E$5:$E$1004,'حركة المخزون'!$C$5:$C$1004,$A47,'حركة المخزون'!$B$5:$B$1004,"تسوية نقص"))</f>
        <v/>
      </c>
      <c r="L47" s="27" t="str">
        <f aca="false">IF($A47="","",N(H47)+I47-J47+K47)</f>
        <v/>
      </c>
      <c r="M47" s="24"/>
      <c r="N47" s="28" t="str">
        <f aca="false">IF($A47="","",IF(AND(H47="",I47=0,J47=0),"لم يُسجل رصيد",IF(L47&lt;=0,"نفد",IF(L47&lt;=N(M47),"اطلب الآن","متوفر"))))</f>
        <v/>
      </c>
      <c r="O47" s="25" t="str">
        <f aca="false">IF($A47="","",L47*G47)</f>
        <v/>
      </c>
      <c r="P47" s="29"/>
      <c r="Q47" s="29"/>
    </row>
    <row r="48" customFormat="false" ht="15" hidden="false" customHeight="false" outlineLevel="0" collapsed="false">
      <c r="A48" s="29"/>
      <c r="B48" s="29"/>
      <c r="C48" s="29"/>
      <c r="D48" s="29"/>
      <c r="E48" s="30"/>
      <c r="F48" s="24"/>
      <c r="G48" s="31" t="str">
        <f aca="false">IF($A48="","",IFERROR(SUMIFS('حركة المخزون'!$G$5:$G$1004,'حركة المخزون'!$C$5:$C$1004,$A48,'حركة المخزون'!$B$5:$B$1004,"وارد شراء")/SUMIFS('حركة المخزون'!$E$5:$E$1004,'حركة المخزون'!$C$5:$C$1004,$A48,'حركة المخزون'!$B$5:$B$1004,"وارد شراء"),IFERROR(E48/F48,0)))</f>
        <v/>
      </c>
      <c r="H48" s="24"/>
      <c r="I48" s="27" t="str">
        <f aca="false">IF($A48="","",SUMIFS('حركة المخزون'!$E$5:$E$1004,'حركة المخزون'!$C$5:$C$1004,$A48,'حركة المخزون'!$B$5:$B$1004,"وارد شراء"))</f>
        <v/>
      </c>
      <c r="J48" s="27" t="str">
        <f aca="false">IF($A48="","",SUMIFS(الوصفات!$K$5:$K$304,الوصفات!$C$5:$C$304,$A48))</f>
        <v/>
      </c>
      <c r="K48" s="27" t="str">
        <f aca="false">IF($A48="","",SUMIFS('حركة المخزون'!$E$5:$E$1004,'حركة المخزون'!$C$5:$C$1004,$A48,'حركة المخزون'!$B$5:$B$1004,"تسوية زيادة")-SUMIFS('حركة المخزون'!$E$5:$E$1004,'حركة المخزون'!$C$5:$C$1004,$A48,'حركة المخزون'!$B$5:$B$1004,"تالف")-SUMIFS('حركة المخزون'!$E$5:$E$1004,'حركة المخزون'!$C$5:$C$1004,$A48,'حركة المخزون'!$B$5:$B$1004,"عينة / هدية")-SUMIFS('حركة المخزون'!$E$5:$E$1004,'حركة المخزون'!$C$5:$C$1004,$A48,'حركة المخزون'!$B$5:$B$1004,"تسوية نقص"))</f>
        <v/>
      </c>
      <c r="L48" s="27" t="str">
        <f aca="false">IF($A48="","",N(H48)+I48-J48+K48)</f>
        <v/>
      </c>
      <c r="M48" s="24"/>
      <c r="N48" s="28" t="str">
        <f aca="false">IF($A48="","",IF(AND(H48="",I48=0,J48=0),"لم يُسجل رصيد",IF(L48&lt;=0,"نفد",IF(L48&lt;=N(M48),"اطلب الآن","متوفر"))))</f>
        <v/>
      </c>
      <c r="O48" s="25" t="str">
        <f aca="false">IF($A48="","",L48*G48)</f>
        <v/>
      </c>
      <c r="P48" s="29"/>
      <c r="Q48" s="29"/>
    </row>
    <row r="49" customFormat="false" ht="15" hidden="false" customHeight="false" outlineLevel="0" collapsed="false">
      <c r="A49" s="29"/>
      <c r="B49" s="29"/>
      <c r="C49" s="29"/>
      <c r="D49" s="29"/>
      <c r="E49" s="30"/>
      <c r="F49" s="24"/>
      <c r="G49" s="31" t="str">
        <f aca="false">IF($A49="","",IFERROR(SUMIFS('حركة المخزون'!$G$5:$G$1004,'حركة المخزون'!$C$5:$C$1004,$A49,'حركة المخزون'!$B$5:$B$1004,"وارد شراء")/SUMIFS('حركة المخزون'!$E$5:$E$1004,'حركة المخزون'!$C$5:$C$1004,$A49,'حركة المخزون'!$B$5:$B$1004,"وارد شراء"),IFERROR(E49/F49,0)))</f>
        <v/>
      </c>
      <c r="H49" s="24"/>
      <c r="I49" s="27" t="str">
        <f aca="false">IF($A49="","",SUMIFS('حركة المخزون'!$E$5:$E$1004,'حركة المخزون'!$C$5:$C$1004,$A49,'حركة المخزون'!$B$5:$B$1004,"وارد شراء"))</f>
        <v/>
      </c>
      <c r="J49" s="27" t="str">
        <f aca="false">IF($A49="","",SUMIFS(الوصفات!$K$5:$K$304,الوصفات!$C$5:$C$304,$A49))</f>
        <v/>
      </c>
      <c r="K49" s="27" t="str">
        <f aca="false">IF($A49="","",SUMIFS('حركة المخزون'!$E$5:$E$1004,'حركة المخزون'!$C$5:$C$1004,$A49,'حركة المخزون'!$B$5:$B$1004,"تسوية زيادة")-SUMIFS('حركة المخزون'!$E$5:$E$1004,'حركة المخزون'!$C$5:$C$1004,$A49,'حركة المخزون'!$B$5:$B$1004,"تالف")-SUMIFS('حركة المخزون'!$E$5:$E$1004,'حركة المخزون'!$C$5:$C$1004,$A49,'حركة المخزون'!$B$5:$B$1004,"عينة / هدية")-SUMIFS('حركة المخزون'!$E$5:$E$1004,'حركة المخزون'!$C$5:$C$1004,$A49,'حركة المخزون'!$B$5:$B$1004,"تسوية نقص"))</f>
        <v/>
      </c>
      <c r="L49" s="27" t="str">
        <f aca="false">IF($A49="","",N(H49)+I49-J49+K49)</f>
        <v/>
      </c>
      <c r="M49" s="24"/>
      <c r="N49" s="28" t="str">
        <f aca="false">IF($A49="","",IF(AND(H49="",I49=0,J49=0),"لم يُسجل رصيد",IF(L49&lt;=0,"نفد",IF(L49&lt;=N(M49),"اطلب الآن","متوفر"))))</f>
        <v/>
      </c>
      <c r="O49" s="25" t="str">
        <f aca="false">IF($A49="","",L49*G49)</f>
        <v/>
      </c>
      <c r="P49" s="29"/>
      <c r="Q49" s="29"/>
    </row>
    <row r="50" customFormat="false" ht="15" hidden="false" customHeight="false" outlineLevel="0" collapsed="false">
      <c r="A50" s="29"/>
      <c r="B50" s="29"/>
      <c r="C50" s="29"/>
      <c r="D50" s="29"/>
      <c r="E50" s="30"/>
      <c r="F50" s="24"/>
      <c r="G50" s="31" t="str">
        <f aca="false">IF($A50="","",IFERROR(SUMIFS('حركة المخزون'!$G$5:$G$1004,'حركة المخزون'!$C$5:$C$1004,$A50,'حركة المخزون'!$B$5:$B$1004,"وارد شراء")/SUMIFS('حركة المخزون'!$E$5:$E$1004,'حركة المخزون'!$C$5:$C$1004,$A50,'حركة المخزون'!$B$5:$B$1004,"وارد شراء"),IFERROR(E50/F50,0)))</f>
        <v/>
      </c>
      <c r="H50" s="24"/>
      <c r="I50" s="27" t="str">
        <f aca="false">IF($A50="","",SUMIFS('حركة المخزون'!$E$5:$E$1004,'حركة المخزون'!$C$5:$C$1004,$A50,'حركة المخزون'!$B$5:$B$1004,"وارد شراء"))</f>
        <v/>
      </c>
      <c r="J50" s="27" t="str">
        <f aca="false">IF($A50="","",SUMIFS(الوصفات!$K$5:$K$304,الوصفات!$C$5:$C$304,$A50))</f>
        <v/>
      </c>
      <c r="K50" s="27" t="str">
        <f aca="false">IF($A50="","",SUMIFS('حركة المخزون'!$E$5:$E$1004,'حركة المخزون'!$C$5:$C$1004,$A50,'حركة المخزون'!$B$5:$B$1004,"تسوية زيادة")-SUMIFS('حركة المخزون'!$E$5:$E$1004,'حركة المخزون'!$C$5:$C$1004,$A50,'حركة المخزون'!$B$5:$B$1004,"تالف")-SUMIFS('حركة المخزون'!$E$5:$E$1004,'حركة المخزون'!$C$5:$C$1004,$A50,'حركة المخزون'!$B$5:$B$1004,"عينة / هدية")-SUMIFS('حركة المخزون'!$E$5:$E$1004,'حركة المخزون'!$C$5:$C$1004,$A50,'حركة المخزون'!$B$5:$B$1004,"تسوية نقص"))</f>
        <v/>
      </c>
      <c r="L50" s="27" t="str">
        <f aca="false">IF($A50="","",N(H50)+I50-J50+K50)</f>
        <v/>
      </c>
      <c r="M50" s="24"/>
      <c r="N50" s="28" t="str">
        <f aca="false">IF($A50="","",IF(AND(H50="",I50=0,J50=0),"لم يُسجل رصيد",IF(L50&lt;=0,"نفد",IF(L50&lt;=N(M50),"اطلب الآن","متوفر"))))</f>
        <v/>
      </c>
      <c r="O50" s="25" t="str">
        <f aca="false">IF($A50="","",L50*G50)</f>
        <v/>
      </c>
      <c r="P50" s="29"/>
      <c r="Q50" s="29"/>
    </row>
    <row r="51" customFormat="false" ht="15" hidden="false" customHeight="false" outlineLevel="0" collapsed="false">
      <c r="A51" s="29"/>
      <c r="B51" s="29"/>
      <c r="C51" s="29"/>
      <c r="D51" s="29"/>
      <c r="E51" s="30"/>
      <c r="F51" s="24"/>
      <c r="G51" s="31" t="str">
        <f aca="false">IF($A51="","",IFERROR(SUMIFS('حركة المخزون'!$G$5:$G$1004,'حركة المخزون'!$C$5:$C$1004,$A51,'حركة المخزون'!$B$5:$B$1004,"وارد شراء")/SUMIFS('حركة المخزون'!$E$5:$E$1004,'حركة المخزون'!$C$5:$C$1004,$A51,'حركة المخزون'!$B$5:$B$1004,"وارد شراء"),IFERROR(E51/F51,0)))</f>
        <v/>
      </c>
      <c r="H51" s="24"/>
      <c r="I51" s="27" t="str">
        <f aca="false">IF($A51="","",SUMIFS('حركة المخزون'!$E$5:$E$1004,'حركة المخزون'!$C$5:$C$1004,$A51,'حركة المخزون'!$B$5:$B$1004,"وارد شراء"))</f>
        <v/>
      </c>
      <c r="J51" s="27" t="str">
        <f aca="false">IF($A51="","",SUMIFS(الوصفات!$K$5:$K$304,الوصفات!$C$5:$C$304,$A51))</f>
        <v/>
      </c>
      <c r="K51" s="27" t="str">
        <f aca="false">IF($A51="","",SUMIFS('حركة المخزون'!$E$5:$E$1004,'حركة المخزون'!$C$5:$C$1004,$A51,'حركة المخزون'!$B$5:$B$1004,"تسوية زيادة")-SUMIFS('حركة المخزون'!$E$5:$E$1004,'حركة المخزون'!$C$5:$C$1004,$A51,'حركة المخزون'!$B$5:$B$1004,"تالف")-SUMIFS('حركة المخزون'!$E$5:$E$1004,'حركة المخزون'!$C$5:$C$1004,$A51,'حركة المخزون'!$B$5:$B$1004,"عينة / هدية")-SUMIFS('حركة المخزون'!$E$5:$E$1004,'حركة المخزون'!$C$5:$C$1004,$A51,'حركة المخزون'!$B$5:$B$1004,"تسوية نقص"))</f>
        <v/>
      </c>
      <c r="L51" s="27" t="str">
        <f aca="false">IF($A51="","",N(H51)+I51-J51+K51)</f>
        <v/>
      </c>
      <c r="M51" s="24"/>
      <c r="N51" s="28" t="str">
        <f aca="false">IF($A51="","",IF(AND(H51="",I51=0,J51=0),"لم يُسجل رصيد",IF(L51&lt;=0,"نفد",IF(L51&lt;=N(M51),"اطلب الآن","متوفر"))))</f>
        <v/>
      </c>
      <c r="O51" s="25" t="str">
        <f aca="false">IF($A51="","",L51*G51)</f>
        <v/>
      </c>
      <c r="P51" s="29"/>
      <c r="Q51" s="29"/>
    </row>
    <row r="52" customFormat="false" ht="15" hidden="false" customHeight="false" outlineLevel="0" collapsed="false">
      <c r="A52" s="29"/>
      <c r="B52" s="29"/>
      <c r="C52" s="29"/>
      <c r="D52" s="29"/>
      <c r="E52" s="30"/>
      <c r="F52" s="24"/>
      <c r="G52" s="31" t="str">
        <f aca="false">IF($A52="","",IFERROR(SUMIFS('حركة المخزون'!$G$5:$G$1004,'حركة المخزون'!$C$5:$C$1004,$A52,'حركة المخزون'!$B$5:$B$1004,"وارد شراء")/SUMIFS('حركة المخزون'!$E$5:$E$1004,'حركة المخزون'!$C$5:$C$1004,$A52,'حركة المخزون'!$B$5:$B$1004,"وارد شراء"),IFERROR(E52/F52,0)))</f>
        <v/>
      </c>
      <c r="H52" s="24"/>
      <c r="I52" s="27" t="str">
        <f aca="false">IF($A52="","",SUMIFS('حركة المخزون'!$E$5:$E$1004,'حركة المخزون'!$C$5:$C$1004,$A52,'حركة المخزون'!$B$5:$B$1004,"وارد شراء"))</f>
        <v/>
      </c>
      <c r="J52" s="27" t="str">
        <f aca="false">IF($A52="","",SUMIFS(الوصفات!$K$5:$K$304,الوصفات!$C$5:$C$304,$A52))</f>
        <v/>
      </c>
      <c r="K52" s="27" t="str">
        <f aca="false">IF($A52="","",SUMIFS('حركة المخزون'!$E$5:$E$1004,'حركة المخزون'!$C$5:$C$1004,$A52,'حركة المخزون'!$B$5:$B$1004,"تسوية زيادة")-SUMIFS('حركة المخزون'!$E$5:$E$1004,'حركة المخزون'!$C$5:$C$1004,$A52,'حركة المخزون'!$B$5:$B$1004,"تالف")-SUMIFS('حركة المخزون'!$E$5:$E$1004,'حركة المخزون'!$C$5:$C$1004,$A52,'حركة المخزون'!$B$5:$B$1004,"عينة / هدية")-SUMIFS('حركة المخزون'!$E$5:$E$1004,'حركة المخزون'!$C$5:$C$1004,$A52,'حركة المخزون'!$B$5:$B$1004,"تسوية نقص"))</f>
        <v/>
      </c>
      <c r="L52" s="27" t="str">
        <f aca="false">IF($A52="","",N(H52)+I52-J52+K52)</f>
        <v/>
      </c>
      <c r="M52" s="24"/>
      <c r="N52" s="28" t="str">
        <f aca="false">IF($A52="","",IF(AND(H52="",I52=0,J52=0),"لم يُسجل رصيد",IF(L52&lt;=0,"نفد",IF(L52&lt;=N(M52),"اطلب الآن","متوفر"))))</f>
        <v/>
      </c>
      <c r="O52" s="25" t="str">
        <f aca="false">IF($A52="","",L52*G52)</f>
        <v/>
      </c>
      <c r="P52" s="29"/>
      <c r="Q52" s="29"/>
    </row>
    <row r="53" customFormat="false" ht="15" hidden="false" customHeight="false" outlineLevel="0" collapsed="false">
      <c r="A53" s="29"/>
      <c r="B53" s="29"/>
      <c r="C53" s="29"/>
      <c r="D53" s="29"/>
      <c r="E53" s="30"/>
      <c r="F53" s="24"/>
      <c r="G53" s="31" t="str">
        <f aca="false">IF($A53="","",IFERROR(SUMIFS('حركة المخزون'!$G$5:$G$1004,'حركة المخزون'!$C$5:$C$1004,$A53,'حركة المخزون'!$B$5:$B$1004,"وارد شراء")/SUMIFS('حركة المخزون'!$E$5:$E$1004,'حركة المخزون'!$C$5:$C$1004,$A53,'حركة المخزون'!$B$5:$B$1004,"وارد شراء"),IFERROR(E53/F53,0)))</f>
        <v/>
      </c>
      <c r="H53" s="24"/>
      <c r="I53" s="27" t="str">
        <f aca="false">IF($A53="","",SUMIFS('حركة المخزون'!$E$5:$E$1004,'حركة المخزون'!$C$5:$C$1004,$A53,'حركة المخزون'!$B$5:$B$1004,"وارد شراء"))</f>
        <v/>
      </c>
      <c r="J53" s="27" t="str">
        <f aca="false">IF($A53="","",SUMIFS(الوصفات!$K$5:$K$304,الوصفات!$C$5:$C$304,$A53))</f>
        <v/>
      </c>
      <c r="K53" s="27" t="str">
        <f aca="false">IF($A53="","",SUMIFS('حركة المخزون'!$E$5:$E$1004,'حركة المخزون'!$C$5:$C$1004,$A53,'حركة المخزون'!$B$5:$B$1004,"تسوية زيادة")-SUMIFS('حركة المخزون'!$E$5:$E$1004,'حركة المخزون'!$C$5:$C$1004,$A53,'حركة المخزون'!$B$5:$B$1004,"تالف")-SUMIFS('حركة المخزون'!$E$5:$E$1004,'حركة المخزون'!$C$5:$C$1004,$A53,'حركة المخزون'!$B$5:$B$1004,"عينة / هدية")-SUMIFS('حركة المخزون'!$E$5:$E$1004,'حركة المخزون'!$C$5:$C$1004,$A53,'حركة المخزون'!$B$5:$B$1004,"تسوية نقص"))</f>
        <v/>
      </c>
      <c r="L53" s="27" t="str">
        <f aca="false">IF($A53="","",N(H53)+I53-J53+K53)</f>
        <v/>
      </c>
      <c r="M53" s="24"/>
      <c r="N53" s="28" t="str">
        <f aca="false">IF($A53="","",IF(AND(H53="",I53=0,J53=0),"لم يُسجل رصيد",IF(L53&lt;=0,"نفد",IF(L53&lt;=N(M53),"اطلب الآن","متوفر"))))</f>
        <v/>
      </c>
      <c r="O53" s="25" t="str">
        <f aca="false">IF($A53="","",L53*G53)</f>
        <v/>
      </c>
      <c r="P53" s="29"/>
      <c r="Q53" s="29"/>
    </row>
    <row r="54" customFormat="false" ht="15" hidden="false" customHeight="false" outlineLevel="0" collapsed="false">
      <c r="A54" s="29"/>
      <c r="B54" s="29"/>
      <c r="C54" s="29"/>
      <c r="D54" s="29"/>
      <c r="E54" s="30"/>
      <c r="F54" s="24"/>
      <c r="G54" s="31" t="str">
        <f aca="false">IF($A54="","",IFERROR(SUMIFS('حركة المخزون'!$G$5:$G$1004,'حركة المخزون'!$C$5:$C$1004,$A54,'حركة المخزون'!$B$5:$B$1004,"وارد شراء")/SUMIFS('حركة المخزون'!$E$5:$E$1004,'حركة المخزون'!$C$5:$C$1004,$A54,'حركة المخزون'!$B$5:$B$1004,"وارد شراء"),IFERROR(E54/F54,0)))</f>
        <v/>
      </c>
      <c r="H54" s="24"/>
      <c r="I54" s="27" t="str">
        <f aca="false">IF($A54="","",SUMIFS('حركة المخزون'!$E$5:$E$1004,'حركة المخزون'!$C$5:$C$1004,$A54,'حركة المخزون'!$B$5:$B$1004,"وارد شراء"))</f>
        <v/>
      </c>
      <c r="J54" s="27" t="str">
        <f aca="false">IF($A54="","",SUMIFS(الوصفات!$K$5:$K$304,الوصفات!$C$5:$C$304,$A54))</f>
        <v/>
      </c>
      <c r="K54" s="27" t="str">
        <f aca="false">IF($A54="","",SUMIFS('حركة المخزون'!$E$5:$E$1004,'حركة المخزون'!$C$5:$C$1004,$A54,'حركة المخزون'!$B$5:$B$1004,"تسوية زيادة")-SUMIFS('حركة المخزون'!$E$5:$E$1004,'حركة المخزون'!$C$5:$C$1004,$A54,'حركة المخزون'!$B$5:$B$1004,"تالف")-SUMIFS('حركة المخزون'!$E$5:$E$1004,'حركة المخزون'!$C$5:$C$1004,$A54,'حركة المخزون'!$B$5:$B$1004,"عينة / هدية")-SUMIFS('حركة المخزون'!$E$5:$E$1004,'حركة المخزون'!$C$5:$C$1004,$A54,'حركة المخزون'!$B$5:$B$1004,"تسوية نقص"))</f>
        <v/>
      </c>
      <c r="L54" s="27" t="str">
        <f aca="false">IF($A54="","",N(H54)+I54-J54+K54)</f>
        <v/>
      </c>
      <c r="M54" s="24"/>
      <c r="N54" s="28" t="str">
        <f aca="false">IF($A54="","",IF(AND(H54="",I54=0,J54=0),"لم يُسجل رصيد",IF(L54&lt;=0,"نفد",IF(L54&lt;=N(M54),"اطلب الآن","متوفر"))))</f>
        <v/>
      </c>
      <c r="O54" s="25" t="str">
        <f aca="false">IF($A54="","",L54*G54)</f>
        <v/>
      </c>
      <c r="P54" s="29"/>
      <c r="Q54" s="29"/>
    </row>
    <row r="55" customFormat="false" ht="15" hidden="false" customHeight="false" outlineLevel="0" collapsed="false">
      <c r="A55" s="29"/>
      <c r="B55" s="29"/>
      <c r="C55" s="29"/>
      <c r="D55" s="29"/>
      <c r="E55" s="30"/>
      <c r="F55" s="24"/>
      <c r="G55" s="31" t="str">
        <f aca="false">IF($A55="","",IFERROR(SUMIFS('حركة المخزون'!$G$5:$G$1004,'حركة المخزون'!$C$5:$C$1004,$A55,'حركة المخزون'!$B$5:$B$1004,"وارد شراء")/SUMIFS('حركة المخزون'!$E$5:$E$1004,'حركة المخزون'!$C$5:$C$1004,$A55,'حركة المخزون'!$B$5:$B$1004,"وارد شراء"),IFERROR(E55/F55,0)))</f>
        <v/>
      </c>
      <c r="H55" s="24"/>
      <c r="I55" s="27" t="str">
        <f aca="false">IF($A55="","",SUMIFS('حركة المخزون'!$E$5:$E$1004,'حركة المخزون'!$C$5:$C$1004,$A55,'حركة المخزون'!$B$5:$B$1004,"وارد شراء"))</f>
        <v/>
      </c>
      <c r="J55" s="27" t="str">
        <f aca="false">IF($A55="","",SUMIFS(الوصفات!$K$5:$K$304,الوصفات!$C$5:$C$304,$A55))</f>
        <v/>
      </c>
      <c r="K55" s="27" t="str">
        <f aca="false">IF($A55="","",SUMIFS('حركة المخزون'!$E$5:$E$1004,'حركة المخزون'!$C$5:$C$1004,$A55,'حركة المخزون'!$B$5:$B$1004,"تسوية زيادة")-SUMIFS('حركة المخزون'!$E$5:$E$1004,'حركة المخزون'!$C$5:$C$1004,$A55,'حركة المخزون'!$B$5:$B$1004,"تالف")-SUMIFS('حركة المخزون'!$E$5:$E$1004,'حركة المخزون'!$C$5:$C$1004,$A55,'حركة المخزون'!$B$5:$B$1004,"عينة / هدية")-SUMIFS('حركة المخزون'!$E$5:$E$1004,'حركة المخزون'!$C$5:$C$1004,$A55,'حركة المخزون'!$B$5:$B$1004,"تسوية نقص"))</f>
        <v/>
      </c>
      <c r="L55" s="27" t="str">
        <f aca="false">IF($A55="","",N(H55)+I55-J55+K55)</f>
        <v/>
      </c>
      <c r="M55" s="24"/>
      <c r="N55" s="28" t="str">
        <f aca="false">IF($A55="","",IF(AND(H55="",I55=0,J55=0),"لم يُسجل رصيد",IF(L55&lt;=0,"نفد",IF(L55&lt;=N(M55),"اطلب الآن","متوفر"))))</f>
        <v/>
      </c>
      <c r="O55" s="25" t="str">
        <f aca="false">IF($A55="","",L55*G55)</f>
        <v/>
      </c>
      <c r="P55" s="29"/>
      <c r="Q55" s="29"/>
    </row>
    <row r="56" customFormat="false" ht="15" hidden="false" customHeight="false" outlineLevel="0" collapsed="false">
      <c r="A56" s="29"/>
      <c r="B56" s="29"/>
      <c r="C56" s="29"/>
      <c r="D56" s="29"/>
      <c r="E56" s="30"/>
      <c r="F56" s="24"/>
      <c r="G56" s="31" t="str">
        <f aca="false">IF($A56="","",IFERROR(SUMIFS('حركة المخزون'!$G$5:$G$1004,'حركة المخزون'!$C$5:$C$1004,$A56,'حركة المخزون'!$B$5:$B$1004,"وارد شراء")/SUMIFS('حركة المخزون'!$E$5:$E$1004,'حركة المخزون'!$C$5:$C$1004,$A56,'حركة المخزون'!$B$5:$B$1004,"وارد شراء"),IFERROR(E56/F56,0)))</f>
        <v/>
      </c>
      <c r="H56" s="24"/>
      <c r="I56" s="27" t="str">
        <f aca="false">IF($A56="","",SUMIFS('حركة المخزون'!$E$5:$E$1004,'حركة المخزون'!$C$5:$C$1004,$A56,'حركة المخزون'!$B$5:$B$1004,"وارد شراء"))</f>
        <v/>
      </c>
      <c r="J56" s="27" t="str">
        <f aca="false">IF($A56="","",SUMIFS(الوصفات!$K$5:$K$304,الوصفات!$C$5:$C$304,$A56))</f>
        <v/>
      </c>
      <c r="K56" s="27" t="str">
        <f aca="false">IF($A56="","",SUMIFS('حركة المخزون'!$E$5:$E$1004,'حركة المخزون'!$C$5:$C$1004,$A56,'حركة المخزون'!$B$5:$B$1004,"تسوية زيادة")-SUMIFS('حركة المخزون'!$E$5:$E$1004,'حركة المخزون'!$C$5:$C$1004,$A56,'حركة المخزون'!$B$5:$B$1004,"تالف")-SUMIFS('حركة المخزون'!$E$5:$E$1004,'حركة المخزون'!$C$5:$C$1004,$A56,'حركة المخزون'!$B$5:$B$1004,"عينة / هدية")-SUMIFS('حركة المخزون'!$E$5:$E$1004,'حركة المخزون'!$C$5:$C$1004,$A56,'حركة المخزون'!$B$5:$B$1004,"تسوية نقص"))</f>
        <v/>
      </c>
      <c r="L56" s="27" t="str">
        <f aca="false">IF($A56="","",N(H56)+I56-J56+K56)</f>
        <v/>
      </c>
      <c r="M56" s="24"/>
      <c r="N56" s="28" t="str">
        <f aca="false">IF($A56="","",IF(AND(H56="",I56=0,J56=0),"لم يُسجل رصيد",IF(L56&lt;=0,"نفد",IF(L56&lt;=N(M56),"اطلب الآن","متوفر"))))</f>
        <v/>
      </c>
      <c r="O56" s="25" t="str">
        <f aca="false">IF($A56="","",L56*G56)</f>
        <v/>
      </c>
      <c r="P56" s="29"/>
      <c r="Q56" s="29"/>
    </row>
    <row r="57" customFormat="false" ht="15" hidden="false" customHeight="false" outlineLevel="0" collapsed="false">
      <c r="A57" s="29"/>
      <c r="B57" s="29"/>
      <c r="C57" s="29"/>
      <c r="D57" s="29"/>
      <c r="E57" s="30"/>
      <c r="F57" s="24"/>
      <c r="G57" s="31" t="str">
        <f aca="false">IF($A57="","",IFERROR(SUMIFS('حركة المخزون'!$G$5:$G$1004,'حركة المخزون'!$C$5:$C$1004,$A57,'حركة المخزون'!$B$5:$B$1004,"وارد شراء")/SUMIFS('حركة المخزون'!$E$5:$E$1004,'حركة المخزون'!$C$5:$C$1004,$A57,'حركة المخزون'!$B$5:$B$1004,"وارد شراء"),IFERROR(E57/F57,0)))</f>
        <v/>
      </c>
      <c r="H57" s="24"/>
      <c r="I57" s="27" t="str">
        <f aca="false">IF($A57="","",SUMIFS('حركة المخزون'!$E$5:$E$1004,'حركة المخزون'!$C$5:$C$1004,$A57,'حركة المخزون'!$B$5:$B$1004,"وارد شراء"))</f>
        <v/>
      </c>
      <c r="J57" s="27" t="str">
        <f aca="false">IF($A57="","",SUMIFS(الوصفات!$K$5:$K$304,الوصفات!$C$5:$C$304,$A57))</f>
        <v/>
      </c>
      <c r="K57" s="27" t="str">
        <f aca="false">IF($A57="","",SUMIFS('حركة المخزون'!$E$5:$E$1004,'حركة المخزون'!$C$5:$C$1004,$A57,'حركة المخزون'!$B$5:$B$1004,"تسوية زيادة")-SUMIFS('حركة المخزون'!$E$5:$E$1004,'حركة المخزون'!$C$5:$C$1004,$A57,'حركة المخزون'!$B$5:$B$1004,"تالف")-SUMIFS('حركة المخزون'!$E$5:$E$1004,'حركة المخزون'!$C$5:$C$1004,$A57,'حركة المخزون'!$B$5:$B$1004,"عينة / هدية")-SUMIFS('حركة المخزون'!$E$5:$E$1004,'حركة المخزون'!$C$5:$C$1004,$A57,'حركة المخزون'!$B$5:$B$1004,"تسوية نقص"))</f>
        <v/>
      </c>
      <c r="L57" s="27" t="str">
        <f aca="false">IF($A57="","",N(H57)+I57-J57+K57)</f>
        <v/>
      </c>
      <c r="M57" s="24"/>
      <c r="N57" s="28" t="str">
        <f aca="false">IF($A57="","",IF(AND(H57="",I57=0,J57=0),"لم يُسجل رصيد",IF(L57&lt;=0,"نفد",IF(L57&lt;=N(M57),"اطلب الآن","متوفر"))))</f>
        <v/>
      </c>
      <c r="O57" s="25" t="str">
        <f aca="false">IF($A57="","",L57*G57)</f>
        <v/>
      </c>
      <c r="P57" s="29"/>
      <c r="Q57" s="29"/>
    </row>
    <row r="58" customFormat="false" ht="15" hidden="false" customHeight="false" outlineLevel="0" collapsed="false">
      <c r="A58" s="29"/>
      <c r="B58" s="29"/>
      <c r="C58" s="29"/>
      <c r="D58" s="29"/>
      <c r="E58" s="30"/>
      <c r="F58" s="24"/>
      <c r="G58" s="31" t="str">
        <f aca="false">IF($A58="","",IFERROR(SUMIFS('حركة المخزون'!$G$5:$G$1004,'حركة المخزون'!$C$5:$C$1004,$A58,'حركة المخزون'!$B$5:$B$1004,"وارد شراء")/SUMIFS('حركة المخزون'!$E$5:$E$1004,'حركة المخزون'!$C$5:$C$1004,$A58,'حركة المخزون'!$B$5:$B$1004,"وارد شراء"),IFERROR(E58/F58,0)))</f>
        <v/>
      </c>
      <c r="H58" s="24"/>
      <c r="I58" s="27" t="str">
        <f aca="false">IF($A58="","",SUMIFS('حركة المخزون'!$E$5:$E$1004,'حركة المخزون'!$C$5:$C$1004,$A58,'حركة المخزون'!$B$5:$B$1004,"وارد شراء"))</f>
        <v/>
      </c>
      <c r="J58" s="27" t="str">
        <f aca="false">IF($A58="","",SUMIFS(الوصفات!$K$5:$K$304,الوصفات!$C$5:$C$304,$A58))</f>
        <v/>
      </c>
      <c r="K58" s="27" t="str">
        <f aca="false">IF($A58="","",SUMIFS('حركة المخزون'!$E$5:$E$1004,'حركة المخزون'!$C$5:$C$1004,$A58,'حركة المخزون'!$B$5:$B$1004,"تسوية زيادة")-SUMIFS('حركة المخزون'!$E$5:$E$1004,'حركة المخزون'!$C$5:$C$1004,$A58,'حركة المخزون'!$B$5:$B$1004,"تالف")-SUMIFS('حركة المخزون'!$E$5:$E$1004,'حركة المخزون'!$C$5:$C$1004,$A58,'حركة المخزون'!$B$5:$B$1004,"عينة / هدية")-SUMIFS('حركة المخزون'!$E$5:$E$1004,'حركة المخزون'!$C$5:$C$1004,$A58,'حركة المخزون'!$B$5:$B$1004,"تسوية نقص"))</f>
        <v/>
      </c>
      <c r="L58" s="27" t="str">
        <f aca="false">IF($A58="","",N(H58)+I58-J58+K58)</f>
        <v/>
      </c>
      <c r="M58" s="24"/>
      <c r="N58" s="28" t="str">
        <f aca="false">IF($A58="","",IF(AND(H58="",I58=0,J58=0),"لم يُسجل رصيد",IF(L58&lt;=0,"نفد",IF(L58&lt;=N(M58),"اطلب الآن","متوفر"))))</f>
        <v/>
      </c>
      <c r="O58" s="25" t="str">
        <f aca="false">IF($A58="","",L58*G58)</f>
        <v/>
      </c>
      <c r="P58" s="29"/>
      <c r="Q58" s="29"/>
    </row>
    <row r="59" customFormat="false" ht="15" hidden="false" customHeight="false" outlineLevel="0" collapsed="false">
      <c r="A59" s="29"/>
      <c r="B59" s="29"/>
      <c r="C59" s="29"/>
      <c r="D59" s="29"/>
      <c r="E59" s="30"/>
      <c r="F59" s="24"/>
      <c r="G59" s="31" t="str">
        <f aca="false">IF($A59="","",IFERROR(SUMIFS('حركة المخزون'!$G$5:$G$1004,'حركة المخزون'!$C$5:$C$1004,$A59,'حركة المخزون'!$B$5:$B$1004,"وارد شراء")/SUMIFS('حركة المخزون'!$E$5:$E$1004,'حركة المخزون'!$C$5:$C$1004,$A59,'حركة المخزون'!$B$5:$B$1004,"وارد شراء"),IFERROR(E59/F59,0)))</f>
        <v/>
      </c>
      <c r="H59" s="24"/>
      <c r="I59" s="27" t="str">
        <f aca="false">IF($A59="","",SUMIFS('حركة المخزون'!$E$5:$E$1004,'حركة المخزون'!$C$5:$C$1004,$A59,'حركة المخزون'!$B$5:$B$1004,"وارد شراء"))</f>
        <v/>
      </c>
      <c r="J59" s="27" t="str">
        <f aca="false">IF($A59="","",SUMIFS(الوصفات!$K$5:$K$304,الوصفات!$C$5:$C$304,$A59))</f>
        <v/>
      </c>
      <c r="K59" s="27" t="str">
        <f aca="false">IF($A59="","",SUMIFS('حركة المخزون'!$E$5:$E$1004,'حركة المخزون'!$C$5:$C$1004,$A59,'حركة المخزون'!$B$5:$B$1004,"تسوية زيادة")-SUMIFS('حركة المخزون'!$E$5:$E$1004,'حركة المخزون'!$C$5:$C$1004,$A59,'حركة المخزون'!$B$5:$B$1004,"تالف")-SUMIFS('حركة المخزون'!$E$5:$E$1004,'حركة المخزون'!$C$5:$C$1004,$A59,'حركة المخزون'!$B$5:$B$1004,"عينة / هدية")-SUMIFS('حركة المخزون'!$E$5:$E$1004,'حركة المخزون'!$C$5:$C$1004,$A59,'حركة المخزون'!$B$5:$B$1004,"تسوية نقص"))</f>
        <v/>
      </c>
      <c r="L59" s="27" t="str">
        <f aca="false">IF($A59="","",N(H59)+I59-J59+K59)</f>
        <v/>
      </c>
      <c r="M59" s="24"/>
      <c r="N59" s="28" t="str">
        <f aca="false">IF($A59="","",IF(AND(H59="",I59=0,J59=0),"لم يُسجل رصيد",IF(L59&lt;=0,"نفد",IF(L59&lt;=N(M59),"اطلب الآن","متوفر"))))</f>
        <v/>
      </c>
      <c r="O59" s="25" t="str">
        <f aca="false">IF($A59="","",L59*G59)</f>
        <v/>
      </c>
      <c r="P59" s="29"/>
      <c r="Q59" s="29"/>
    </row>
    <row r="60" customFormat="false" ht="15" hidden="false" customHeight="false" outlineLevel="0" collapsed="false">
      <c r="A60" s="29"/>
      <c r="B60" s="29"/>
      <c r="C60" s="29"/>
      <c r="D60" s="29"/>
      <c r="E60" s="30"/>
      <c r="F60" s="24"/>
      <c r="G60" s="31" t="str">
        <f aca="false">IF($A60="","",IFERROR(SUMIFS('حركة المخزون'!$G$5:$G$1004,'حركة المخزون'!$C$5:$C$1004,$A60,'حركة المخزون'!$B$5:$B$1004,"وارد شراء")/SUMIFS('حركة المخزون'!$E$5:$E$1004,'حركة المخزون'!$C$5:$C$1004,$A60,'حركة المخزون'!$B$5:$B$1004,"وارد شراء"),IFERROR(E60/F60,0)))</f>
        <v/>
      </c>
      <c r="H60" s="24"/>
      <c r="I60" s="27" t="str">
        <f aca="false">IF($A60="","",SUMIFS('حركة المخزون'!$E$5:$E$1004,'حركة المخزون'!$C$5:$C$1004,$A60,'حركة المخزون'!$B$5:$B$1004,"وارد شراء"))</f>
        <v/>
      </c>
      <c r="J60" s="27" t="str">
        <f aca="false">IF($A60="","",SUMIFS(الوصفات!$K$5:$K$304,الوصفات!$C$5:$C$304,$A60))</f>
        <v/>
      </c>
      <c r="K60" s="27" t="str">
        <f aca="false">IF($A60="","",SUMIFS('حركة المخزون'!$E$5:$E$1004,'حركة المخزون'!$C$5:$C$1004,$A60,'حركة المخزون'!$B$5:$B$1004,"تسوية زيادة")-SUMIFS('حركة المخزون'!$E$5:$E$1004,'حركة المخزون'!$C$5:$C$1004,$A60,'حركة المخزون'!$B$5:$B$1004,"تالف")-SUMIFS('حركة المخزون'!$E$5:$E$1004,'حركة المخزون'!$C$5:$C$1004,$A60,'حركة المخزون'!$B$5:$B$1004,"عينة / هدية")-SUMIFS('حركة المخزون'!$E$5:$E$1004,'حركة المخزون'!$C$5:$C$1004,$A60,'حركة المخزون'!$B$5:$B$1004,"تسوية نقص"))</f>
        <v/>
      </c>
      <c r="L60" s="27" t="str">
        <f aca="false">IF($A60="","",N(H60)+I60-J60+K60)</f>
        <v/>
      </c>
      <c r="M60" s="24"/>
      <c r="N60" s="28" t="str">
        <f aca="false">IF($A60="","",IF(AND(H60="",I60=0,J60=0),"لم يُسجل رصيد",IF(L60&lt;=0,"نفد",IF(L60&lt;=N(M60),"اطلب الآن","متوفر"))))</f>
        <v/>
      </c>
      <c r="O60" s="25" t="str">
        <f aca="false">IF($A60="","",L60*G60)</f>
        <v/>
      </c>
      <c r="P60" s="29"/>
      <c r="Q60" s="29"/>
    </row>
    <row r="61" customFormat="false" ht="15" hidden="false" customHeight="false" outlineLevel="0" collapsed="false">
      <c r="A61" s="29"/>
      <c r="B61" s="29"/>
      <c r="C61" s="29"/>
      <c r="D61" s="29"/>
      <c r="E61" s="30"/>
      <c r="F61" s="24"/>
      <c r="G61" s="31" t="str">
        <f aca="false">IF($A61="","",IFERROR(SUMIFS('حركة المخزون'!$G$5:$G$1004,'حركة المخزون'!$C$5:$C$1004,$A61,'حركة المخزون'!$B$5:$B$1004,"وارد شراء")/SUMIFS('حركة المخزون'!$E$5:$E$1004,'حركة المخزون'!$C$5:$C$1004,$A61,'حركة المخزون'!$B$5:$B$1004,"وارد شراء"),IFERROR(E61/F61,0)))</f>
        <v/>
      </c>
      <c r="H61" s="24"/>
      <c r="I61" s="27" t="str">
        <f aca="false">IF($A61="","",SUMIFS('حركة المخزون'!$E$5:$E$1004,'حركة المخزون'!$C$5:$C$1004,$A61,'حركة المخزون'!$B$5:$B$1004,"وارد شراء"))</f>
        <v/>
      </c>
      <c r="J61" s="27" t="str">
        <f aca="false">IF($A61="","",SUMIFS(الوصفات!$K$5:$K$304,الوصفات!$C$5:$C$304,$A61))</f>
        <v/>
      </c>
      <c r="K61" s="27" t="str">
        <f aca="false">IF($A61="","",SUMIFS('حركة المخزون'!$E$5:$E$1004,'حركة المخزون'!$C$5:$C$1004,$A61,'حركة المخزون'!$B$5:$B$1004,"تسوية زيادة")-SUMIFS('حركة المخزون'!$E$5:$E$1004,'حركة المخزون'!$C$5:$C$1004,$A61,'حركة المخزون'!$B$5:$B$1004,"تالف")-SUMIFS('حركة المخزون'!$E$5:$E$1004,'حركة المخزون'!$C$5:$C$1004,$A61,'حركة المخزون'!$B$5:$B$1004,"عينة / هدية")-SUMIFS('حركة المخزون'!$E$5:$E$1004,'حركة المخزون'!$C$5:$C$1004,$A61,'حركة المخزون'!$B$5:$B$1004,"تسوية نقص"))</f>
        <v/>
      </c>
      <c r="L61" s="27" t="str">
        <f aca="false">IF($A61="","",N(H61)+I61-J61+K61)</f>
        <v/>
      </c>
      <c r="M61" s="24"/>
      <c r="N61" s="28" t="str">
        <f aca="false">IF($A61="","",IF(AND(H61="",I61=0,J61=0),"لم يُسجل رصيد",IF(L61&lt;=0,"نفد",IF(L61&lt;=N(M61),"اطلب الآن","متوفر"))))</f>
        <v/>
      </c>
      <c r="O61" s="25" t="str">
        <f aca="false">IF($A61="","",L61*G61)</f>
        <v/>
      </c>
      <c r="P61" s="29"/>
      <c r="Q61" s="29"/>
    </row>
    <row r="62" customFormat="false" ht="15" hidden="false" customHeight="false" outlineLevel="0" collapsed="false">
      <c r="A62" s="29"/>
      <c r="B62" s="29"/>
      <c r="C62" s="29"/>
      <c r="D62" s="29"/>
      <c r="E62" s="30"/>
      <c r="F62" s="24"/>
      <c r="G62" s="31" t="str">
        <f aca="false">IF($A62="","",IFERROR(SUMIFS('حركة المخزون'!$G$5:$G$1004,'حركة المخزون'!$C$5:$C$1004,$A62,'حركة المخزون'!$B$5:$B$1004,"وارد شراء")/SUMIFS('حركة المخزون'!$E$5:$E$1004,'حركة المخزون'!$C$5:$C$1004,$A62,'حركة المخزون'!$B$5:$B$1004,"وارد شراء"),IFERROR(E62/F62,0)))</f>
        <v/>
      </c>
      <c r="H62" s="24"/>
      <c r="I62" s="27" t="str">
        <f aca="false">IF($A62="","",SUMIFS('حركة المخزون'!$E$5:$E$1004,'حركة المخزون'!$C$5:$C$1004,$A62,'حركة المخزون'!$B$5:$B$1004,"وارد شراء"))</f>
        <v/>
      </c>
      <c r="J62" s="27" t="str">
        <f aca="false">IF($A62="","",SUMIFS(الوصفات!$K$5:$K$304,الوصفات!$C$5:$C$304,$A62))</f>
        <v/>
      </c>
      <c r="K62" s="27" t="str">
        <f aca="false">IF($A62="","",SUMIFS('حركة المخزون'!$E$5:$E$1004,'حركة المخزون'!$C$5:$C$1004,$A62,'حركة المخزون'!$B$5:$B$1004,"تسوية زيادة")-SUMIFS('حركة المخزون'!$E$5:$E$1004,'حركة المخزون'!$C$5:$C$1004,$A62,'حركة المخزون'!$B$5:$B$1004,"تالف")-SUMIFS('حركة المخزون'!$E$5:$E$1004,'حركة المخزون'!$C$5:$C$1004,$A62,'حركة المخزون'!$B$5:$B$1004,"عينة / هدية")-SUMIFS('حركة المخزون'!$E$5:$E$1004,'حركة المخزون'!$C$5:$C$1004,$A62,'حركة المخزون'!$B$5:$B$1004,"تسوية نقص"))</f>
        <v/>
      </c>
      <c r="L62" s="27" t="str">
        <f aca="false">IF($A62="","",N(H62)+I62-J62+K62)</f>
        <v/>
      </c>
      <c r="M62" s="24"/>
      <c r="N62" s="28" t="str">
        <f aca="false">IF($A62="","",IF(AND(H62="",I62=0,J62=0),"لم يُسجل رصيد",IF(L62&lt;=0,"نفد",IF(L62&lt;=N(M62),"اطلب الآن","متوفر"))))</f>
        <v/>
      </c>
      <c r="O62" s="25" t="str">
        <f aca="false">IF($A62="","",L62*G62)</f>
        <v/>
      </c>
      <c r="P62" s="29"/>
      <c r="Q62" s="29"/>
    </row>
    <row r="63" customFormat="false" ht="15" hidden="false" customHeight="false" outlineLevel="0" collapsed="false">
      <c r="A63" s="29"/>
      <c r="B63" s="29"/>
      <c r="C63" s="29"/>
      <c r="D63" s="29"/>
      <c r="E63" s="30"/>
      <c r="F63" s="24"/>
      <c r="G63" s="31" t="str">
        <f aca="false">IF($A63="","",IFERROR(SUMIFS('حركة المخزون'!$G$5:$G$1004,'حركة المخزون'!$C$5:$C$1004,$A63,'حركة المخزون'!$B$5:$B$1004,"وارد شراء")/SUMIFS('حركة المخزون'!$E$5:$E$1004,'حركة المخزون'!$C$5:$C$1004,$A63,'حركة المخزون'!$B$5:$B$1004,"وارد شراء"),IFERROR(E63/F63,0)))</f>
        <v/>
      </c>
      <c r="H63" s="24"/>
      <c r="I63" s="27" t="str">
        <f aca="false">IF($A63="","",SUMIFS('حركة المخزون'!$E$5:$E$1004,'حركة المخزون'!$C$5:$C$1004,$A63,'حركة المخزون'!$B$5:$B$1004,"وارد شراء"))</f>
        <v/>
      </c>
      <c r="J63" s="27" t="str">
        <f aca="false">IF($A63="","",SUMIFS(الوصفات!$K$5:$K$304,الوصفات!$C$5:$C$304,$A63))</f>
        <v/>
      </c>
      <c r="K63" s="27" t="str">
        <f aca="false">IF($A63="","",SUMIFS('حركة المخزون'!$E$5:$E$1004,'حركة المخزون'!$C$5:$C$1004,$A63,'حركة المخزون'!$B$5:$B$1004,"تسوية زيادة")-SUMIFS('حركة المخزون'!$E$5:$E$1004,'حركة المخزون'!$C$5:$C$1004,$A63,'حركة المخزون'!$B$5:$B$1004,"تالف")-SUMIFS('حركة المخزون'!$E$5:$E$1004,'حركة المخزون'!$C$5:$C$1004,$A63,'حركة المخزون'!$B$5:$B$1004,"عينة / هدية")-SUMIFS('حركة المخزون'!$E$5:$E$1004,'حركة المخزون'!$C$5:$C$1004,$A63,'حركة المخزون'!$B$5:$B$1004,"تسوية نقص"))</f>
        <v/>
      </c>
      <c r="L63" s="27" t="str">
        <f aca="false">IF($A63="","",N(H63)+I63-J63+K63)</f>
        <v/>
      </c>
      <c r="M63" s="24"/>
      <c r="N63" s="28" t="str">
        <f aca="false">IF($A63="","",IF(AND(H63="",I63=0,J63=0),"لم يُسجل رصيد",IF(L63&lt;=0,"نفد",IF(L63&lt;=N(M63),"اطلب الآن","متوفر"))))</f>
        <v/>
      </c>
      <c r="O63" s="25" t="str">
        <f aca="false">IF($A63="","",L63*G63)</f>
        <v/>
      </c>
      <c r="P63" s="29"/>
      <c r="Q63" s="29"/>
    </row>
    <row r="64" customFormat="false" ht="15" hidden="false" customHeight="false" outlineLevel="0" collapsed="false">
      <c r="A64" s="29"/>
      <c r="B64" s="29"/>
      <c r="C64" s="29"/>
      <c r="D64" s="29"/>
      <c r="E64" s="30"/>
      <c r="F64" s="24"/>
      <c r="G64" s="31" t="str">
        <f aca="false">IF($A64="","",IFERROR(SUMIFS('حركة المخزون'!$G$5:$G$1004,'حركة المخزون'!$C$5:$C$1004,$A64,'حركة المخزون'!$B$5:$B$1004,"وارد شراء")/SUMIFS('حركة المخزون'!$E$5:$E$1004,'حركة المخزون'!$C$5:$C$1004,$A64,'حركة المخزون'!$B$5:$B$1004,"وارد شراء"),IFERROR(E64/F64,0)))</f>
        <v/>
      </c>
      <c r="H64" s="24"/>
      <c r="I64" s="27" t="str">
        <f aca="false">IF($A64="","",SUMIFS('حركة المخزون'!$E$5:$E$1004,'حركة المخزون'!$C$5:$C$1004,$A64,'حركة المخزون'!$B$5:$B$1004,"وارد شراء"))</f>
        <v/>
      </c>
      <c r="J64" s="27" t="str">
        <f aca="false">IF($A64="","",SUMIFS(الوصفات!$K$5:$K$304,الوصفات!$C$5:$C$304,$A64))</f>
        <v/>
      </c>
      <c r="K64" s="27" t="str">
        <f aca="false">IF($A64="","",SUMIFS('حركة المخزون'!$E$5:$E$1004,'حركة المخزون'!$C$5:$C$1004,$A64,'حركة المخزون'!$B$5:$B$1004,"تسوية زيادة")-SUMIFS('حركة المخزون'!$E$5:$E$1004,'حركة المخزون'!$C$5:$C$1004,$A64,'حركة المخزون'!$B$5:$B$1004,"تالف")-SUMIFS('حركة المخزون'!$E$5:$E$1004,'حركة المخزون'!$C$5:$C$1004,$A64,'حركة المخزون'!$B$5:$B$1004,"عينة / هدية")-SUMIFS('حركة المخزون'!$E$5:$E$1004,'حركة المخزون'!$C$5:$C$1004,$A64,'حركة المخزون'!$B$5:$B$1004,"تسوية نقص"))</f>
        <v/>
      </c>
      <c r="L64" s="27" t="str">
        <f aca="false">IF($A64="","",N(H64)+I64-J64+K64)</f>
        <v/>
      </c>
      <c r="M64" s="24"/>
      <c r="N64" s="28" t="str">
        <f aca="false">IF($A64="","",IF(AND(H64="",I64=0,J64=0),"لم يُسجل رصيد",IF(L64&lt;=0,"نفد",IF(L64&lt;=N(M64),"اطلب الآن","متوفر"))))</f>
        <v/>
      </c>
      <c r="O64" s="25" t="str">
        <f aca="false">IF($A64="","",L64*G64)</f>
        <v/>
      </c>
      <c r="P64" s="29"/>
      <c r="Q64" s="29"/>
    </row>
    <row r="65" customFormat="false" ht="15" hidden="false" customHeight="false" outlineLevel="0" collapsed="false">
      <c r="A65" s="29"/>
      <c r="B65" s="29"/>
      <c r="C65" s="29"/>
      <c r="D65" s="29"/>
      <c r="E65" s="30"/>
      <c r="F65" s="24"/>
      <c r="G65" s="31" t="str">
        <f aca="false">IF($A65="","",IFERROR(SUMIFS('حركة المخزون'!$G$5:$G$1004,'حركة المخزون'!$C$5:$C$1004,$A65,'حركة المخزون'!$B$5:$B$1004,"وارد شراء")/SUMIFS('حركة المخزون'!$E$5:$E$1004,'حركة المخزون'!$C$5:$C$1004,$A65,'حركة المخزون'!$B$5:$B$1004,"وارد شراء"),IFERROR(E65/F65,0)))</f>
        <v/>
      </c>
      <c r="H65" s="24"/>
      <c r="I65" s="27" t="str">
        <f aca="false">IF($A65="","",SUMIFS('حركة المخزون'!$E$5:$E$1004,'حركة المخزون'!$C$5:$C$1004,$A65,'حركة المخزون'!$B$5:$B$1004,"وارد شراء"))</f>
        <v/>
      </c>
      <c r="J65" s="27" t="str">
        <f aca="false">IF($A65="","",SUMIFS(الوصفات!$K$5:$K$304,الوصفات!$C$5:$C$304,$A65))</f>
        <v/>
      </c>
      <c r="K65" s="27" t="str">
        <f aca="false">IF($A65="","",SUMIFS('حركة المخزون'!$E$5:$E$1004,'حركة المخزون'!$C$5:$C$1004,$A65,'حركة المخزون'!$B$5:$B$1004,"تسوية زيادة")-SUMIFS('حركة المخزون'!$E$5:$E$1004,'حركة المخزون'!$C$5:$C$1004,$A65,'حركة المخزون'!$B$5:$B$1004,"تالف")-SUMIFS('حركة المخزون'!$E$5:$E$1004,'حركة المخزون'!$C$5:$C$1004,$A65,'حركة المخزون'!$B$5:$B$1004,"عينة / هدية")-SUMIFS('حركة المخزون'!$E$5:$E$1004,'حركة المخزون'!$C$5:$C$1004,$A65,'حركة المخزون'!$B$5:$B$1004,"تسوية نقص"))</f>
        <v/>
      </c>
      <c r="L65" s="27" t="str">
        <f aca="false">IF($A65="","",N(H65)+I65-J65+K65)</f>
        <v/>
      </c>
      <c r="M65" s="24"/>
      <c r="N65" s="28" t="str">
        <f aca="false">IF($A65="","",IF(AND(H65="",I65=0,J65=0),"لم يُسجل رصيد",IF(L65&lt;=0,"نفد",IF(L65&lt;=N(M65),"اطلب الآن","متوفر"))))</f>
        <v/>
      </c>
      <c r="O65" s="25" t="str">
        <f aca="false">IF($A65="","",L65*G65)</f>
        <v/>
      </c>
      <c r="P65" s="29"/>
      <c r="Q65" s="29"/>
    </row>
    <row r="66" customFormat="false" ht="15" hidden="false" customHeight="false" outlineLevel="0" collapsed="false">
      <c r="A66" s="29"/>
      <c r="B66" s="29"/>
      <c r="C66" s="29"/>
      <c r="D66" s="29"/>
      <c r="E66" s="30"/>
      <c r="F66" s="24"/>
      <c r="G66" s="31" t="str">
        <f aca="false">IF($A66="","",IFERROR(SUMIFS('حركة المخزون'!$G$5:$G$1004,'حركة المخزون'!$C$5:$C$1004,$A66,'حركة المخزون'!$B$5:$B$1004,"وارد شراء")/SUMIFS('حركة المخزون'!$E$5:$E$1004,'حركة المخزون'!$C$5:$C$1004,$A66,'حركة المخزون'!$B$5:$B$1004,"وارد شراء"),IFERROR(E66/F66,0)))</f>
        <v/>
      </c>
      <c r="H66" s="24"/>
      <c r="I66" s="27" t="str">
        <f aca="false">IF($A66="","",SUMIFS('حركة المخزون'!$E$5:$E$1004,'حركة المخزون'!$C$5:$C$1004,$A66,'حركة المخزون'!$B$5:$B$1004,"وارد شراء"))</f>
        <v/>
      </c>
      <c r="J66" s="27" t="str">
        <f aca="false">IF($A66="","",SUMIFS(الوصفات!$K$5:$K$304,الوصفات!$C$5:$C$304,$A66))</f>
        <v/>
      </c>
      <c r="K66" s="27" t="str">
        <f aca="false">IF($A66="","",SUMIFS('حركة المخزون'!$E$5:$E$1004,'حركة المخزون'!$C$5:$C$1004,$A66,'حركة المخزون'!$B$5:$B$1004,"تسوية زيادة")-SUMIFS('حركة المخزون'!$E$5:$E$1004,'حركة المخزون'!$C$5:$C$1004,$A66,'حركة المخزون'!$B$5:$B$1004,"تالف")-SUMIFS('حركة المخزون'!$E$5:$E$1004,'حركة المخزون'!$C$5:$C$1004,$A66,'حركة المخزون'!$B$5:$B$1004,"عينة / هدية")-SUMIFS('حركة المخزون'!$E$5:$E$1004,'حركة المخزون'!$C$5:$C$1004,$A66,'حركة المخزون'!$B$5:$B$1004,"تسوية نقص"))</f>
        <v/>
      </c>
      <c r="L66" s="27" t="str">
        <f aca="false">IF($A66="","",N(H66)+I66-J66+K66)</f>
        <v/>
      </c>
      <c r="M66" s="24"/>
      <c r="N66" s="28" t="str">
        <f aca="false">IF($A66="","",IF(AND(H66="",I66=0,J66=0),"لم يُسجل رصيد",IF(L66&lt;=0,"نفد",IF(L66&lt;=N(M66),"اطلب الآن","متوفر"))))</f>
        <v/>
      </c>
      <c r="O66" s="25" t="str">
        <f aca="false">IF($A66="","",L66*G66)</f>
        <v/>
      </c>
      <c r="P66" s="29"/>
      <c r="Q66" s="29"/>
    </row>
    <row r="67" customFormat="false" ht="15" hidden="false" customHeight="false" outlineLevel="0" collapsed="false">
      <c r="A67" s="29"/>
      <c r="B67" s="29"/>
      <c r="C67" s="29"/>
      <c r="D67" s="29"/>
      <c r="E67" s="30"/>
      <c r="F67" s="24"/>
      <c r="G67" s="31" t="str">
        <f aca="false">IF($A67="","",IFERROR(SUMIFS('حركة المخزون'!$G$5:$G$1004,'حركة المخزون'!$C$5:$C$1004,$A67,'حركة المخزون'!$B$5:$B$1004,"وارد شراء")/SUMIFS('حركة المخزون'!$E$5:$E$1004,'حركة المخزون'!$C$5:$C$1004,$A67,'حركة المخزون'!$B$5:$B$1004,"وارد شراء"),IFERROR(E67/F67,0)))</f>
        <v/>
      </c>
      <c r="H67" s="24"/>
      <c r="I67" s="27" t="str">
        <f aca="false">IF($A67="","",SUMIFS('حركة المخزون'!$E$5:$E$1004,'حركة المخزون'!$C$5:$C$1004,$A67,'حركة المخزون'!$B$5:$B$1004,"وارد شراء"))</f>
        <v/>
      </c>
      <c r="J67" s="27" t="str">
        <f aca="false">IF($A67="","",SUMIFS(الوصفات!$K$5:$K$304,الوصفات!$C$5:$C$304,$A67))</f>
        <v/>
      </c>
      <c r="K67" s="27" t="str">
        <f aca="false">IF($A67="","",SUMIFS('حركة المخزون'!$E$5:$E$1004,'حركة المخزون'!$C$5:$C$1004,$A67,'حركة المخزون'!$B$5:$B$1004,"تسوية زيادة")-SUMIFS('حركة المخزون'!$E$5:$E$1004,'حركة المخزون'!$C$5:$C$1004,$A67,'حركة المخزون'!$B$5:$B$1004,"تالف")-SUMIFS('حركة المخزون'!$E$5:$E$1004,'حركة المخزون'!$C$5:$C$1004,$A67,'حركة المخزون'!$B$5:$B$1004,"عينة / هدية")-SUMIFS('حركة المخزون'!$E$5:$E$1004,'حركة المخزون'!$C$5:$C$1004,$A67,'حركة المخزون'!$B$5:$B$1004,"تسوية نقص"))</f>
        <v/>
      </c>
      <c r="L67" s="27" t="str">
        <f aca="false">IF($A67="","",N(H67)+I67-J67+K67)</f>
        <v/>
      </c>
      <c r="M67" s="24"/>
      <c r="N67" s="28" t="str">
        <f aca="false">IF($A67="","",IF(AND(H67="",I67=0,J67=0),"لم يُسجل رصيد",IF(L67&lt;=0,"نفد",IF(L67&lt;=N(M67),"اطلب الآن","متوفر"))))</f>
        <v/>
      </c>
      <c r="O67" s="25" t="str">
        <f aca="false">IF($A67="","",L67*G67)</f>
        <v/>
      </c>
      <c r="P67" s="29"/>
      <c r="Q67" s="29"/>
    </row>
    <row r="68" customFormat="false" ht="15" hidden="false" customHeight="false" outlineLevel="0" collapsed="false">
      <c r="A68" s="29"/>
      <c r="B68" s="29"/>
      <c r="C68" s="29"/>
      <c r="D68" s="29"/>
      <c r="E68" s="30"/>
      <c r="F68" s="24"/>
      <c r="G68" s="31" t="str">
        <f aca="false">IF($A68="","",IFERROR(SUMIFS('حركة المخزون'!$G$5:$G$1004,'حركة المخزون'!$C$5:$C$1004,$A68,'حركة المخزون'!$B$5:$B$1004,"وارد شراء")/SUMIFS('حركة المخزون'!$E$5:$E$1004,'حركة المخزون'!$C$5:$C$1004,$A68,'حركة المخزون'!$B$5:$B$1004,"وارد شراء"),IFERROR(E68/F68,0)))</f>
        <v/>
      </c>
      <c r="H68" s="24"/>
      <c r="I68" s="27" t="str">
        <f aca="false">IF($A68="","",SUMIFS('حركة المخزون'!$E$5:$E$1004,'حركة المخزون'!$C$5:$C$1004,$A68,'حركة المخزون'!$B$5:$B$1004,"وارد شراء"))</f>
        <v/>
      </c>
      <c r="J68" s="27" t="str">
        <f aca="false">IF($A68="","",SUMIFS(الوصفات!$K$5:$K$304,الوصفات!$C$5:$C$304,$A68))</f>
        <v/>
      </c>
      <c r="K68" s="27" t="str">
        <f aca="false">IF($A68="","",SUMIFS('حركة المخزون'!$E$5:$E$1004,'حركة المخزون'!$C$5:$C$1004,$A68,'حركة المخزون'!$B$5:$B$1004,"تسوية زيادة")-SUMIFS('حركة المخزون'!$E$5:$E$1004,'حركة المخزون'!$C$5:$C$1004,$A68,'حركة المخزون'!$B$5:$B$1004,"تالف")-SUMIFS('حركة المخزون'!$E$5:$E$1004,'حركة المخزون'!$C$5:$C$1004,$A68,'حركة المخزون'!$B$5:$B$1004,"عينة / هدية")-SUMIFS('حركة المخزون'!$E$5:$E$1004,'حركة المخزون'!$C$5:$C$1004,$A68,'حركة المخزون'!$B$5:$B$1004,"تسوية نقص"))</f>
        <v/>
      </c>
      <c r="L68" s="27" t="str">
        <f aca="false">IF($A68="","",N(H68)+I68-J68+K68)</f>
        <v/>
      </c>
      <c r="M68" s="24"/>
      <c r="N68" s="28" t="str">
        <f aca="false">IF($A68="","",IF(AND(H68="",I68=0,J68=0),"لم يُسجل رصيد",IF(L68&lt;=0,"نفد",IF(L68&lt;=N(M68),"اطلب الآن","متوفر"))))</f>
        <v/>
      </c>
      <c r="O68" s="25" t="str">
        <f aca="false">IF($A68="","",L68*G68)</f>
        <v/>
      </c>
      <c r="P68" s="29"/>
      <c r="Q68" s="29"/>
    </row>
    <row r="69" customFormat="false" ht="15" hidden="false" customHeight="false" outlineLevel="0" collapsed="false">
      <c r="A69" s="29"/>
      <c r="B69" s="29"/>
      <c r="C69" s="29"/>
      <c r="D69" s="29"/>
      <c r="E69" s="30"/>
      <c r="F69" s="24"/>
      <c r="G69" s="31" t="str">
        <f aca="false">IF($A69="","",IFERROR(SUMIFS('حركة المخزون'!$G$5:$G$1004,'حركة المخزون'!$C$5:$C$1004,$A69,'حركة المخزون'!$B$5:$B$1004,"وارد شراء")/SUMIFS('حركة المخزون'!$E$5:$E$1004,'حركة المخزون'!$C$5:$C$1004,$A69,'حركة المخزون'!$B$5:$B$1004,"وارد شراء"),IFERROR(E69/F69,0)))</f>
        <v/>
      </c>
      <c r="H69" s="24"/>
      <c r="I69" s="27" t="str">
        <f aca="false">IF($A69="","",SUMIFS('حركة المخزون'!$E$5:$E$1004,'حركة المخزون'!$C$5:$C$1004,$A69,'حركة المخزون'!$B$5:$B$1004,"وارد شراء"))</f>
        <v/>
      </c>
      <c r="J69" s="27" t="str">
        <f aca="false">IF($A69="","",SUMIFS(الوصفات!$K$5:$K$304,الوصفات!$C$5:$C$304,$A69))</f>
        <v/>
      </c>
      <c r="K69" s="27" t="str">
        <f aca="false">IF($A69="","",SUMIFS('حركة المخزون'!$E$5:$E$1004,'حركة المخزون'!$C$5:$C$1004,$A69,'حركة المخزون'!$B$5:$B$1004,"تسوية زيادة")-SUMIFS('حركة المخزون'!$E$5:$E$1004,'حركة المخزون'!$C$5:$C$1004,$A69,'حركة المخزون'!$B$5:$B$1004,"تالف")-SUMIFS('حركة المخزون'!$E$5:$E$1004,'حركة المخزون'!$C$5:$C$1004,$A69,'حركة المخزون'!$B$5:$B$1004,"عينة / هدية")-SUMIFS('حركة المخزون'!$E$5:$E$1004,'حركة المخزون'!$C$5:$C$1004,$A69,'حركة المخزون'!$B$5:$B$1004,"تسوية نقص"))</f>
        <v/>
      </c>
      <c r="L69" s="27" t="str">
        <f aca="false">IF($A69="","",N(H69)+I69-J69+K69)</f>
        <v/>
      </c>
      <c r="M69" s="24"/>
      <c r="N69" s="28" t="str">
        <f aca="false">IF($A69="","",IF(AND(H69="",I69=0,J69=0),"لم يُسجل رصيد",IF(L69&lt;=0,"نفد",IF(L69&lt;=N(M69),"اطلب الآن","متوفر"))))</f>
        <v/>
      </c>
      <c r="O69" s="25" t="str">
        <f aca="false">IF($A69="","",L69*G69)</f>
        <v/>
      </c>
      <c r="P69" s="29"/>
      <c r="Q69" s="29"/>
    </row>
    <row r="70" customFormat="false" ht="15" hidden="false" customHeight="false" outlineLevel="0" collapsed="false">
      <c r="A70" s="29"/>
      <c r="B70" s="29"/>
      <c r="C70" s="29"/>
      <c r="D70" s="29"/>
      <c r="E70" s="30"/>
      <c r="F70" s="24"/>
      <c r="G70" s="31" t="str">
        <f aca="false">IF($A70="","",IFERROR(SUMIFS('حركة المخزون'!$G$5:$G$1004,'حركة المخزون'!$C$5:$C$1004,$A70,'حركة المخزون'!$B$5:$B$1004,"وارد شراء")/SUMIFS('حركة المخزون'!$E$5:$E$1004,'حركة المخزون'!$C$5:$C$1004,$A70,'حركة المخزون'!$B$5:$B$1004,"وارد شراء"),IFERROR(E70/F70,0)))</f>
        <v/>
      </c>
      <c r="H70" s="24"/>
      <c r="I70" s="27" t="str">
        <f aca="false">IF($A70="","",SUMIFS('حركة المخزون'!$E$5:$E$1004,'حركة المخزون'!$C$5:$C$1004,$A70,'حركة المخزون'!$B$5:$B$1004,"وارد شراء"))</f>
        <v/>
      </c>
      <c r="J70" s="27" t="str">
        <f aca="false">IF($A70="","",SUMIFS(الوصفات!$K$5:$K$304,الوصفات!$C$5:$C$304,$A70))</f>
        <v/>
      </c>
      <c r="K70" s="27" t="str">
        <f aca="false">IF($A70="","",SUMIFS('حركة المخزون'!$E$5:$E$1004,'حركة المخزون'!$C$5:$C$1004,$A70,'حركة المخزون'!$B$5:$B$1004,"تسوية زيادة")-SUMIFS('حركة المخزون'!$E$5:$E$1004,'حركة المخزون'!$C$5:$C$1004,$A70,'حركة المخزون'!$B$5:$B$1004,"تالف")-SUMIFS('حركة المخزون'!$E$5:$E$1004,'حركة المخزون'!$C$5:$C$1004,$A70,'حركة المخزون'!$B$5:$B$1004,"عينة / هدية")-SUMIFS('حركة المخزون'!$E$5:$E$1004,'حركة المخزون'!$C$5:$C$1004,$A70,'حركة المخزون'!$B$5:$B$1004,"تسوية نقص"))</f>
        <v/>
      </c>
      <c r="L70" s="27" t="str">
        <f aca="false">IF($A70="","",N(H70)+I70-J70+K70)</f>
        <v/>
      </c>
      <c r="M70" s="24"/>
      <c r="N70" s="28" t="str">
        <f aca="false">IF($A70="","",IF(AND(H70="",I70=0,J70=0),"لم يُسجل رصيد",IF(L70&lt;=0,"نفد",IF(L70&lt;=N(M70),"اطلب الآن","متوفر"))))</f>
        <v/>
      </c>
      <c r="O70" s="25" t="str">
        <f aca="false">IF($A70="","",L70*G70)</f>
        <v/>
      </c>
      <c r="P70" s="29"/>
      <c r="Q70" s="29"/>
    </row>
    <row r="71" customFormat="false" ht="15" hidden="false" customHeight="false" outlineLevel="0" collapsed="false">
      <c r="A71" s="29"/>
      <c r="B71" s="29"/>
      <c r="C71" s="29"/>
      <c r="D71" s="29"/>
      <c r="E71" s="30"/>
      <c r="F71" s="24"/>
      <c r="G71" s="31" t="str">
        <f aca="false">IF($A71="","",IFERROR(SUMIFS('حركة المخزون'!$G$5:$G$1004,'حركة المخزون'!$C$5:$C$1004,$A71,'حركة المخزون'!$B$5:$B$1004,"وارد شراء")/SUMIFS('حركة المخزون'!$E$5:$E$1004,'حركة المخزون'!$C$5:$C$1004,$A71,'حركة المخزون'!$B$5:$B$1004,"وارد شراء"),IFERROR(E71/F71,0)))</f>
        <v/>
      </c>
      <c r="H71" s="24"/>
      <c r="I71" s="27" t="str">
        <f aca="false">IF($A71="","",SUMIFS('حركة المخزون'!$E$5:$E$1004,'حركة المخزون'!$C$5:$C$1004,$A71,'حركة المخزون'!$B$5:$B$1004,"وارد شراء"))</f>
        <v/>
      </c>
      <c r="J71" s="27" t="str">
        <f aca="false">IF($A71="","",SUMIFS(الوصفات!$K$5:$K$304,الوصفات!$C$5:$C$304,$A71))</f>
        <v/>
      </c>
      <c r="K71" s="27" t="str">
        <f aca="false">IF($A71="","",SUMIFS('حركة المخزون'!$E$5:$E$1004,'حركة المخزون'!$C$5:$C$1004,$A71,'حركة المخزون'!$B$5:$B$1004,"تسوية زيادة")-SUMIFS('حركة المخزون'!$E$5:$E$1004,'حركة المخزون'!$C$5:$C$1004,$A71,'حركة المخزون'!$B$5:$B$1004,"تالف")-SUMIFS('حركة المخزون'!$E$5:$E$1004,'حركة المخزون'!$C$5:$C$1004,$A71,'حركة المخزون'!$B$5:$B$1004,"عينة / هدية")-SUMIFS('حركة المخزون'!$E$5:$E$1004,'حركة المخزون'!$C$5:$C$1004,$A71,'حركة المخزون'!$B$5:$B$1004,"تسوية نقص"))</f>
        <v/>
      </c>
      <c r="L71" s="27" t="str">
        <f aca="false">IF($A71="","",N(H71)+I71-J71+K71)</f>
        <v/>
      </c>
      <c r="M71" s="24"/>
      <c r="N71" s="28" t="str">
        <f aca="false">IF($A71="","",IF(AND(H71="",I71=0,J71=0),"لم يُسجل رصيد",IF(L71&lt;=0,"نفد",IF(L71&lt;=N(M71),"اطلب الآن","متوفر"))))</f>
        <v/>
      </c>
      <c r="O71" s="25" t="str">
        <f aca="false">IF($A71="","",L71*G71)</f>
        <v/>
      </c>
      <c r="P71" s="29"/>
      <c r="Q71" s="29"/>
    </row>
    <row r="72" customFormat="false" ht="15" hidden="false" customHeight="false" outlineLevel="0" collapsed="false">
      <c r="A72" s="29"/>
      <c r="B72" s="29"/>
      <c r="C72" s="29"/>
      <c r="D72" s="29"/>
      <c r="E72" s="30"/>
      <c r="F72" s="24"/>
      <c r="G72" s="31" t="str">
        <f aca="false">IF($A72="","",IFERROR(SUMIFS('حركة المخزون'!$G$5:$G$1004,'حركة المخزون'!$C$5:$C$1004,$A72,'حركة المخزون'!$B$5:$B$1004,"وارد شراء")/SUMIFS('حركة المخزون'!$E$5:$E$1004,'حركة المخزون'!$C$5:$C$1004,$A72,'حركة المخزون'!$B$5:$B$1004,"وارد شراء"),IFERROR(E72/F72,0)))</f>
        <v/>
      </c>
      <c r="H72" s="24"/>
      <c r="I72" s="27" t="str">
        <f aca="false">IF($A72="","",SUMIFS('حركة المخزون'!$E$5:$E$1004,'حركة المخزون'!$C$5:$C$1004,$A72,'حركة المخزون'!$B$5:$B$1004,"وارد شراء"))</f>
        <v/>
      </c>
      <c r="J72" s="27" t="str">
        <f aca="false">IF($A72="","",SUMIFS(الوصفات!$K$5:$K$304,الوصفات!$C$5:$C$304,$A72))</f>
        <v/>
      </c>
      <c r="K72" s="27" t="str">
        <f aca="false">IF($A72="","",SUMIFS('حركة المخزون'!$E$5:$E$1004,'حركة المخزون'!$C$5:$C$1004,$A72,'حركة المخزون'!$B$5:$B$1004,"تسوية زيادة")-SUMIFS('حركة المخزون'!$E$5:$E$1004,'حركة المخزون'!$C$5:$C$1004,$A72,'حركة المخزون'!$B$5:$B$1004,"تالف")-SUMIFS('حركة المخزون'!$E$5:$E$1004,'حركة المخزون'!$C$5:$C$1004,$A72,'حركة المخزون'!$B$5:$B$1004,"عينة / هدية")-SUMIFS('حركة المخزون'!$E$5:$E$1004,'حركة المخزون'!$C$5:$C$1004,$A72,'حركة المخزون'!$B$5:$B$1004,"تسوية نقص"))</f>
        <v/>
      </c>
      <c r="L72" s="27" t="str">
        <f aca="false">IF($A72="","",N(H72)+I72-J72+K72)</f>
        <v/>
      </c>
      <c r="M72" s="24"/>
      <c r="N72" s="28" t="str">
        <f aca="false">IF($A72="","",IF(AND(H72="",I72=0,J72=0),"لم يُسجل رصيد",IF(L72&lt;=0,"نفد",IF(L72&lt;=N(M72),"اطلب الآن","متوفر"))))</f>
        <v/>
      </c>
      <c r="O72" s="25" t="str">
        <f aca="false">IF($A72="","",L72*G72)</f>
        <v/>
      </c>
      <c r="P72" s="29"/>
      <c r="Q72" s="29"/>
    </row>
    <row r="73" customFormat="false" ht="15" hidden="false" customHeight="false" outlineLevel="0" collapsed="false">
      <c r="A73" s="29"/>
      <c r="B73" s="29"/>
      <c r="C73" s="29"/>
      <c r="D73" s="29"/>
      <c r="E73" s="30"/>
      <c r="F73" s="24"/>
      <c r="G73" s="31" t="str">
        <f aca="false">IF($A73="","",IFERROR(SUMIFS('حركة المخزون'!$G$5:$G$1004,'حركة المخزون'!$C$5:$C$1004,$A73,'حركة المخزون'!$B$5:$B$1004,"وارد شراء")/SUMIFS('حركة المخزون'!$E$5:$E$1004,'حركة المخزون'!$C$5:$C$1004,$A73,'حركة المخزون'!$B$5:$B$1004,"وارد شراء"),IFERROR(E73/F73,0)))</f>
        <v/>
      </c>
      <c r="H73" s="24"/>
      <c r="I73" s="27" t="str">
        <f aca="false">IF($A73="","",SUMIFS('حركة المخزون'!$E$5:$E$1004,'حركة المخزون'!$C$5:$C$1004,$A73,'حركة المخزون'!$B$5:$B$1004,"وارد شراء"))</f>
        <v/>
      </c>
      <c r="J73" s="27" t="str">
        <f aca="false">IF($A73="","",SUMIFS(الوصفات!$K$5:$K$304,الوصفات!$C$5:$C$304,$A73))</f>
        <v/>
      </c>
      <c r="K73" s="27" t="str">
        <f aca="false">IF($A73="","",SUMIFS('حركة المخزون'!$E$5:$E$1004,'حركة المخزون'!$C$5:$C$1004,$A73,'حركة المخزون'!$B$5:$B$1004,"تسوية زيادة")-SUMIFS('حركة المخزون'!$E$5:$E$1004,'حركة المخزون'!$C$5:$C$1004,$A73,'حركة المخزون'!$B$5:$B$1004,"تالف")-SUMIFS('حركة المخزون'!$E$5:$E$1004,'حركة المخزون'!$C$5:$C$1004,$A73,'حركة المخزون'!$B$5:$B$1004,"عينة / هدية")-SUMIFS('حركة المخزون'!$E$5:$E$1004,'حركة المخزون'!$C$5:$C$1004,$A73,'حركة المخزون'!$B$5:$B$1004,"تسوية نقص"))</f>
        <v/>
      </c>
      <c r="L73" s="27" t="str">
        <f aca="false">IF($A73="","",N(H73)+I73-J73+K73)</f>
        <v/>
      </c>
      <c r="M73" s="24"/>
      <c r="N73" s="28" t="str">
        <f aca="false">IF($A73="","",IF(AND(H73="",I73=0,J73=0),"لم يُسجل رصيد",IF(L73&lt;=0,"نفد",IF(L73&lt;=N(M73),"اطلب الآن","متوفر"))))</f>
        <v/>
      </c>
      <c r="O73" s="25" t="str">
        <f aca="false">IF($A73="","",L73*G73)</f>
        <v/>
      </c>
      <c r="P73" s="29"/>
      <c r="Q73" s="29"/>
    </row>
    <row r="74" customFormat="false" ht="15" hidden="false" customHeight="false" outlineLevel="0" collapsed="false">
      <c r="A74" s="29"/>
      <c r="B74" s="29"/>
      <c r="C74" s="29"/>
      <c r="D74" s="29"/>
      <c r="E74" s="30"/>
      <c r="F74" s="24"/>
      <c r="G74" s="31" t="str">
        <f aca="false">IF($A74="","",IFERROR(SUMIFS('حركة المخزون'!$G$5:$G$1004,'حركة المخزون'!$C$5:$C$1004,$A74,'حركة المخزون'!$B$5:$B$1004,"وارد شراء")/SUMIFS('حركة المخزون'!$E$5:$E$1004,'حركة المخزون'!$C$5:$C$1004,$A74,'حركة المخزون'!$B$5:$B$1004,"وارد شراء"),IFERROR(E74/F74,0)))</f>
        <v/>
      </c>
      <c r="H74" s="24"/>
      <c r="I74" s="27" t="str">
        <f aca="false">IF($A74="","",SUMIFS('حركة المخزون'!$E$5:$E$1004,'حركة المخزون'!$C$5:$C$1004,$A74,'حركة المخزون'!$B$5:$B$1004,"وارد شراء"))</f>
        <v/>
      </c>
      <c r="J74" s="27" t="str">
        <f aca="false">IF($A74="","",SUMIFS(الوصفات!$K$5:$K$304,الوصفات!$C$5:$C$304,$A74))</f>
        <v/>
      </c>
      <c r="K74" s="27" t="str">
        <f aca="false">IF($A74="","",SUMIFS('حركة المخزون'!$E$5:$E$1004,'حركة المخزون'!$C$5:$C$1004,$A74,'حركة المخزون'!$B$5:$B$1004,"تسوية زيادة")-SUMIFS('حركة المخزون'!$E$5:$E$1004,'حركة المخزون'!$C$5:$C$1004,$A74,'حركة المخزون'!$B$5:$B$1004,"تالف")-SUMIFS('حركة المخزون'!$E$5:$E$1004,'حركة المخزون'!$C$5:$C$1004,$A74,'حركة المخزون'!$B$5:$B$1004,"عينة / هدية")-SUMIFS('حركة المخزون'!$E$5:$E$1004,'حركة المخزون'!$C$5:$C$1004,$A74,'حركة المخزون'!$B$5:$B$1004,"تسوية نقص"))</f>
        <v/>
      </c>
      <c r="L74" s="27" t="str">
        <f aca="false">IF($A74="","",N(H74)+I74-J74+K74)</f>
        <v/>
      </c>
      <c r="M74" s="24"/>
      <c r="N74" s="28" t="str">
        <f aca="false">IF($A74="","",IF(AND(H74="",I74=0,J74=0),"لم يُسجل رصيد",IF(L74&lt;=0,"نفد",IF(L74&lt;=N(M74),"اطلب الآن","متوفر"))))</f>
        <v/>
      </c>
      <c r="O74" s="25" t="str">
        <f aca="false">IF($A74="","",L74*G74)</f>
        <v/>
      </c>
      <c r="P74" s="29"/>
      <c r="Q74" s="29"/>
    </row>
    <row r="75" customFormat="false" ht="15" hidden="false" customHeight="false" outlineLevel="0" collapsed="false">
      <c r="A75" s="29"/>
      <c r="B75" s="29"/>
      <c r="C75" s="29"/>
      <c r="D75" s="29"/>
      <c r="E75" s="30"/>
      <c r="F75" s="24"/>
      <c r="G75" s="31" t="str">
        <f aca="false">IF($A75="","",IFERROR(SUMIFS('حركة المخزون'!$G$5:$G$1004,'حركة المخزون'!$C$5:$C$1004,$A75,'حركة المخزون'!$B$5:$B$1004,"وارد شراء")/SUMIFS('حركة المخزون'!$E$5:$E$1004,'حركة المخزون'!$C$5:$C$1004,$A75,'حركة المخزون'!$B$5:$B$1004,"وارد شراء"),IFERROR(E75/F75,0)))</f>
        <v/>
      </c>
      <c r="H75" s="24"/>
      <c r="I75" s="27" t="str">
        <f aca="false">IF($A75="","",SUMIFS('حركة المخزون'!$E$5:$E$1004,'حركة المخزون'!$C$5:$C$1004,$A75,'حركة المخزون'!$B$5:$B$1004,"وارد شراء"))</f>
        <v/>
      </c>
      <c r="J75" s="27" t="str">
        <f aca="false">IF($A75="","",SUMIFS(الوصفات!$K$5:$K$304,الوصفات!$C$5:$C$304,$A75))</f>
        <v/>
      </c>
      <c r="K75" s="27" t="str">
        <f aca="false">IF($A75="","",SUMIFS('حركة المخزون'!$E$5:$E$1004,'حركة المخزون'!$C$5:$C$1004,$A75,'حركة المخزون'!$B$5:$B$1004,"تسوية زيادة")-SUMIFS('حركة المخزون'!$E$5:$E$1004,'حركة المخزون'!$C$5:$C$1004,$A75,'حركة المخزون'!$B$5:$B$1004,"تالف")-SUMIFS('حركة المخزون'!$E$5:$E$1004,'حركة المخزون'!$C$5:$C$1004,$A75,'حركة المخزون'!$B$5:$B$1004,"عينة / هدية")-SUMIFS('حركة المخزون'!$E$5:$E$1004,'حركة المخزون'!$C$5:$C$1004,$A75,'حركة المخزون'!$B$5:$B$1004,"تسوية نقص"))</f>
        <v/>
      </c>
      <c r="L75" s="27" t="str">
        <f aca="false">IF($A75="","",N(H75)+I75-J75+K75)</f>
        <v/>
      </c>
      <c r="M75" s="24"/>
      <c r="N75" s="28" t="str">
        <f aca="false">IF($A75="","",IF(AND(H75="",I75=0,J75=0),"لم يُسجل رصيد",IF(L75&lt;=0,"نفد",IF(L75&lt;=N(M75),"اطلب الآن","متوفر"))))</f>
        <v/>
      </c>
      <c r="O75" s="25" t="str">
        <f aca="false">IF($A75="","",L75*G75)</f>
        <v/>
      </c>
      <c r="P75" s="29"/>
      <c r="Q75" s="29"/>
    </row>
    <row r="76" customFormat="false" ht="15" hidden="false" customHeight="false" outlineLevel="0" collapsed="false">
      <c r="A76" s="29"/>
      <c r="B76" s="29"/>
      <c r="C76" s="29"/>
      <c r="D76" s="29"/>
      <c r="E76" s="30"/>
      <c r="F76" s="24"/>
      <c r="G76" s="31" t="str">
        <f aca="false">IF($A76="","",IFERROR(SUMIFS('حركة المخزون'!$G$5:$G$1004,'حركة المخزون'!$C$5:$C$1004,$A76,'حركة المخزون'!$B$5:$B$1004,"وارد شراء")/SUMIFS('حركة المخزون'!$E$5:$E$1004,'حركة المخزون'!$C$5:$C$1004,$A76,'حركة المخزون'!$B$5:$B$1004,"وارد شراء"),IFERROR(E76/F76,0)))</f>
        <v/>
      </c>
      <c r="H76" s="24"/>
      <c r="I76" s="27" t="str">
        <f aca="false">IF($A76="","",SUMIFS('حركة المخزون'!$E$5:$E$1004,'حركة المخزون'!$C$5:$C$1004,$A76,'حركة المخزون'!$B$5:$B$1004,"وارد شراء"))</f>
        <v/>
      </c>
      <c r="J76" s="27" t="str">
        <f aca="false">IF($A76="","",SUMIFS(الوصفات!$K$5:$K$304,الوصفات!$C$5:$C$304,$A76))</f>
        <v/>
      </c>
      <c r="K76" s="27" t="str">
        <f aca="false">IF($A76="","",SUMIFS('حركة المخزون'!$E$5:$E$1004,'حركة المخزون'!$C$5:$C$1004,$A76,'حركة المخزون'!$B$5:$B$1004,"تسوية زيادة")-SUMIFS('حركة المخزون'!$E$5:$E$1004,'حركة المخزون'!$C$5:$C$1004,$A76,'حركة المخزون'!$B$5:$B$1004,"تالف")-SUMIFS('حركة المخزون'!$E$5:$E$1004,'حركة المخزون'!$C$5:$C$1004,$A76,'حركة المخزون'!$B$5:$B$1004,"عينة / هدية")-SUMIFS('حركة المخزون'!$E$5:$E$1004,'حركة المخزون'!$C$5:$C$1004,$A76,'حركة المخزون'!$B$5:$B$1004,"تسوية نقص"))</f>
        <v/>
      </c>
      <c r="L76" s="27" t="str">
        <f aca="false">IF($A76="","",N(H76)+I76-J76+K76)</f>
        <v/>
      </c>
      <c r="M76" s="24"/>
      <c r="N76" s="28" t="str">
        <f aca="false">IF($A76="","",IF(AND(H76="",I76=0,J76=0),"لم يُسجل رصيد",IF(L76&lt;=0,"نفد",IF(L76&lt;=N(M76),"اطلب الآن","متوفر"))))</f>
        <v/>
      </c>
      <c r="O76" s="25" t="str">
        <f aca="false">IF($A76="","",L76*G76)</f>
        <v/>
      </c>
      <c r="P76" s="29"/>
      <c r="Q76" s="29"/>
    </row>
    <row r="77" customFormat="false" ht="15" hidden="false" customHeight="false" outlineLevel="0" collapsed="false">
      <c r="A77" s="29"/>
      <c r="B77" s="29"/>
      <c r="C77" s="29"/>
      <c r="D77" s="29"/>
      <c r="E77" s="30"/>
      <c r="F77" s="24"/>
      <c r="G77" s="31" t="str">
        <f aca="false">IF($A77="","",IFERROR(SUMIFS('حركة المخزون'!$G$5:$G$1004,'حركة المخزون'!$C$5:$C$1004,$A77,'حركة المخزون'!$B$5:$B$1004,"وارد شراء")/SUMIFS('حركة المخزون'!$E$5:$E$1004,'حركة المخزون'!$C$5:$C$1004,$A77,'حركة المخزون'!$B$5:$B$1004,"وارد شراء"),IFERROR(E77/F77,0)))</f>
        <v/>
      </c>
      <c r="H77" s="24"/>
      <c r="I77" s="27" t="str">
        <f aca="false">IF($A77="","",SUMIFS('حركة المخزون'!$E$5:$E$1004,'حركة المخزون'!$C$5:$C$1004,$A77,'حركة المخزون'!$B$5:$B$1004,"وارد شراء"))</f>
        <v/>
      </c>
      <c r="J77" s="27" t="str">
        <f aca="false">IF($A77="","",SUMIFS(الوصفات!$K$5:$K$304,الوصفات!$C$5:$C$304,$A77))</f>
        <v/>
      </c>
      <c r="K77" s="27" t="str">
        <f aca="false">IF($A77="","",SUMIFS('حركة المخزون'!$E$5:$E$1004,'حركة المخزون'!$C$5:$C$1004,$A77,'حركة المخزون'!$B$5:$B$1004,"تسوية زيادة")-SUMIFS('حركة المخزون'!$E$5:$E$1004,'حركة المخزون'!$C$5:$C$1004,$A77,'حركة المخزون'!$B$5:$B$1004,"تالف")-SUMIFS('حركة المخزون'!$E$5:$E$1004,'حركة المخزون'!$C$5:$C$1004,$A77,'حركة المخزون'!$B$5:$B$1004,"عينة / هدية")-SUMIFS('حركة المخزون'!$E$5:$E$1004,'حركة المخزون'!$C$5:$C$1004,$A77,'حركة المخزون'!$B$5:$B$1004,"تسوية نقص"))</f>
        <v/>
      </c>
      <c r="L77" s="27" t="str">
        <f aca="false">IF($A77="","",N(H77)+I77-J77+K77)</f>
        <v/>
      </c>
      <c r="M77" s="24"/>
      <c r="N77" s="28" t="str">
        <f aca="false">IF($A77="","",IF(AND(H77="",I77=0,J77=0),"لم يُسجل رصيد",IF(L77&lt;=0,"نفد",IF(L77&lt;=N(M77),"اطلب الآن","متوفر"))))</f>
        <v/>
      </c>
      <c r="O77" s="25" t="str">
        <f aca="false">IF($A77="","",L77*G77)</f>
        <v/>
      </c>
      <c r="P77" s="29"/>
      <c r="Q77" s="29"/>
    </row>
    <row r="78" customFormat="false" ht="15" hidden="false" customHeight="false" outlineLevel="0" collapsed="false">
      <c r="A78" s="29"/>
      <c r="B78" s="29"/>
      <c r="C78" s="29"/>
      <c r="D78" s="29"/>
      <c r="E78" s="30"/>
      <c r="F78" s="24"/>
      <c r="G78" s="31" t="str">
        <f aca="false">IF($A78="","",IFERROR(SUMIFS('حركة المخزون'!$G$5:$G$1004,'حركة المخزون'!$C$5:$C$1004,$A78,'حركة المخزون'!$B$5:$B$1004,"وارد شراء")/SUMIFS('حركة المخزون'!$E$5:$E$1004,'حركة المخزون'!$C$5:$C$1004,$A78,'حركة المخزون'!$B$5:$B$1004,"وارد شراء"),IFERROR(E78/F78,0)))</f>
        <v/>
      </c>
      <c r="H78" s="24"/>
      <c r="I78" s="27" t="str">
        <f aca="false">IF($A78="","",SUMIFS('حركة المخزون'!$E$5:$E$1004,'حركة المخزون'!$C$5:$C$1004,$A78,'حركة المخزون'!$B$5:$B$1004,"وارد شراء"))</f>
        <v/>
      </c>
      <c r="J78" s="27" t="str">
        <f aca="false">IF($A78="","",SUMIFS(الوصفات!$K$5:$K$304,الوصفات!$C$5:$C$304,$A78))</f>
        <v/>
      </c>
      <c r="K78" s="27" t="str">
        <f aca="false">IF($A78="","",SUMIFS('حركة المخزون'!$E$5:$E$1004,'حركة المخزون'!$C$5:$C$1004,$A78,'حركة المخزون'!$B$5:$B$1004,"تسوية زيادة")-SUMIFS('حركة المخزون'!$E$5:$E$1004,'حركة المخزون'!$C$5:$C$1004,$A78,'حركة المخزون'!$B$5:$B$1004,"تالف")-SUMIFS('حركة المخزون'!$E$5:$E$1004,'حركة المخزون'!$C$5:$C$1004,$A78,'حركة المخزون'!$B$5:$B$1004,"عينة / هدية")-SUMIFS('حركة المخزون'!$E$5:$E$1004,'حركة المخزون'!$C$5:$C$1004,$A78,'حركة المخزون'!$B$5:$B$1004,"تسوية نقص"))</f>
        <v/>
      </c>
      <c r="L78" s="27" t="str">
        <f aca="false">IF($A78="","",N(H78)+I78-J78+K78)</f>
        <v/>
      </c>
      <c r="M78" s="24"/>
      <c r="N78" s="28" t="str">
        <f aca="false">IF($A78="","",IF(AND(H78="",I78=0,J78=0),"لم يُسجل رصيد",IF(L78&lt;=0,"نفد",IF(L78&lt;=N(M78),"اطلب الآن","متوفر"))))</f>
        <v/>
      </c>
      <c r="O78" s="25" t="str">
        <f aca="false">IF($A78="","",L78*G78)</f>
        <v/>
      </c>
      <c r="P78" s="29"/>
      <c r="Q78" s="29"/>
    </row>
    <row r="79" customFormat="false" ht="15" hidden="false" customHeight="false" outlineLevel="0" collapsed="false">
      <c r="A79" s="29"/>
      <c r="B79" s="29"/>
      <c r="C79" s="29"/>
      <c r="D79" s="29"/>
      <c r="E79" s="30"/>
      <c r="F79" s="24"/>
      <c r="G79" s="31" t="str">
        <f aca="false">IF($A79="","",IFERROR(SUMIFS('حركة المخزون'!$G$5:$G$1004,'حركة المخزون'!$C$5:$C$1004,$A79,'حركة المخزون'!$B$5:$B$1004,"وارد شراء")/SUMIFS('حركة المخزون'!$E$5:$E$1004,'حركة المخزون'!$C$5:$C$1004,$A79,'حركة المخزون'!$B$5:$B$1004,"وارد شراء"),IFERROR(E79/F79,0)))</f>
        <v/>
      </c>
      <c r="H79" s="24"/>
      <c r="I79" s="27" t="str">
        <f aca="false">IF($A79="","",SUMIFS('حركة المخزون'!$E$5:$E$1004,'حركة المخزون'!$C$5:$C$1004,$A79,'حركة المخزون'!$B$5:$B$1004,"وارد شراء"))</f>
        <v/>
      </c>
      <c r="J79" s="27" t="str">
        <f aca="false">IF($A79="","",SUMIFS(الوصفات!$K$5:$K$304,الوصفات!$C$5:$C$304,$A79))</f>
        <v/>
      </c>
      <c r="K79" s="27" t="str">
        <f aca="false">IF($A79="","",SUMIFS('حركة المخزون'!$E$5:$E$1004,'حركة المخزون'!$C$5:$C$1004,$A79,'حركة المخزون'!$B$5:$B$1004,"تسوية زيادة")-SUMIFS('حركة المخزون'!$E$5:$E$1004,'حركة المخزون'!$C$5:$C$1004,$A79,'حركة المخزون'!$B$5:$B$1004,"تالف")-SUMIFS('حركة المخزون'!$E$5:$E$1004,'حركة المخزون'!$C$5:$C$1004,$A79,'حركة المخزون'!$B$5:$B$1004,"عينة / هدية")-SUMIFS('حركة المخزون'!$E$5:$E$1004,'حركة المخزون'!$C$5:$C$1004,$A79,'حركة المخزون'!$B$5:$B$1004,"تسوية نقص"))</f>
        <v/>
      </c>
      <c r="L79" s="27" t="str">
        <f aca="false">IF($A79="","",N(H79)+I79-J79+K79)</f>
        <v/>
      </c>
      <c r="M79" s="24"/>
      <c r="N79" s="28" t="str">
        <f aca="false">IF($A79="","",IF(AND(H79="",I79=0,J79=0),"لم يُسجل رصيد",IF(L79&lt;=0,"نفد",IF(L79&lt;=N(M79),"اطلب الآن","متوفر"))))</f>
        <v/>
      </c>
      <c r="O79" s="25" t="str">
        <f aca="false">IF($A79="","",L79*G79)</f>
        <v/>
      </c>
      <c r="P79" s="29"/>
      <c r="Q79" s="29"/>
    </row>
    <row r="80" customFormat="false" ht="15" hidden="false" customHeight="false" outlineLevel="0" collapsed="false">
      <c r="A80" s="29"/>
      <c r="B80" s="29"/>
      <c r="C80" s="29"/>
      <c r="D80" s="29"/>
      <c r="E80" s="30"/>
      <c r="F80" s="24"/>
      <c r="G80" s="31" t="str">
        <f aca="false">IF($A80="","",IFERROR(SUMIFS('حركة المخزون'!$G$5:$G$1004,'حركة المخزون'!$C$5:$C$1004,$A80,'حركة المخزون'!$B$5:$B$1004,"وارد شراء")/SUMIFS('حركة المخزون'!$E$5:$E$1004,'حركة المخزون'!$C$5:$C$1004,$A80,'حركة المخزون'!$B$5:$B$1004,"وارد شراء"),IFERROR(E80/F80,0)))</f>
        <v/>
      </c>
      <c r="H80" s="24"/>
      <c r="I80" s="27" t="str">
        <f aca="false">IF($A80="","",SUMIFS('حركة المخزون'!$E$5:$E$1004,'حركة المخزون'!$C$5:$C$1004,$A80,'حركة المخزون'!$B$5:$B$1004,"وارد شراء"))</f>
        <v/>
      </c>
      <c r="J80" s="27" t="str">
        <f aca="false">IF($A80="","",SUMIFS(الوصفات!$K$5:$K$304,الوصفات!$C$5:$C$304,$A80))</f>
        <v/>
      </c>
      <c r="K80" s="27" t="str">
        <f aca="false">IF($A80="","",SUMIFS('حركة المخزون'!$E$5:$E$1004,'حركة المخزون'!$C$5:$C$1004,$A80,'حركة المخزون'!$B$5:$B$1004,"تسوية زيادة")-SUMIFS('حركة المخزون'!$E$5:$E$1004,'حركة المخزون'!$C$5:$C$1004,$A80,'حركة المخزون'!$B$5:$B$1004,"تالف")-SUMIFS('حركة المخزون'!$E$5:$E$1004,'حركة المخزون'!$C$5:$C$1004,$A80,'حركة المخزون'!$B$5:$B$1004,"عينة / هدية")-SUMIFS('حركة المخزون'!$E$5:$E$1004,'حركة المخزون'!$C$5:$C$1004,$A80,'حركة المخزون'!$B$5:$B$1004,"تسوية نقص"))</f>
        <v/>
      </c>
      <c r="L80" s="27" t="str">
        <f aca="false">IF($A80="","",N(H80)+I80-J80+K80)</f>
        <v/>
      </c>
      <c r="M80" s="24"/>
      <c r="N80" s="28" t="str">
        <f aca="false">IF($A80="","",IF(AND(H80="",I80=0,J80=0),"لم يُسجل رصيد",IF(L80&lt;=0,"نفد",IF(L80&lt;=N(M80),"اطلب الآن","متوفر"))))</f>
        <v/>
      </c>
      <c r="O80" s="25" t="str">
        <f aca="false">IF($A80="","",L80*G80)</f>
        <v/>
      </c>
      <c r="P80" s="29"/>
      <c r="Q80" s="29"/>
    </row>
    <row r="81" customFormat="false" ht="15" hidden="false" customHeight="false" outlineLevel="0" collapsed="false">
      <c r="A81" s="29"/>
      <c r="B81" s="29"/>
      <c r="C81" s="29"/>
      <c r="D81" s="29"/>
      <c r="E81" s="30"/>
      <c r="F81" s="24"/>
      <c r="G81" s="31" t="str">
        <f aca="false">IF($A81="","",IFERROR(SUMIFS('حركة المخزون'!$G$5:$G$1004,'حركة المخزون'!$C$5:$C$1004,$A81,'حركة المخزون'!$B$5:$B$1004,"وارد شراء")/SUMIFS('حركة المخزون'!$E$5:$E$1004,'حركة المخزون'!$C$5:$C$1004,$A81,'حركة المخزون'!$B$5:$B$1004,"وارد شراء"),IFERROR(E81/F81,0)))</f>
        <v/>
      </c>
      <c r="H81" s="24"/>
      <c r="I81" s="27" t="str">
        <f aca="false">IF($A81="","",SUMIFS('حركة المخزون'!$E$5:$E$1004,'حركة المخزون'!$C$5:$C$1004,$A81,'حركة المخزون'!$B$5:$B$1004,"وارد شراء"))</f>
        <v/>
      </c>
      <c r="J81" s="27" t="str">
        <f aca="false">IF($A81="","",SUMIFS(الوصفات!$K$5:$K$304,الوصفات!$C$5:$C$304,$A81))</f>
        <v/>
      </c>
      <c r="K81" s="27" t="str">
        <f aca="false">IF($A81="","",SUMIFS('حركة المخزون'!$E$5:$E$1004,'حركة المخزون'!$C$5:$C$1004,$A81,'حركة المخزون'!$B$5:$B$1004,"تسوية زيادة")-SUMIFS('حركة المخزون'!$E$5:$E$1004,'حركة المخزون'!$C$5:$C$1004,$A81,'حركة المخزون'!$B$5:$B$1004,"تالف")-SUMIFS('حركة المخزون'!$E$5:$E$1004,'حركة المخزون'!$C$5:$C$1004,$A81,'حركة المخزون'!$B$5:$B$1004,"عينة / هدية")-SUMIFS('حركة المخزون'!$E$5:$E$1004,'حركة المخزون'!$C$5:$C$1004,$A81,'حركة المخزون'!$B$5:$B$1004,"تسوية نقص"))</f>
        <v/>
      </c>
      <c r="L81" s="27" t="str">
        <f aca="false">IF($A81="","",N(H81)+I81-J81+K81)</f>
        <v/>
      </c>
      <c r="M81" s="24"/>
      <c r="N81" s="28" t="str">
        <f aca="false">IF($A81="","",IF(AND(H81="",I81=0,J81=0),"لم يُسجل رصيد",IF(L81&lt;=0,"نفد",IF(L81&lt;=N(M81),"اطلب الآن","متوفر"))))</f>
        <v/>
      </c>
      <c r="O81" s="25" t="str">
        <f aca="false">IF($A81="","",L81*G81)</f>
        <v/>
      </c>
      <c r="P81" s="29"/>
      <c r="Q81" s="29"/>
    </row>
    <row r="82" customFormat="false" ht="15" hidden="false" customHeight="false" outlineLevel="0" collapsed="false">
      <c r="A82" s="29"/>
      <c r="B82" s="29"/>
      <c r="C82" s="29"/>
      <c r="D82" s="29"/>
      <c r="E82" s="30"/>
      <c r="F82" s="24"/>
      <c r="G82" s="31" t="str">
        <f aca="false">IF($A82="","",IFERROR(SUMIFS('حركة المخزون'!$G$5:$G$1004,'حركة المخزون'!$C$5:$C$1004,$A82,'حركة المخزون'!$B$5:$B$1004,"وارد شراء")/SUMIFS('حركة المخزون'!$E$5:$E$1004,'حركة المخزون'!$C$5:$C$1004,$A82,'حركة المخزون'!$B$5:$B$1004,"وارد شراء"),IFERROR(E82/F82,0)))</f>
        <v/>
      </c>
      <c r="H82" s="24"/>
      <c r="I82" s="27" t="str">
        <f aca="false">IF($A82="","",SUMIFS('حركة المخزون'!$E$5:$E$1004,'حركة المخزون'!$C$5:$C$1004,$A82,'حركة المخزون'!$B$5:$B$1004,"وارد شراء"))</f>
        <v/>
      </c>
      <c r="J82" s="27" t="str">
        <f aca="false">IF($A82="","",SUMIFS(الوصفات!$K$5:$K$304,الوصفات!$C$5:$C$304,$A82))</f>
        <v/>
      </c>
      <c r="K82" s="27" t="str">
        <f aca="false">IF($A82="","",SUMIFS('حركة المخزون'!$E$5:$E$1004,'حركة المخزون'!$C$5:$C$1004,$A82,'حركة المخزون'!$B$5:$B$1004,"تسوية زيادة")-SUMIFS('حركة المخزون'!$E$5:$E$1004,'حركة المخزون'!$C$5:$C$1004,$A82,'حركة المخزون'!$B$5:$B$1004,"تالف")-SUMIFS('حركة المخزون'!$E$5:$E$1004,'حركة المخزون'!$C$5:$C$1004,$A82,'حركة المخزون'!$B$5:$B$1004,"عينة / هدية")-SUMIFS('حركة المخزون'!$E$5:$E$1004,'حركة المخزون'!$C$5:$C$1004,$A82,'حركة المخزون'!$B$5:$B$1004,"تسوية نقص"))</f>
        <v/>
      </c>
      <c r="L82" s="27" t="str">
        <f aca="false">IF($A82="","",N(H82)+I82-J82+K82)</f>
        <v/>
      </c>
      <c r="M82" s="24"/>
      <c r="N82" s="28" t="str">
        <f aca="false">IF($A82="","",IF(AND(H82="",I82=0,J82=0),"لم يُسجل رصيد",IF(L82&lt;=0,"نفد",IF(L82&lt;=N(M82),"اطلب الآن","متوفر"))))</f>
        <v/>
      </c>
      <c r="O82" s="25" t="str">
        <f aca="false">IF($A82="","",L82*G82)</f>
        <v/>
      </c>
      <c r="P82" s="29"/>
      <c r="Q82" s="29"/>
    </row>
    <row r="83" customFormat="false" ht="15" hidden="false" customHeight="false" outlineLevel="0" collapsed="false">
      <c r="A83" s="29"/>
      <c r="B83" s="29"/>
      <c r="C83" s="29"/>
      <c r="D83" s="29"/>
      <c r="E83" s="30"/>
      <c r="F83" s="24"/>
      <c r="G83" s="31" t="str">
        <f aca="false">IF($A83="","",IFERROR(SUMIFS('حركة المخزون'!$G$5:$G$1004,'حركة المخزون'!$C$5:$C$1004,$A83,'حركة المخزون'!$B$5:$B$1004,"وارد شراء")/SUMIFS('حركة المخزون'!$E$5:$E$1004,'حركة المخزون'!$C$5:$C$1004,$A83,'حركة المخزون'!$B$5:$B$1004,"وارد شراء"),IFERROR(E83/F83,0)))</f>
        <v/>
      </c>
      <c r="H83" s="24"/>
      <c r="I83" s="27" t="str">
        <f aca="false">IF($A83="","",SUMIFS('حركة المخزون'!$E$5:$E$1004,'حركة المخزون'!$C$5:$C$1004,$A83,'حركة المخزون'!$B$5:$B$1004,"وارد شراء"))</f>
        <v/>
      </c>
      <c r="J83" s="27" t="str">
        <f aca="false">IF($A83="","",SUMIFS(الوصفات!$K$5:$K$304,الوصفات!$C$5:$C$304,$A83))</f>
        <v/>
      </c>
      <c r="K83" s="27" t="str">
        <f aca="false">IF($A83="","",SUMIFS('حركة المخزون'!$E$5:$E$1004,'حركة المخزون'!$C$5:$C$1004,$A83,'حركة المخزون'!$B$5:$B$1004,"تسوية زيادة")-SUMIFS('حركة المخزون'!$E$5:$E$1004,'حركة المخزون'!$C$5:$C$1004,$A83,'حركة المخزون'!$B$5:$B$1004,"تالف")-SUMIFS('حركة المخزون'!$E$5:$E$1004,'حركة المخزون'!$C$5:$C$1004,$A83,'حركة المخزون'!$B$5:$B$1004,"عينة / هدية")-SUMIFS('حركة المخزون'!$E$5:$E$1004,'حركة المخزون'!$C$5:$C$1004,$A83,'حركة المخزون'!$B$5:$B$1004,"تسوية نقص"))</f>
        <v/>
      </c>
      <c r="L83" s="27" t="str">
        <f aca="false">IF($A83="","",N(H83)+I83-J83+K83)</f>
        <v/>
      </c>
      <c r="M83" s="24"/>
      <c r="N83" s="28" t="str">
        <f aca="false">IF($A83="","",IF(AND(H83="",I83=0,J83=0),"لم يُسجل رصيد",IF(L83&lt;=0,"نفد",IF(L83&lt;=N(M83),"اطلب الآن","متوفر"))))</f>
        <v/>
      </c>
      <c r="O83" s="25" t="str">
        <f aca="false">IF($A83="","",L83*G83)</f>
        <v/>
      </c>
      <c r="P83" s="29"/>
      <c r="Q83" s="29"/>
    </row>
    <row r="84" customFormat="false" ht="15" hidden="false" customHeight="false" outlineLevel="0" collapsed="false">
      <c r="A84" s="29"/>
      <c r="B84" s="29"/>
      <c r="C84" s="29"/>
      <c r="D84" s="29"/>
      <c r="E84" s="30"/>
      <c r="F84" s="24"/>
      <c r="G84" s="31" t="str">
        <f aca="false">IF($A84="","",IFERROR(SUMIFS('حركة المخزون'!$G$5:$G$1004,'حركة المخزون'!$C$5:$C$1004,$A84,'حركة المخزون'!$B$5:$B$1004,"وارد شراء")/SUMIFS('حركة المخزون'!$E$5:$E$1004,'حركة المخزون'!$C$5:$C$1004,$A84,'حركة المخزون'!$B$5:$B$1004,"وارد شراء"),IFERROR(E84/F84,0)))</f>
        <v/>
      </c>
      <c r="H84" s="24"/>
      <c r="I84" s="27" t="str">
        <f aca="false">IF($A84="","",SUMIFS('حركة المخزون'!$E$5:$E$1004,'حركة المخزون'!$C$5:$C$1004,$A84,'حركة المخزون'!$B$5:$B$1004,"وارد شراء"))</f>
        <v/>
      </c>
      <c r="J84" s="27" t="str">
        <f aca="false">IF($A84="","",SUMIFS(الوصفات!$K$5:$K$304,الوصفات!$C$5:$C$304,$A84))</f>
        <v/>
      </c>
      <c r="K84" s="27" t="str">
        <f aca="false">IF($A84="","",SUMIFS('حركة المخزون'!$E$5:$E$1004,'حركة المخزون'!$C$5:$C$1004,$A84,'حركة المخزون'!$B$5:$B$1004,"تسوية زيادة")-SUMIFS('حركة المخزون'!$E$5:$E$1004,'حركة المخزون'!$C$5:$C$1004,$A84,'حركة المخزون'!$B$5:$B$1004,"تالف")-SUMIFS('حركة المخزون'!$E$5:$E$1004,'حركة المخزون'!$C$5:$C$1004,$A84,'حركة المخزون'!$B$5:$B$1004,"عينة / هدية")-SUMIFS('حركة المخزون'!$E$5:$E$1004,'حركة المخزون'!$C$5:$C$1004,$A84,'حركة المخزون'!$B$5:$B$1004,"تسوية نقص"))</f>
        <v/>
      </c>
      <c r="L84" s="27" t="str">
        <f aca="false">IF($A84="","",N(H84)+I84-J84+K84)</f>
        <v/>
      </c>
      <c r="M84" s="24"/>
      <c r="N84" s="28" t="str">
        <f aca="false">IF($A84="","",IF(AND(H84="",I84=0,J84=0),"لم يُسجل رصيد",IF(L84&lt;=0,"نفد",IF(L84&lt;=N(M84),"اطلب الآن","متوفر"))))</f>
        <v/>
      </c>
      <c r="O84" s="25" t="str">
        <f aca="false">IF($A84="","",L84*G84)</f>
        <v/>
      </c>
      <c r="P84" s="29"/>
      <c r="Q84" s="29"/>
    </row>
    <row r="85" customFormat="false" ht="15" hidden="false" customHeight="false" outlineLevel="0" collapsed="false">
      <c r="A85" s="29"/>
      <c r="B85" s="29"/>
      <c r="C85" s="29"/>
      <c r="D85" s="29"/>
      <c r="E85" s="30"/>
      <c r="F85" s="24"/>
      <c r="G85" s="31" t="str">
        <f aca="false">IF($A85="","",IFERROR(SUMIFS('حركة المخزون'!$G$5:$G$1004,'حركة المخزون'!$C$5:$C$1004,$A85,'حركة المخزون'!$B$5:$B$1004,"وارد شراء")/SUMIFS('حركة المخزون'!$E$5:$E$1004,'حركة المخزون'!$C$5:$C$1004,$A85,'حركة المخزون'!$B$5:$B$1004,"وارد شراء"),IFERROR(E85/F85,0)))</f>
        <v/>
      </c>
      <c r="H85" s="24"/>
      <c r="I85" s="27" t="str">
        <f aca="false">IF($A85="","",SUMIFS('حركة المخزون'!$E$5:$E$1004,'حركة المخزون'!$C$5:$C$1004,$A85,'حركة المخزون'!$B$5:$B$1004,"وارد شراء"))</f>
        <v/>
      </c>
      <c r="J85" s="27" t="str">
        <f aca="false">IF($A85="","",SUMIFS(الوصفات!$K$5:$K$304,الوصفات!$C$5:$C$304,$A85))</f>
        <v/>
      </c>
      <c r="K85" s="27" t="str">
        <f aca="false">IF($A85="","",SUMIFS('حركة المخزون'!$E$5:$E$1004,'حركة المخزون'!$C$5:$C$1004,$A85,'حركة المخزون'!$B$5:$B$1004,"تسوية زيادة")-SUMIFS('حركة المخزون'!$E$5:$E$1004,'حركة المخزون'!$C$5:$C$1004,$A85,'حركة المخزون'!$B$5:$B$1004,"تالف")-SUMIFS('حركة المخزون'!$E$5:$E$1004,'حركة المخزون'!$C$5:$C$1004,$A85,'حركة المخزون'!$B$5:$B$1004,"عينة / هدية")-SUMIFS('حركة المخزون'!$E$5:$E$1004,'حركة المخزون'!$C$5:$C$1004,$A85,'حركة المخزون'!$B$5:$B$1004,"تسوية نقص"))</f>
        <v/>
      </c>
      <c r="L85" s="27" t="str">
        <f aca="false">IF($A85="","",N(H85)+I85-J85+K85)</f>
        <v/>
      </c>
      <c r="M85" s="24"/>
      <c r="N85" s="28" t="str">
        <f aca="false">IF($A85="","",IF(AND(H85="",I85=0,J85=0),"لم يُسجل رصيد",IF(L85&lt;=0,"نفد",IF(L85&lt;=N(M85),"اطلب الآن","متوفر"))))</f>
        <v/>
      </c>
      <c r="O85" s="25" t="str">
        <f aca="false">IF($A85="","",L85*G85)</f>
        <v/>
      </c>
      <c r="P85" s="29"/>
      <c r="Q85" s="29"/>
    </row>
    <row r="86" customFormat="false" ht="15" hidden="false" customHeight="false" outlineLevel="0" collapsed="false">
      <c r="A86" s="29"/>
      <c r="B86" s="29"/>
      <c r="C86" s="29"/>
      <c r="D86" s="29"/>
      <c r="E86" s="30"/>
      <c r="F86" s="24"/>
      <c r="G86" s="31" t="str">
        <f aca="false">IF($A86="","",IFERROR(SUMIFS('حركة المخزون'!$G$5:$G$1004,'حركة المخزون'!$C$5:$C$1004,$A86,'حركة المخزون'!$B$5:$B$1004,"وارد شراء")/SUMIFS('حركة المخزون'!$E$5:$E$1004,'حركة المخزون'!$C$5:$C$1004,$A86,'حركة المخزون'!$B$5:$B$1004,"وارد شراء"),IFERROR(E86/F86,0)))</f>
        <v/>
      </c>
      <c r="H86" s="24"/>
      <c r="I86" s="27" t="str">
        <f aca="false">IF($A86="","",SUMIFS('حركة المخزون'!$E$5:$E$1004,'حركة المخزون'!$C$5:$C$1004,$A86,'حركة المخزون'!$B$5:$B$1004,"وارد شراء"))</f>
        <v/>
      </c>
      <c r="J86" s="27" t="str">
        <f aca="false">IF($A86="","",SUMIFS(الوصفات!$K$5:$K$304,الوصفات!$C$5:$C$304,$A86))</f>
        <v/>
      </c>
      <c r="K86" s="27" t="str">
        <f aca="false">IF($A86="","",SUMIFS('حركة المخزون'!$E$5:$E$1004,'حركة المخزون'!$C$5:$C$1004,$A86,'حركة المخزون'!$B$5:$B$1004,"تسوية زيادة")-SUMIFS('حركة المخزون'!$E$5:$E$1004,'حركة المخزون'!$C$5:$C$1004,$A86,'حركة المخزون'!$B$5:$B$1004,"تالف")-SUMIFS('حركة المخزون'!$E$5:$E$1004,'حركة المخزون'!$C$5:$C$1004,$A86,'حركة المخزون'!$B$5:$B$1004,"عينة / هدية")-SUMIFS('حركة المخزون'!$E$5:$E$1004,'حركة المخزون'!$C$5:$C$1004,$A86,'حركة المخزون'!$B$5:$B$1004,"تسوية نقص"))</f>
        <v/>
      </c>
      <c r="L86" s="27" t="str">
        <f aca="false">IF($A86="","",N(H86)+I86-J86+K86)</f>
        <v/>
      </c>
      <c r="M86" s="24"/>
      <c r="N86" s="28" t="str">
        <f aca="false">IF($A86="","",IF(AND(H86="",I86=0,J86=0),"لم يُسجل رصيد",IF(L86&lt;=0,"نفد",IF(L86&lt;=N(M86),"اطلب الآن","متوفر"))))</f>
        <v/>
      </c>
      <c r="O86" s="25" t="str">
        <f aca="false">IF($A86="","",L86*G86)</f>
        <v/>
      </c>
      <c r="P86" s="29"/>
      <c r="Q86" s="29"/>
    </row>
    <row r="87" customFormat="false" ht="15" hidden="false" customHeight="false" outlineLevel="0" collapsed="false">
      <c r="A87" s="29"/>
      <c r="B87" s="29"/>
      <c r="C87" s="29"/>
      <c r="D87" s="29"/>
      <c r="E87" s="30"/>
      <c r="F87" s="24"/>
      <c r="G87" s="31" t="str">
        <f aca="false">IF($A87="","",IFERROR(SUMIFS('حركة المخزون'!$G$5:$G$1004,'حركة المخزون'!$C$5:$C$1004,$A87,'حركة المخزون'!$B$5:$B$1004,"وارد شراء")/SUMIFS('حركة المخزون'!$E$5:$E$1004,'حركة المخزون'!$C$5:$C$1004,$A87,'حركة المخزون'!$B$5:$B$1004,"وارد شراء"),IFERROR(E87/F87,0)))</f>
        <v/>
      </c>
      <c r="H87" s="24"/>
      <c r="I87" s="27" t="str">
        <f aca="false">IF($A87="","",SUMIFS('حركة المخزون'!$E$5:$E$1004,'حركة المخزون'!$C$5:$C$1004,$A87,'حركة المخزون'!$B$5:$B$1004,"وارد شراء"))</f>
        <v/>
      </c>
      <c r="J87" s="27" t="str">
        <f aca="false">IF($A87="","",SUMIFS(الوصفات!$K$5:$K$304,الوصفات!$C$5:$C$304,$A87))</f>
        <v/>
      </c>
      <c r="K87" s="27" t="str">
        <f aca="false">IF($A87="","",SUMIFS('حركة المخزون'!$E$5:$E$1004,'حركة المخزون'!$C$5:$C$1004,$A87,'حركة المخزون'!$B$5:$B$1004,"تسوية زيادة")-SUMIFS('حركة المخزون'!$E$5:$E$1004,'حركة المخزون'!$C$5:$C$1004,$A87,'حركة المخزون'!$B$5:$B$1004,"تالف")-SUMIFS('حركة المخزون'!$E$5:$E$1004,'حركة المخزون'!$C$5:$C$1004,$A87,'حركة المخزون'!$B$5:$B$1004,"عينة / هدية")-SUMIFS('حركة المخزون'!$E$5:$E$1004,'حركة المخزون'!$C$5:$C$1004,$A87,'حركة المخزون'!$B$5:$B$1004,"تسوية نقص"))</f>
        <v/>
      </c>
      <c r="L87" s="27" t="str">
        <f aca="false">IF($A87="","",N(H87)+I87-J87+K87)</f>
        <v/>
      </c>
      <c r="M87" s="24"/>
      <c r="N87" s="28" t="str">
        <f aca="false">IF($A87="","",IF(AND(H87="",I87=0,J87=0),"لم يُسجل رصيد",IF(L87&lt;=0,"نفد",IF(L87&lt;=N(M87),"اطلب الآن","متوفر"))))</f>
        <v/>
      </c>
      <c r="O87" s="25" t="str">
        <f aca="false">IF($A87="","",L87*G87)</f>
        <v/>
      </c>
      <c r="P87" s="29"/>
      <c r="Q87" s="29"/>
    </row>
    <row r="88" customFormat="false" ht="15" hidden="false" customHeight="false" outlineLevel="0" collapsed="false">
      <c r="A88" s="29"/>
      <c r="B88" s="29"/>
      <c r="C88" s="29"/>
      <c r="D88" s="29"/>
      <c r="E88" s="30"/>
      <c r="F88" s="24"/>
      <c r="G88" s="31" t="str">
        <f aca="false">IF($A88="","",IFERROR(SUMIFS('حركة المخزون'!$G$5:$G$1004,'حركة المخزون'!$C$5:$C$1004,$A88,'حركة المخزون'!$B$5:$B$1004,"وارد شراء")/SUMIFS('حركة المخزون'!$E$5:$E$1004,'حركة المخزون'!$C$5:$C$1004,$A88,'حركة المخزون'!$B$5:$B$1004,"وارد شراء"),IFERROR(E88/F88,0)))</f>
        <v/>
      </c>
      <c r="H88" s="24"/>
      <c r="I88" s="27" t="str">
        <f aca="false">IF($A88="","",SUMIFS('حركة المخزون'!$E$5:$E$1004,'حركة المخزون'!$C$5:$C$1004,$A88,'حركة المخزون'!$B$5:$B$1004,"وارد شراء"))</f>
        <v/>
      </c>
      <c r="J88" s="27" t="str">
        <f aca="false">IF($A88="","",SUMIFS(الوصفات!$K$5:$K$304,الوصفات!$C$5:$C$304,$A88))</f>
        <v/>
      </c>
      <c r="K88" s="27" t="str">
        <f aca="false">IF($A88="","",SUMIFS('حركة المخزون'!$E$5:$E$1004,'حركة المخزون'!$C$5:$C$1004,$A88,'حركة المخزون'!$B$5:$B$1004,"تسوية زيادة")-SUMIFS('حركة المخزون'!$E$5:$E$1004,'حركة المخزون'!$C$5:$C$1004,$A88,'حركة المخزون'!$B$5:$B$1004,"تالف")-SUMIFS('حركة المخزون'!$E$5:$E$1004,'حركة المخزون'!$C$5:$C$1004,$A88,'حركة المخزون'!$B$5:$B$1004,"عينة / هدية")-SUMIFS('حركة المخزون'!$E$5:$E$1004,'حركة المخزون'!$C$5:$C$1004,$A88,'حركة المخزون'!$B$5:$B$1004,"تسوية نقص"))</f>
        <v/>
      </c>
      <c r="L88" s="27" t="str">
        <f aca="false">IF($A88="","",N(H88)+I88-J88+K88)</f>
        <v/>
      </c>
      <c r="M88" s="24"/>
      <c r="N88" s="28" t="str">
        <f aca="false">IF($A88="","",IF(AND(H88="",I88=0,J88=0),"لم يُسجل رصيد",IF(L88&lt;=0,"نفد",IF(L88&lt;=N(M88),"اطلب الآن","متوفر"))))</f>
        <v/>
      </c>
      <c r="O88" s="25" t="str">
        <f aca="false">IF($A88="","",L88*G88)</f>
        <v/>
      </c>
      <c r="P88" s="29"/>
      <c r="Q88" s="29"/>
    </row>
    <row r="89" customFormat="false" ht="15" hidden="false" customHeight="false" outlineLevel="0" collapsed="false">
      <c r="A89" s="29"/>
      <c r="B89" s="29"/>
      <c r="C89" s="29"/>
      <c r="D89" s="29"/>
      <c r="E89" s="30"/>
      <c r="F89" s="24"/>
      <c r="G89" s="31" t="str">
        <f aca="false">IF($A89="","",IFERROR(SUMIFS('حركة المخزون'!$G$5:$G$1004,'حركة المخزون'!$C$5:$C$1004,$A89,'حركة المخزون'!$B$5:$B$1004,"وارد شراء")/SUMIFS('حركة المخزون'!$E$5:$E$1004,'حركة المخزون'!$C$5:$C$1004,$A89,'حركة المخزون'!$B$5:$B$1004,"وارد شراء"),IFERROR(E89/F89,0)))</f>
        <v/>
      </c>
      <c r="H89" s="24"/>
      <c r="I89" s="27" t="str">
        <f aca="false">IF($A89="","",SUMIFS('حركة المخزون'!$E$5:$E$1004,'حركة المخزون'!$C$5:$C$1004,$A89,'حركة المخزون'!$B$5:$B$1004,"وارد شراء"))</f>
        <v/>
      </c>
      <c r="J89" s="27" t="str">
        <f aca="false">IF($A89="","",SUMIFS(الوصفات!$K$5:$K$304,الوصفات!$C$5:$C$304,$A89))</f>
        <v/>
      </c>
      <c r="K89" s="27" t="str">
        <f aca="false">IF($A89="","",SUMIFS('حركة المخزون'!$E$5:$E$1004,'حركة المخزون'!$C$5:$C$1004,$A89,'حركة المخزون'!$B$5:$B$1004,"تسوية زيادة")-SUMIFS('حركة المخزون'!$E$5:$E$1004,'حركة المخزون'!$C$5:$C$1004,$A89,'حركة المخزون'!$B$5:$B$1004,"تالف")-SUMIFS('حركة المخزون'!$E$5:$E$1004,'حركة المخزون'!$C$5:$C$1004,$A89,'حركة المخزون'!$B$5:$B$1004,"عينة / هدية")-SUMIFS('حركة المخزون'!$E$5:$E$1004,'حركة المخزون'!$C$5:$C$1004,$A89,'حركة المخزون'!$B$5:$B$1004,"تسوية نقص"))</f>
        <v/>
      </c>
      <c r="L89" s="27" t="str">
        <f aca="false">IF($A89="","",N(H89)+I89-J89+K89)</f>
        <v/>
      </c>
      <c r="M89" s="24"/>
      <c r="N89" s="28" t="str">
        <f aca="false">IF($A89="","",IF(AND(H89="",I89=0,J89=0),"لم يُسجل رصيد",IF(L89&lt;=0,"نفد",IF(L89&lt;=N(M89),"اطلب الآن","متوفر"))))</f>
        <v/>
      </c>
      <c r="O89" s="25" t="str">
        <f aca="false">IF($A89="","",L89*G89)</f>
        <v/>
      </c>
      <c r="P89" s="29"/>
      <c r="Q89" s="29"/>
    </row>
    <row r="90" customFormat="false" ht="15" hidden="false" customHeight="false" outlineLevel="0" collapsed="false">
      <c r="A90" s="29"/>
      <c r="B90" s="29"/>
      <c r="C90" s="29"/>
      <c r="D90" s="29"/>
      <c r="E90" s="30"/>
      <c r="F90" s="24"/>
      <c r="G90" s="31" t="str">
        <f aca="false">IF($A90="","",IFERROR(SUMIFS('حركة المخزون'!$G$5:$G$1004,'حركة المخزون'!$C$5:$C$1004,$A90,'حركة المخزون'!$B$5:$B$1004,"وارد شراء")/SUMIFS('حركة المخزون'!$E$5:$E$1004,'حركة المخزون'!$C$5:$C$1004,$A90,'حركة المخزون'!$B$5:$B$1004,"وارد شراء"),IFERROR(E90/F90,0)))</f>
        <v/>
      </c>
      <c r="H90" s="24"/>
      <c r="I90" s="27" t="str">
        <f aca="false">IF($A90="","",SUMIFS('حركة المخزون'!$E$5:$E$1004,'حركة المخزون'!$C$5:$C$1004,$A90,'حركة المخزون'!$B$5:$B$1004,"وارد شراء"))</f>
        <v/>
      </c>
      <c r="J90" s="27" t="str">
        <f aca="false">IF($A90="","",SUMIFS(الوصفات!$K$5:$K$304,الوصفات!$C$5:$C$304,$A90))</f>
        <v/>
      </c>
      <c r="K90" s="27" t="str">
        <f aca="false">IF($A90="","",SUMIFS('حركة المخزون'!$E$5:$E$1004,'حركة المخزون'!$C$5:$C$1004,$A90,'حركة المخزون'!$B$5:$B$1004,"تسوية زيادة")-SUMIFS('حركة المخزون'!$E$5:$E$1004,'حركة المخزون'!$C$5:$C$1004,$A90,'حركة المخزون'!$B$5:$B$1004,"تالف")-SUMIFS('حركة المخزون'!$E$5:$E$1004,'حركة المخزون'!$C$5:$C$1004,$A90,'حركة المخزون'!$B$5:$B$1004,"عينة / هدية")-SUMIFS('حركة المخزون'!$E$5:$E$1004,'حركة المخزون'!$C$5:$C$1004,$A90,'حركة المخزون'!$B$5:$B$1004,"تسوية نقص"))</f>
        <v/>
      </c>
      <c r="L90" s="27" t="str">
        <f aca="false">IF($A90="","",N(H90)+I90-J90+K90)</f>
        <v/>
      </c>
      <c r="M90" s="24"/>
      <c r="N90" s="28" t="str">
        <f aca="false">IF($A90="","",IF(AND(H90="",I90=0,J90=0),"لم يُسجل رصيد",IF(L90&lt;=0,"نفد",IF(L90&lt;=N(M90),"اطلب الآن","متوفر"))))</f>
        <v/>
      </c>
      <c r="O90" s="25" t="str">
        <f aca="false">IF($A90="","",L90*G90)</f>
        <v/>
      </c>
      <c r="P90" s="29"/>
      <c r="Q90" s="29"/>
    </row>
    <row r="91" customFormat="false" ht="15" hidden="false" customHeight="false" outlineLevel="0" collapsed="false">
      <c r="A91" s="29"/>
      <c r="B91" s="29"/>
      <c r="C91" s="29"/>
      <c r="D91" s="29"/>
      <c r="E91" s="30"/>
      <c r="F91" s="24"/>
      <c r="G91" s="31" t="str">
        <f aca="false">IF($A91="","",IFERROR(SUMIFS('حركة المخزون'!$G$5:$G$1004,'حركة المخزون'!$C$5:$C$1004,$A91,'حركة المخزون'!$B$5:$B$1004,"وارد شراء")/SUMIFS('حركة المخزون'!$E$5:$E$1004,'حركة المخزون'!$C$5:$C$1004,$A91,'حركة المخزون'!$B$5:$B$1004,"وارد شراء"),IFERROR(E91/F91,0)))</f>
        <v/>
      </c>
      <c r="H91" s="24"/>
      <c r="I91" s="27" t="str">
        <f aca="false">IF($A91="","",SUMIFS('حركة المخزون'!$E$5:$E$1004,'حركة المخزون'!$C$5:$C$1004,$A91,'حركة المخزون'!$B$5:$B$1004,"وارد شراء"))</f>
        <v/>
      </c>
      <c r="J91" s="27" t="str">
        <f aca="false">IF($A91="","",SUMIFS(الوصفات!$K$5:$K$304,الوصفات!$C$5:$C$304,$A91))</f>
        <v/>
      </c>
      <c r="K91" s="27" t="str">
        <f aca="false">IF($A91="","",SUMIFS('حركة المخزون'!$E$5:$E$1004,'حركة المخزون'!$C$5:$C$1004,$A91,'حركة المخزون'!$B$5:$B$1004,"تسوية زيادة")-SUMIFS('حركة المخزون'!$E$5:$E$1004,'حركة المخزون'!$C$5:$C$1004,$A91,'حركة المخزون'!$B$5:$B$1004,"تالف")-SUMIFS('حركة المخزون'!$E$5:$E$1004,'حركة المخزون'!$C$5:$C$1004,$A91,'حركة المخزون'!$B$5:$B$1004,"عينة / هدية")-SUMIFS('حركة المخزون'!$E$5:$E$1004,'حركة المخزون'!$C$5:$C$1004,$A91,'حركة المخزون'!$B$5:$B$1004,"تسوية نقص"))</f>
        <v/>
      </c>
      <c r="L91" s="27" t="str">
        <f aca="false">IF($A91="","",N(H91)+I91-J91+K91)</f>
        <v/>
      </c>
      <c r="M91" s="24"/>
      <c r="N91" s="28" t="str">
        <f aca="false">IF($A91="","",IF(AND(H91="",I91=0,J91=0),"لم يُسجل رصيد",IF(L91&lt;=0,"نفد",IF(L91&lt;=N(M91),"اطلب الآن","متوفر"))))</f>
        <v/>
      </c>
      <c r="O91" s="25" t="str">
        <f aca="false">IF($A91="","",L91*G91)</f>
        <v/>
      </c>
      <c r="P91" s="29"/>
      <c r="Q91" s="29"/>
    </row>
    <row r="92" customFormat="false" ht="15" hidden="false" customHeight="false" outlineLevel="0" collapsed="false">
      <c r="A92" s="29"/>
      <c r="B92" s="29"/>
      <c r="C92" s="29"/>
      <c r="D92" s="29"/>
      <c r="E92" s="30"/>
      <c r="F92" s="24"/>
      <c r="G92" s="31" t="str">
        <f aca="false">IF($A92="","",IFERROR(SUMIFS('حركة المخزون'!$G$5:$G$1004,'حركة المخزون'!$C$5:$C$1004,$A92,'حركة المخزون'!$B$5:$B$1004,"وارد شراء")/SUMIFS('حركة المخزون'!$E$5:$E$1004,'حركة المخزون'!$C$5:$C$1004,$A92,'حركة المخزون'!$B$5:$B$1004,"وارد شراء"),IFERROR(E92/F92,0)))</f>
        <v/>
      </c>
      <c r="H92" s="24"/>
      <c r="I92" s="27" t="str">
        <f aca="false">IF($A92="","",SUMIFS('حركة المخزون'!$E$5:$E$1004,'حركة المخزون'!$C$5:$C$1004,$A92,'حركة المخزون'!$B$5:$B$1004,"وارد شراء"))</f>
        <v/>
      </c>
      <c r="J92" s="27" t="str">
        <f aca="false">IF($A92="","",SUMIFS(الوصفات!$K$5:$K$304,الوصفات!$C$5:$C$304,$A92))</f>
        <v/>
      </c>
      <c r="K92" s="27" t="str">
        <f aca="false">IF($A92="","",SUMIFS('حركة المخزون'!$E$5:$E$1004,'حركة المخزون'!$C$5:$C$1004,$A92,'حركة المخزون'!$B$5:$B$1004,"تسوية زيادة")-SUMIFS('حركة المخزون'!$E$5:$E$1004,'حركة المخزون'!$C$5:$C$1004,$A92,'حركة المخزون'!$B$5:$B$1004,"تالف")-SUMIFS('حركة المخزون'!$E$5:$E$1004,'حركة المخزون'!$C$5:$C$1004,$A92,'حركة المخزون'!$B$5:$B$1004,"عينة / هدية")-SUMIFS('حركة المخزون'!$E$5:$E$1004,'حركة المخزون'!$C$5:$C$1004,$A92,'حركة المخزون'!$B$5:$B$1004,"تسوية نقص"))</f>
        <v/>
      </c>
      <c r="L92" s="27" t="str">
        <f aca="false">IF($A92="","",N(H92)+I92-J92+K92)</f>
        <v/>
      </c>
      <c r="M92" s="24"/>
      <c r="N92" s="28" t="str">
        <f aca="false">IF($A92="","",IF(AND(H92="",I92=0,J92=0),"لم يُسجل رصيد",IF(L92&lt;=0,"نفد",IF(L92&lt;=N(M92),"اطلب الآن","متوفر"))))</f>
        <v/>
      </c>
      <c r="O92" s="25" t="str">
        <f aca="false">IF($A92="","",L92*G92)</f>
        <v/>
      </c>
      <c r="P92" s="29"/>
      <c r="Q92" s="29"/>
    </row>
    <row r="93" customFormat="false" ht="15" hidden="false" customHeight="false" outlineLevel="0" collapsed="false">
      <c r="A93" s="29"/>
      <c r="B93" s="29"/>
      <c r="C93" s="29"/>
      <c r="D93" s="29"/>
      <c r="E93" s="30"/>
      <c r="F93" s="24"/>
      <c r="G93" s="31" t="str">
        <f aca="false">IF($A93="","",IFERROR(SUMIFS('حركة المخزون'!$G$5:$G$1004,'حركة المخزون'!$C$5:$C$1004,$A93,'حركة المخزون'!$B$5:$B$1004,"وارد شراء")/SUMIFS('حركة المخزون'!$E$5:$E$1004,'حركة المخزون'!$C$5:$C$1004,$A93,'حركة المخزون'!$B$5:$B$1004,"وارد شراء"),IFERROR(E93/F93,0)))</f>
        <v/>
      </c>
      <c r="H93" s="24"/>
      <c r="I93" s="27" t="str">
        <f aca="false">IF($A93="","",SUMIFS('حركة المخزون'!$E$5:$E$1004,'حركة المخزون'!$C$5:$C$1004,$A93,'حركة المخزون'!$B$5:$B$1004,"وارد شراء"))</f>
        <v/>
      </c>
      <c r="J93" s="27" t="str">
        <f aca="false">IF($A93="","",SUMIFS(الوصفات!$K$5:$K$304,الوصفات!$C$5:$C$304,$A93))</f>
        <v/>
      </c>
      <c r="K93" s="27" t="str">
        <f aca="false">IF($A93="","",SUMIFS('حركة المخزون'!$E$5:$E$1004,'حركة المخزون'!$C$5:$C$1004,$A93,'حركة المخزون'!$B$5:$B$1004,"تسوية زيادة")-SUMIFS('حركة المخزون'!$E$5:$E$1004,'حركة المخزون'!$C$5:$C$1004,$A93,'حركة المخزون'!$B$5:$B$1004,"تالف")-SUMIFS('حركة المخزون'!$E$5:$E$1004,'حركة المخزون'!$C$5:$C$1004,$A93,'حركة المخزون'!$B$5:$B$1004,"عينة / هدية")-SUMIFS('حركة المخزون'!$E$5:$E$1004,'حركة المخزون'!$C$5:$C$1004,$A93,'حركة المخزون'!$B$5:$B$1004,"تسوية نقص"))</f>
        <v/>
      </c>
      <c r="L93" s="27" t="str">
        <f aca="false">IF($A93="","",N(H93)+I93-J93+K93)</f>
        <v/>
      </c>
      <c r="M93" s="24"/>
      <c r="N93" s="28" t="str">
        <f aca="false">IF($A93="","",IF(AND(H93="",I93=0,J93=0),"لم يُسجل رصيد",IF(L93&lt;=0,"نفد",IF(L93&lt;=N(M93),"اطلب الآن","متوفر"))))</f>
        <v/>
      </c>
      <c r="O93" s="25" t="str">
        <f aca="false">IF($A93="","",L93*G93)</f>
        <v/>
      </c>
      <c r="P93" s="29"/>
      <c r="Q93" s="29"/>
    </row>
    <row r="94" customFormat="false" ht="15" hidden="false" customHeight="false" outlineLevel="0" collapsed="false">
      <c r="A94" s="29"/>
      <c r="B94" s="29"/>
      <c r="C94" s="29"/>
      <c r="D94" s="29"/>
      <c r="E94" s="30"/>
      <c r="F94" s="24"/>
      <c r="G94" s="31" t="str">
        <f aca="false">IF($A94="","",IFERROR(SUMIFS('حركة المخزون'!$G$5:$G$1004,'حركة المخزون'!$C$5:$C$1004,$A94,'حركة المخزون'!$B$5:$B$1004,"وارد شراء")/SUMIFS('حركة المخزون'!$E$5:$E$1004,'حركة المخزون'!$C$5:$C$1004,$A94,'حركة المخزون'!$B$5:$B$1004,"وارد شراء"),IFERROR(E94/F94,0)))</f>
        <v/>
      </c>
      <c r="H94" s="24"/>
      <c r="I94" s="27" t="str">
        <f aca="false">IF($A94="","",SUMIFS('حركة المخزون'!$E$5:$E$1004,'حركة المخزون'!$C$5:$C$1004,$A94,'حركة المخزون'!$B$5:$B$1004,"وارد شراء"))</f>
        <v/>
      </c>
      <c r="J94" s="27" t="str">
        <f aca="false">IF($A94="","",SUMIFS(الوصفات!$K$5:$K$304,الوصفات!$C$5:$C$304,$A94))</f>
        <v/>
      </c>
      <c r="K94" s="27" t="str">
        <f aca="false">IF($A94="","",SUMIFS('حركة المخزون'!$E$5:$E$1004,'حركة المخزون'!$C$5:$C$1004,$A94,'حركة المخزون'!$B$5:$B$1004,"تسوية زيادة")-SUMIFS('حركة المخزون'!$E$5:$E$1004,'حركة المخزون'!$C$5:$C$1004,$A94,'حركة المخزون'!$B$5:$B$1004,"تالف")-SUMIFS('حركة المخزون'!$E$5:$E$1004,'حركة المخزون'!$C$5:$C$1004,$A94,'حركة المخزون'!$B$5:$B$1004,"عينة / هدية")-SUMIFS('حركة المخزون'!$E$5:$E$1004,'حركة المخزون'!$C$5:$C$1004,$A94,'حركة المخزون'!$B$5:$B$1004,"تسوية نقص"))</f>
        <v/>
      </c>
      <c r="L94" s="27" t="str">
        <f aca="false">IF($A94="","",N(H94)+I94-J94+K94)</f>
        <v/>
      </c>
      <c r="M94" s="24"/>
      <c r="N94" s="28" t="str">
        <f aca="false">IF($A94="","",IF(AND(H94="",I94=0,J94=0),"لم يُسجل رصيد",IF(L94&lt;=0,"نفد",IF(L94&lt;=N(M94),"اطلب الآن","متوفر"))))</f>
        <v/>
      </c>
      <c r="O94" s="25" t="str">
        <f aca="false">IF($A94="","",L94*G94)</f>
        <v/>
      </c>
      <c r="P94" s="29"/>
      <c r="Q94" s="29"/>
    </row>
    <row r="95" customFormat="false" ht="15" hidden="false" customHeight="false" outlineLevel="0" collapsed="false">
      <c r="A95" s="29"/>
      <c r="B95" s="29"/>
      <c r="C95" s="29"/>
      <c r="D95" s="29"/>
      <c r="E95" s="30"/>
      <c r="F95" s="24"/>
      <c r="G95" s="31" t="str">
        <f aca="false">IF($A95="","",IFERROR(SUMIFS('حركة المخزون'!$G$5:$G$1004,'حركة المخزون'!$C$5:$C$1004,$A95,'حركة المخزون'!$B$5:$B$1004,"وارد شراء")/SUMIFS('حركة المخزون'!$E$5:$E$1004,'حركة المخزون'!$C$5:$C$1004,$A95,'حركة المخزون'!$B$5:$B$1004,"وارد شراء"),IFERROR(E95/F95,0)))</f>
        <v/>
      </c>
      <c r="H95" s="24"/>
      <c r="I95" s="27" t="str">
        <f aca="false">IF($A95="","",SUMIFS('حركة المخزون'!$E$5:$E$1004,'حركة المخزون'!$C$5:$C$1004,$A95,'حركة المخزون'!$B$5:$B$1004,"وارد شراء"))</f>
        <v/>
      </c>
      <c r="J95" s="27" t="str">
        <f aca="false">IF($A95="","",SUMIFS(الوصفات!$K$5:$K$304,الوصفات!$C$5:$C$304,$A95))</f>
        <v/>
      </c>
      <c r="K95" s="27" t="str">
        <f aca="false">IF($A95="","",SUMIFS('حركة المخزون'!$E$5:$E$1004,'حركة المخزون'!$C$5:$C$1004,$A95,'حركة المخزون'!$B$5:$B$1004,"تسوية زيادة")-SUMIFS('حركة المخزون'!$E$5:$E$1004,'حركة المخزون'!$C$5:$C$1004,$A95,'حركة المخزون'!$B$5:$B$1004,"تالف")-SUMIFS('حركة المخزون'!$E$5:$E$1004,'حركة المخزون'!$C$5:$C$1004,$A95,'حركة المخزون'!$B$5:$B$1004,"عينة / هدية")-SUMIFS('حركة المخزون'!$E$5:$E$1004,'حركة المخزون'!$C$5:$C$1004,$A95,'حركة المخزون'!$B$5:$B$1004,"تسوية نقص"))</f>
        <v/>
      </c>
      <c r="L95" s="27" t="str">
        <f aca="false">IF($A95="","",N(H95)+I95-J95+K95)</f>
        <v/>
      </c>
      <c r="M95" s="24"/>
      <c r="N95" s="28" t="str">
        <f aca="false">IF($A95="","",IF(AND(H95="",I95=0,J95=0),"لم يُسجل رصيد",IF(L95&lt;=0,"نفد",IF(L95&lt;=N(M95),"اطلب الآن","متوفر"))))</f>
        <v/>
      </c>
      <c r="O95" s="25" t="str">
        <f aca="false">IF($A95="","",L95*G95)</f>
        <v/>
      </c>
      <c r="P95" s="29"/>
      <c r="Q95" s="29"/>
    </row>
    <row r="96" customFormat="false" ht="15" hidden="false" customHeight="false" outlineLevel="0" collapsed="false">
      <c r="A96" s="29"/>
      <c r="B96" s="29"/>
      <c r="C96" s="29"/>
      <c r="D96" s="29"/>
      <c r="E96" s="30"/>
      <c r="F96" s="24"/>
      <c r="G96" s="31" t="str">
        <f aca="false">IF($A96="","",IFERROR(SUMIFS('حركة المخزون'!$G$5:$G$1004,'حركة المخزون'!$C$5:$C$1004,$A96,'حركة المخزون'!$B$5:$B$1004,"وارد شراء")/SUMIFS('حركة المخزون'!$E$5:$E$1004,'حركة المخزون'!$C$5:$C$1004,$A96,'حركة المخزون'!$B$5:$B$1004,"وارد شراء"),IFERROR(E96/F96,0)))</f>
        <v/>
      </c>
      <c r="H96" s="24"/>
      <c r="I96" s="27" t="str">
        <f aca="false">IF($A96="","",SUMIFS('حركة المخزون'!$E$5:$E$1004,'حركة المخزون'!$C$5:$C$1004,$A96,'حركة المخزون'!$B$5:$B$1004,"وارد شراء"))</f>
        <v/>
      </c>
      <c r="J96" s="27" t="str">
        <f aca="false">IF($A96="","",SUMIFS(الوصفات!$K$5:$K$304,الوصفات!$C$5:$C$304,$A96))</f>
        <v/>
      </c>
      <c r="K96" s="27" t="str">
        <f aca="false">IF($A96="","",SUMIFS('حركة المخزون'!$E$5:$E$1004,'حركة المخزون'!$C$5:$C$1004,$A96,'حركة المخزون'!$B$5:$B$1004,"تسوية زيادة")-SUMIFS('حركة المخزون'!$E$5:$E$1004,'حركة المخزون'!$C$5:$C$1004,$A96,'حركة المخزون'!$B$5:$B$1004,"تالف")-SUMIFS('حركة المخزون'!$E$5:$E$1004,'حركة المخزون'!$C$5:$C$1004,$A96,'حركة المخزون'!$B$5:$B$1004,"عينة / هدية")-SUMIFS('حركة المخزون'!$E$5:$E$1004,'حركة المخزون'!$C$5:$C$1004,$A96,'حركة المخزون'!$B$5:$B$1004,"تسوية نقص"))</f>
        <v/>
      </c>
      <c r="L96" s="27" t="str">
        <f aca="false">IF($A96="","",N(H96)+I96-J96+K96)</f>
        <v/>
      </c>
      <c r="M96" s="24"/>
      <c r="N96" s="28" t="str">
        <f aca="false">IF($A96="","",IF(AND(H96="",I96=0,J96=0),"لم يُسجل رصيد",IF(L96&lt;=0,"نفد",IF(L96&lt;=N(M96),"اطلب الآن","متوفر"))))</f>
        <v/>
      </c>
      <c r="O96" s="25" t="str">
        <f aca="false">IF($A96="","",L96*G96)</f>
        <v/>
      </c>
      <c r="P96" s="29"/>
      <c r="Q96" s="29"/>
    </row>
    <row r="97" customFormat="false" ht="15" hidden="false" customHeight="false" outlineLevel="0" collapsed="false">
      <c r="A97" s="29"/>
      <c r="B97" s="29"/>
      <c r="C97" s="29"/>
      <c r="D97" s="29"/>
      <c r="E97" s="30"/>
      <c r="F97" s="24"/>
      <c r="G97" s="31" t="str">
        <f aca="false">IF($A97="","",IFERROR(SUMIFS('حركة المخزون'!$G$5:$G$1004,'حركة المخزون'!$C$5:$C$1004,$A97,'حركة المخزون'!$B$5:$B$1004,"وارد شراء")/SUMIFS('حركة المخزون'!$E$5:$E$1004,'حركة المخزون'!$C$5:$C$1004,$A97,'حركة المخزون'!$B$5:$B$1004,"وارد شراء"),IFERROR(E97/F97,0)))</f>
        <v/>
      </c>
      <c r="H97" s="24"/>
      <c r="I97" s="27" t="str">
        <f aca="false">IF($A97="","",SUMIFS('حركة المخزون'!$E$5:$E$1004,'حركة المخزون'!$C$5:$C$1004,$A97,'حركة المخزون'!$B$5:$B$1004,"وارد شراء"))</f>
        <v/>
      </c>
      <c r="J97" s="27" t="str">
        <f aca="false">IF($A97="","",SUMIFS(الوصفات!$K$5:$K$304,الوصفات!$C$5:$C$304,$A97))</f>
        <v/>
      </c>
      <c r="K97" s="27" t="str">
        <f aca="false">IF($A97="","",SUMIFS('حركة المخزون'!$E$5:$E$1004,'حركة المخزون'!$C$5:$C$1004,$A97,'حركة المخزون'!$B$5:$B$1004,"تسوية زيادة")-SUMIFS('حركة المخزون'!$E$5:$E$1004,'حركة المخزون'!$C$5:$C$1004,$A97,'حركة المخزون'!$B$5:$B$1004,"تالف")-SUMIFS('حركة المخزون'!$E$5:$E$1004,'حركة المخزون'!$C$5:$C$1004,$A97,'حركة المخزون'!$B$5:$B$1004,"عينة / هدية")-SUMIFS('حركة المخزون'!$E$5:$E$1004,'حركة المخزون'!$C$5:$C$1004,$A97,'حركة المخزون'!$B$5:$B$1004,"تسوية نقص"))</f>
        <v/>
      </c>
      <c r="L97" s="27" t="str">
        <f aca="false">IF($A97="","",N(H97)+I97-J97+K97)</f>
        <v/>
      </c>
      <c r="M97" s="24"/>
      <c r="N97" s="28" t="str">
        <f aca="false">IF($A97="","",IF(AND(H97="",I97=0,J97=0),"لم يُسجل رصيد",IF(L97&lt;=0,"نفد",IF(L97&lt;=N(M97),"اطلب الآن","متوفر"))))</f>
        <v/>
      </c>
      <c r="O97" s="25" t="str">
        <f aca="false">IF($A97="","",L97*G97)</f>
        <v/>
      </c>
      <c r="P97" s="29"/>
      <c r="Q97" s="29"/>
    </row>
    <row r="98" customFormat="false" ht="15" hidden="false" customHeight="false" outlineLevel="0" collapsed="false">
      <c r="A98" s="29"/>
      <c r="B98" s="29"/>
      <c r="C98" s="29"/>
      <c r="D98" s="29"/>
      <c r="E98" s="30"/>
      <c r="F98" s="24"/>
      <c r="G98" s="31" t="str">
        <f aca="false">IF($A98="","",IFERROR(SUMIFS('حركة المخزون'!$G$5:$G$1004,'حركة المخزون'!$C$5:$C$1004,$A98,'حركة المخزون'!$B$5:$B$1004,"وارد شراء")/SUMIFS('حركة المخزون'!$E$5:$E$1004,'حركة المخزون'!$C$5:$C$1004,$A98,'حركة المخزون'!$B$5:$B$1004,"وارد شراء"),IFERROR(E98/F98,0)))</f>
        <v/>
      </c>
      <c r="H98" s="24"/>
      <c r="I98" s="27" t="str">
        <f aca="false">IF($A98="","",SUMIFS('حركة المخزون'!$E$5:$E$1004,'حركة المخزون'!$C$5:$C$1004,$A98,'حركة المخزون'!$B$5:$B$1004,"وارد شراء"))</f>
        <v/>
      </c>
      <c r="J98" s="27" t="str">
        <f aca="false">IF($A98="","",SUMIFS(الوصفات!$K$5:$K$304,الوصفات!$C$5:$C$304,$A98))</f>
        <v/>
      </c>
      <c r="K98" s="27" t="str">
        <f aca="false">IF($A98="","",SUMIFS('حركة المخزون'!$E$5:$E$1004,'حركة المخزون'!$C$5:$C$1004,$A98,'حركة المخزون'!$B$5:$B$1004,"تسوية زيادة")-SUMIFS('حركة المخزون'!$E$5:$E$1004,'حركة المخزون'!$C$5:$C$1004,$A98,'حركة المخزون'!$B$5:$B$1004,"تالف")-SUMIFS('حركة المخزون'!$E$5:$E$1004,'حركة المخزون'!$C$5:$C$1004,$A98,'حركة المخزون'!$B$5:$B$1004,"عينة / هدية")-SUMIFS('حركة المخزون'!$E$5:$E$1004,'حركة المخزون'!$C$5:$C$1004,$A98,'حركة المخزون'!$B$5:$B$1004,"تسوية نقص"))</f>
        <v/>
      </c>
      <c r="L98" s="27" t="str">
        <f aca="false">IF($A98="","",N(H98)+I98-J98+K98)</f>
        <v/>
      </c>
      <c r="M98" s="24"/>
      <c r="N98" s="28" t="str">
        <f aca="false">IF($A98="","",IF(AND(H98="",I98=0,J98=0),"لم يُسجل رصيد",IF(L98&lt;=0,"نفد",IF(L98&lt;=N(M98),"اطلب الآن","متوفر"))))</f>
        <v/>
      </c>
      <c r="O98" s="25" t="str">
        <f aca="false">IF($A98="","",L98*G98)</f>
        <v/>
      </c>
      <c r="P98" s="29"/>
      <c r="Q98" s="29"/>
    </row>
    <row r="99" customFormat="false" ht="15" hidden="false" customHeight="false" outlineLevel="0" collapsed="false">
      <c r="A99" s="29"/>
      <c r="B99" s="29"/>
      <c r="C99" s="29"/>
      <c r="D99" s="29"/>
      <c r="E99" s="30"/>
      <c r="F99" s="24"/>
      <c r="G99" s="31" t="str">
        <f aca="false">IF($A99="","",IFERROR(SUMIFS('حركة المخزون'!$G$5:$G$1004,'حركة المخزون'!$C$5:$C$1004,$A99,'حركة المخزون'!$B$5:$B$1004,"وارد شراء")/SUMIFS('حركة المخزون'!$E$5:$E$1004,'حركة المخزون'!$C$5:$C$1004,$A99,'حركة المخزون'!$B$5:$B$1004,"وارد شراء"),IFERROR(E99/F99,0)))</f>
        <v/>
      </c>
      <c r="H99" s="24"/>
      <c r="I99" s="27" t="str">
        <f aca="false">IF($A99="","",SUMIFS('حركة المخزون'!$E$5:$E$1004,'حركة المخزون'!$C$5:$C$1004,$A99,'حركة المخزون'!$B$5:$B$1004,"وارد شراء"))</f>
        <v/>
      </c>
      <c r="J99" s="27" t="str">
        <f aca="false">IF($A99="","",SUMIFS(الوصفات!$K$5:$K$304,الوصفات!$C$5:$C$304,$A99))</f>
        <v/>
      </c>
      <c r="K99" s="27" t="str">
        <f aca="false">IF($A99="","",SUMIFS('حركة المخزون'!$E$5:$E$1004,'حركة المخزون'!$C$5:$C$1004,$A99,'حركة المخزون'!$B$5:$B$1004,"تسوية زيادة")-SUMIFS('حركة المخزون'!$E$5:$E$1004,'حركة المخزون'!$C$5:$C$1004,$A99,'حركة المخزون'!$B$5:$B$1004,"تالف")-SUMIFS('حركة المخزون'!$E$5:$E$1004,'حركة المخزون'!$C$5:$C$1004,$A99,'حركة المخزون'!$B$5:$B$1004,"عينة / هدية")-SUMIFS('حركة المخزون'!$E$5:$E$1004,'حركة المخزون'!$C$5:$C$1004,$A99,'حركة المخزون'!$B$5:$B$1004,"تسوية نقص"))</f>
        <v/>
      </c>
      <c r="L99" s="27" t="str">
        <f aca="false">IF($A99="","",N(H99)+I99-J99+K99)</f>
        <v/>
      </c>
      <c r="M99" s="24"/>
      <c r="N99" s="28" t="str">
        <f aca="false">IF($A99="","",IF(AND(H99="",I99=0,J99=0),"لم يُسجل رصيد",IF(L99&lt;=0,"نفد",IF(L99&lt;=N(M99),"اطلب الآن","متوفر"))))</f>
        <v/>
      </c>
      <c r="O99" s="25" t="str">
        <f aca="false">IF($A99="","",L99*G99)</f>
        <v/>
      </c>
      <c r="P99" s="29"/>
      <c r="Q99" s="29"/>
    </row>
    <row r="100" customFormat="false" ht="15" hidden="false" customHeight="false" outlineLevel="0" collapsed="false">
      <c r="A100" s="29"/>
      <c r="B100" s="29"/>
      <c r="C100" s="29"/>
      <c r="D100" s="29"/>
      <c r="E100" s="30"/>
      <c r="F100" s="24"/>
      <c r="G100" s="31" t="str">
        <f aca="false">IF($A100="","",IFERROR(SUMIFS('حركة المخزون'!$G$5:$G$1004,'حركة المخزون'!$C$5:$C$1004,$A100,'حركة المخزون'!$B$5:$B$1004,"وارد شراء")/SUMIFS('حركة المخزون'!$E$5:$E$1004,'حركة المخزون'!$C$5:$C$1004,$A100,'حركة المخزون'!$B$5:$B$1004,"وارد شراء"),IFERROR(E100/F100,0)))</f>
        <v/>
      </c>
      <c r="H100" s="24"/>
      <c r="I100" s="27" t="str">
        <f aca="false">IF($A100="","",SUMIFS('حركة المخزون'!$E$5:$E$1004,'حركة المخزون'!$C$5:$C$1004,$A100,'حركة المخزون'!$B$5:$B$1004,"وارد شراء"))</f>
        <v/>
      </c>
      <c r="J100" s="27" t="str">
        <f aca="false">IF($A100="","",SUMIFS(الوصفات!$K$5:$K$304,الوصفات!$C$5:$C$304,$A100))</f>
        <v/>
      </c>
      <c r="K100" s="27" t="str">
        <f aca="false">IF($A100="","",SUMIFS('حركة المخزون'!$E$5:$E$1004,'حركة المخزون'!$C$5:$C$1004,$A100,'حركة المخزون'!$B$5:$B$1004,"تسوية زيادة")-SUMIFS('حركة المخزون'!$E$5:$E$1004,'حركة المخزون'!$C$5:$C$1004,$A100,'حركة المخزون'!$B$5:$B$1004,"تالف")-SUMIFS('حركة المخزون'!$E$5:$E$1004,'حركة المخزون'!$C$5:$C$1004,$A100,'حركة المخزون'!$B$5:$B$1004,"عينة / هدية")-SUMIFS('حركة المخزون'!$E$5:$E$1004,'حركة المخزون'!$C$5:$C$1004,$A100,'حركة المخزون'!$B$5:$B$1004,"تسوية نقص"))</f>
        <v/>
      </c>
      <c r="L100" s="27" t="str">
        <f aca="false">IF($A100="","",N(H100)+I100-J100+K100)</f>
        <v/>
      </c>
      <c r="M100" s="24"/>
      <c r="N100" s="28" t="str">
        <f aca="false">IF($A100="","",IF(AND(H100="",I100=0,J100=0),"لم يُسجل رصيد",IF(L100&lt;=0,"نفد",IF(L100&lt;=N(M100),"اطلب الآن","متوفر"))))</f>
        <v/>
      </c>
      <c r="O100" s="25" t="str">
        <f aca="false">IF($A100="","",L100*G100)</f>
        <v/>
      </c>
      <c r="P100" s="29"/>
      <c r="Q100" s="29"/>
    </row>
    <row r="101" customFormat="false" ht="15" hidden="false" customHeight="false" outlineLevel="0" collapsed="false">
      <c r="A101" s="29"/>
      <c r="B101" s="29"/>
      <c r="C101" s="29"/>
      <c r="D101" s="29"/>
      <c r="E101" s="30"/>
      <c r="F101" s="24"/>
      <c r="G101" s="31" t="str">
        <f aca="false">IF($A101="","",IFERROR(SUMIFS('حركة المخزون'!$G$5:$G$1004,'حركة المخزون'!$C$5:$C$1004,$A101,'حركة المخزون'!$B$5:$B$1004,"وارد شراء")/SUMIFS('حركة المخزون'!$E$5:$E$1004,'حركة المخزون'!$C$5:$C$1004,$A101,'حركة المخزون'!$B$5:$B$1004,"وارد شراء"),IFERROR(E101/F101,0)))</f>
        <v/>
      </c>
      <c r="H101" s="24"/>
      <c r="I101" s="27" t="str">
        <f aca="false">IF($A101="","",SUMIFS('حركة المخزون'!$E$5:$E$1004,'حركة المخزون'!$C$5:$C$1004,$A101,'حركة المخزون'!$B$5:$B$1004,"وارد شراء"))</f>
        <v/>
      </c>
      <c r="J101" s="27" t="str">
        <f aca="false">IF($A101="","",SUMIFS(الوصفات!$K$5:$K$304,الوصفات!$C$5:$C$304,$A101))</f>
        <v/>
      </c>
      <c r="K101" s="27" t="str">
        <f aca="false">IF($A101="","",SUMIFS('حركة المخزون'!$E$5:$E$1004,'حركة المخزون'!$C$5:$C$1004,$A101,'حركة المخزون'!$B$5:$B$1004,"تسوية زيادة")-SUMIFS('حركة المخزون'!$E$5:$E$1004,'حركة المخزون'!$C$5:$C$1004,$A101,'حركة المخزون'!$B$5:$B$1004,"تالف")-SUMIFS('حركة المخزون'!$E$5:$E$1004,'حركة المخزون'!$C$5:$C$1004,$A101,'حركة المخزون'!$B$5:$B$1004,"عينة / هدية")-SUMIFS('حركة المخزون'!$E$5:$E$1004,'حركة المخزون'!$C$5:$C$1004,$A101,'حركة المخزون'!$B$5:$B$1004,"تسوية نقص"))</f>
        <v/>
      </c>
      <c r="L101" s="27" t="str">
        <f aca="false">IF($A101="","",N(H101)+I101-J101+K101)</f>
        <v/>
      </c>
      <c r="M101" s="24"/>
      <c r="N101" s="28" t="str">
        <f aca="false">IF($A101="","",IF(AND(H101="",I101=0,J101=0),"لم يُسجل رصيد",IF(L101&lt;=0,"نفد",IF(L101&lt;=N(M101),"اطلب الآن","متوفر"))))</f>
        <v/>
      </c>
      <c r="O101" s="25" t="str">
        <f aca="false">IF($A101="","",L101*G101)</f>
        <v/>
      </c>
      <c r="P101" s="29"/>
      <c r="Q101" s="29"/>
    </row>
    <row r="102" customFormat="false" ht="15" hidden="false" customHeight="false" outlineLevel="0" collapsed="false">
      <c r="A102" s="29"/>
      <c r="B102" s="29"/>
      <c r="C102" s="29"/>
      <c r="D102" s="29"/>
      <c r="E102" s="30"/>
      <c r="F102" s="24"/>
      <c r="G102" s="31" t="str">
        <f aca="false">IF($A102="","",IFERROR(SUMIFS('حركة المخزون'!$G$5:$G$1004,'حركة المخزون'!$C$5:$C$1004,$A102,'حركة المخزون'!$B$5:$B$1004,"وارد شراء")/SUMIFS('حركة المخزون'!$E$5:$E$1004,'حركة المخزون'!$C$5:$C$1004,$A102,'حركة المخزون'!$B$5:$B$1004,"وارد شراء"),IFERROR(E102/F102,0)))</f>
        <v/>
      </c>
      <c r="H102" s="24"/>
      <c r="I102" s="27" t="str">
        <f aca="false">IF($A102="","",SUMIFS('حركة المخزون'!$E$5:$E$1004,'حركة المخزون'!$C$5:$C$1004,$A102,'حركة المخزون'!$B$5:$B$1004,"وارد شراء"))</f>
        <v/>
      </c>
      <c r="J102" s="27" t="str">
        <f aca="false">IF($A102="","",SUMIFS(الوصفات!$K$5:$K$304,الوصفات!$C$5:$C$304,$A102))</f>
        <v/>
      </c>
      <c r="K102" s="27" t="str">
        <f aca="false">IF($A102="","",SUMIFS('حركة المخزون'!$E$5:$E$1004,'حركة المخزون'!$C$5:$C$1004,$A102,'حركة المخزون'!$B$5:$B$1004,"تسوية زيادة")-SUMIFS('حركة المخزون'!$E$5:$E$1004,'حركة المخزون'!$C$5:$C$1004,$A102,'حركة المخزون'!$B$5:$B$1004,"تالف")-SUMIFS('حركة المخزون'!$E$5:$E$1004,'حركة المخزون'!$C$5:$C$1004,$A102,'حركة المخزون'!$B$5:$B$1004,"عينة / هدية")-SUMIFS('حركة المخزون'!$E$5:$E$1004,'حركة المخزون'!$C$5:$C$1004,$A102,'حركة المخزون'!$B$5:$B$1004,"تسوية نقص"))</f>
        <v/>
      </c>
      <c r="L102" s="27" t="str">
        <f aca="false">IF($A102="","",N(H102)+I102-J102+K102)</f>
        <v/>
      </c>
      <c r="M102" s="24"/>
      <c r="N102" s="28" t="str">
        <f aca="false">IF($A102="","",IF(AND(H102="",I102=0,J102=0),"لم يُسجل رصيد",IF(L102&lt;=0,"نفد",IF(L102&lt;=N(M102),"اطلب الآن","متوفر"))))</f>
        <v/>
      </c>
      <c r="O102" s="25" t="str">
        <f aca="false">IF($A102="","",L102*G102)</f>
        <v/>
      </c>
      <c r="P102" s="29"/>
      <c r="Q102" s="29"/>
    </row>
    <row r="103" customFormat="false" ht="15" hidden="false" customHeight="false" outlineLevel="0" collapsed="false">
      <c r="A103" s="29"/>
      <c r="B103" s="29"/>
      <c r="C103" s="29"/>
      <c r="D103" s="29"/>
      <c r="E103" s="30"/>
      <c r="F103" s="24"/>
      <c r="G103" s="31" t="str">
        <f aca="false">IF($A103="","",IFERROR(SUMIFS('حركة المخزون'!$G$5:$G$1004,'حركة المخزون'!$C$5:$C$1004,$A103,'حركة المخزون'!$B$5:$B$1004,"وارد شراء")/SUMIFS('حركة المخزون'!$E$5:$E$1004,'حركة المخزون'!$C$5:$C$1004,$A103,'حركة المخزون'!$B$5:$B$1004,"وارد شراء"),IFERROR(E103/F103,0)))</f>
        <v/>
      </c>
      <c r="H103" s="24"/>
      <c r="I103" s="27" t="str">
        <f aca="false">IF($A103="","",SUMIFS('حركة المخزون'!$E$5:$E$1004,'حركة المخزون'!$C$5:$C$1004,$A103,'حركة المخزون'!$B$5:$B$1004,"وارد شراء"))</f>
        <v/>
      </c>
      <c r="J103" s="27" t="str">
        <f aca="false">IF($A103="","",SUMIFS(الوصفات!$K$5:$K$304,الوصفات!$C$5:$C$304,$A103))</f>
        <v/>
      </c>
      <c r="K103" s="27" t="str">
        <f aca="false">IF($A103="","",SUMIFS('حركة المخزون'!$E$5:$E$1004,'حركة المخزون'!$C$5:$C$1004,$A103,'حركة المخزون'!$B$5:$B$1004,"تسوية زيادة")-SUMIFS('حركة المخزون'!$E$5:$E$1004,'حركة المخزون'!$C$5:$C$1004,$A103,'حركة المخزون'!$B$5:$B$1004,"تالف")-SUMIFS('حركة المخزون'!$E$5:$E$1004,'حركة المخزون'!$C$5:$C$1004,$A103,'حركة المخزون'!$B$5:$B$1004,"عينة / هدية")-SUMIFS('حركة المخزون'!$E$5:$E$1004,'حركة المخزون'!$C$5:$C$1004,$A103,'حركة المخزون'!$B$5:$B$1004,"تسوية نقص"))</f>
        <v/>
      </c>
      <c r="L103" s="27" t="str">
        <f aca="false">IF($A103="","",N(H103)+I103-J103+K103)</f>
        <v/>
      </c>
      <c r="M103" s="24"/>
      <c r="N103" s="28" t="str">
        <f aca="false">IF($A103="","",IF(AND(H103="",I103=0,J103=0),"لم يُسجل رصيد",IF(L103&lt;=0,"نفد",IF(L103&lt;=N(M103),"اطلب الآن","متوفر"))))</f>
        <v/>
      </c>
      <c r="O103" s="25" t="str">
        <f aca="false">IF($A103="","",L103*G103)</f>
        <v/>
      </c>
      <c r="P103" s="29"/>
      <c r="Q103" s="29"/>
    </row>
    <row r="104" customFormat="false" ht="15" hidden="false" customHeight="false" outlineLevel="0" collapsed="false">
      <c r="A104" s="29"/>
      <c r="B104" s="29"/>
      <c r="C104" s="29"/>
      <c r="D104" s="29"/>
      <c r="E104" s="30"/>
      <c r="F104" s="24"/>
      <c r="G104" s="31" t="str">
        <f aca="false">IF($A104="","",IFERROR(SUMIFS('حركة المخزون'!$G$5:$G$1004,'حركة المخزون'!$C$5:$C$1004,$A104,'حركة المخزون'!$B$5:$B$1004,"وارد شراء")/SUMIFS('حركة المخزون'!$E$5:$E$1004,'حركة المخزون'!$C$5:$C$1004,$A104,'حركة المخزون'!$B$5:$B$1004,"وارد شراء"),IFERROR(E104/F104,0)))</f>
        <v/>
      </c>
      <c r="H104" s="24"/>
      <c r="I104" s="27" t="str">
        <f aca="false">IF($A104="","",SUMIFS('حركة المخزون'!$E$5:$E$1004,'حركة المخزون'!$C$5:$C$1004,$A104,'حركة المخزون'!$B$5:$B$1004,"وارد شراء"))</f>
        <v/>
      </c>
      <c r="J104" s="27" t="str">
        <f aca="false">IF($A104="","",SUMIFS(الوصفات!$K$5:$K$304,الوصفات!$C$5:$C$304,$A104))</f>
        <v/>
      </c>
      <c r="K104" s="27" t="str">
        <f aca="false">IF($A104="","",SUMIFS('حركة المخزون'!$E$5:$E$1004,'حركة المخزون'!$C$5:$C$1004,$A104,'حركة المخزون'!$B$5:$B$1004,"تسوية زيادة")-SUMIFS('حركة المخزون'!$E$5:$E$1004,'حركة المخزون'!$C$5:$C$1004,$A104,'حركة المخزون'!$B$5:$B$1004,"تالف")-SUMIFS('حركة المخزون'!$E$5:$E$1004,'حركة المخزون'!$C$5:$C$1004,$A104,'حركة المخزون'!$B$5:$B$1004,"عينة / هدية")-SUMIFS('حركة المخزون'!$E$5:$E$1004,'حركة المخزون'!$C$5:$C$1004,$A104,'حركة المخزون'!$B$5:$B$1004,"تسوية نقص"))</f>
        <v/>
      </c>
      <c r="L104" s="27" t="str">
        <f aca="false">IF($A104="","",N(H104)+I104-J104+K104)</f>
        <v/>
      </c>
      <c r="M104" s="24"/>
      <c r="N104" s="28" t="str">
        <f aca="false">IF($A104="","",IF(AND(H104="",I104=0,J104=0),"لم يُسجل رصيد",IF(L104&lt;=0,"نفد",IF(L104&lt;=N(M104),"اطلب الآن","متوفر"))))</f>
        <v/>
      </c>
      <c r="O104" s="25" t="str">
        <f aca="false">IF($A104="","",L104*G104)</f>
        <v/>
      </c>
      <c r="P104" s="29"/>
      <c r="Q104" s="29"/>
    </row>
  </sheetData>
  <mergeCells count="2">
    <mergeCell ref="A1:Q1"/>
    <mergeCell ref="A2:Q2"/>
  </mergeCells>
  <conditionalFormatting sqref="N5:N104">
    <cfRule type="expression" priority="2" aboveAverage="0" equalAverage="0" bottom="0" percent="0" rank="0" text="" dxfId="0">
      <formula>N5="نفد"</formula>
    </cfRule>
    <cfRule type="expression" priority="3" aboveAverage="0" equalAverage="0" bottom="0" percent="0" rank="0" text="" dxfId="1">
      <formula>OR(N5="اطلب الآن",N5="أعد الإنتاج")</formula>
    </cfRule>
    <cfRule type="expression" priority="4" aboveAverage="0" equalAverage="0" bottom="0" percent="0" rank="0" text="" dxfId="2">
      <formula>N5="متوفر"</formula>
    </cfRule>
  </conditionalFormatting>
  <dataValidations count="2">
    <dataValidation allowBlank="true" errorStyle="stop" operator="between" showDropDown="false" showErrorMessage="false" showInputMessage="false" sqref="C5:C104" type="list">
      <formula1>الإعدادات!$J$5:$J$16</formula1>
      <formula2>0</formula2>
    </dataValidation>
    <dataValidation allowBlank="true" errorStyle="stop" operator="between" showDropDown="false" showErrorMessage="false" showInputMessage="false" sqref="D5:D104" type="list">
      <formula1>الإعدادات!$F$5:$F$16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8" t="s">
        <v>175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31.5" hidden="false" customHeight="true" outlineLevel="0" collapsed="false">
      <c r="A2" s="19" t="s">
        <v>176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customFormat="false" ht="33.75" hidden="false" customHeight="true" outlineLevel="0" collapsed="false">
      <c r="A4" s="20" t="s">
        <v>177</v>
      </c>
      <c r="B4" s="20" t="s">
        <v>32</v>
      </c>
      <c r="C4" s="20" t="s">
        <v>107</v>
      </c>
      <c r="D4" s="20" t="s">
        <v>60</v>
      </c>
      <c r="E4" s="20" t="s">
        <v>178</v>
      </c>
      <c r="F4" s="20" t="s">
        <v>179</v>
      </c>
      <c r="G4" s="20" t="s">
        <v>180</v>
      </c>
      <c r="H4" s="20" t="s">
        <v>181</v>
      </c>
      <c r="I4" s="20" t="s">
        <v>182</v>
      </c>
      <c r="J4" s="20" t="s">
        <v>183</v>
      </c>
      <c r="K4" s="20" t="s">
        <v>72</v>
      </c>
    </row>
    <row r="5" customFormat="false" ht="15" hidden="false" customHeight="false" outlineLevel="0" collapsed="false">
      <c r="A5" s="32"/>
      <c r="B5" s="29"/>
      <c r="C5" s="29"/>
      <c r="D5" s="28" t="str">
        <f aca="false">IF($C5="","",IFERROR(INDEX(المنتجات!$C$5:$C$24,MATCH($C5,المنتجات!$A$5:$A$24,0)),"كود غير موجود"))</f>
        <v/>
      </c>
      <c r="E5" s="24"/>
      <c r="F5" s="27" t="str">
        <f aca="false">IF($C5="","",N(E5)*IFERROR(INDEX(المنتجات!$G$5:$G$24,MATCH($C5,المنتجات!$A$5:$A$24,0)),0))</f>
        <v/>
      </c>
      <c r="G5" s="24"/>
      <c r="H5" s="27" t="str">
        <f aca="false">IF(OR($C5="",G5=""),"",G5-F5)</f>
        <v/>
      </c>
      <c r="I5" s="32"/>
      <c r="J5" s="29"/>
      <c r="K5" s="29"/>
    </row>
    <row r="6" customFormat="false" ht="15" hidden="false" customHeight="false" outlineLevel="0" collapsed="false">
      <c r="A6" s="32"/>
      <c r="B6" s="29"/>
      <c r="C6" s="29"/>
      <c r="D6" s="28" t="str">
        <f aca="false">IF($C6="","",IFERROR(INDEX(المنتجات!$C$5:$C$24,MATCH($C6,المنتجات!$A$5:$A$24,0)),"كود غير موجود"))</f>
        <v/>
      </c>
      <c r="E6" s="24"/>
      <c r="F6" s="27" t="str">
        <f aca="false">IF($C6="","",N(E6)*IFERROR(INDEX(المنتجات!$G$5:$G$24,MATCH($C6,المنتجات!$A$5:$A$24,0)),0))</f>
        <v/>
      </c>
      <c r="G6" s="24"/>
      <c r="H6" s="27" t="str">
        <f aca="false">IF(OR($C6="",G6=""),"",G6-F6)</f>
        <v/>
      </c>
      <c r="I6" s="32"/>
      <c r="J6" s="29"/>
      <c r="K6" s="29"/>
    </row>
    <row r="7" customFormat="false" ht="15" hidden="false" customHeight="false" outlineLevel="0" collapsed="false">
      <c r="A7" s="32"/>
      <c r="B7" s="29"/>
      <c r="C7" s="29"/>
      <c r="D7" s="28" t="str">
        <f aca="false">IF($C7="","",IFERROR(INDEX(المنتجات!$C$5:$C$24,MATCH($C7,المنتجات!$A$5:$A$24,0)),"كود غير موجود"))</f>
        <v/>
      </c>
      <c r="E7" s="24"/>
      <c r="F7" s="27" t="str">
        <f aca="false">IF($C7="","",N(E7)*IFERROR(INDEX(المنتجات!$G$5:$G$24,MATCH($C7,المنتجات!$A$5:$A$24,0)),0))</f>
        <v/>
      </c>
      <c r="G7" s="24"/>
      <c r="H7" s="27" t="str">
        <f aca="false">IF(OR($C7="",G7=""),"",G7-F7)</f>
        <v/>
      </c>
      <c r="I7" s="32"/>
      <c r="J7" s="29"/>
      <c r="K7" s="29"/>
    </row>
    <row r="8" customFormat="false" ht="15" hidden="false" customHeight="false" outlineLevel="0" collapsed="false">
      <c r="A8" s="32"/>
      <c r="B8" s="29"/>
      <c r="C8" s="29"/>
      <c r="D8" s="28" t="str">
        <f aca="false">IF($C8="","",IFERROR(INDEX(المنتجات!$C$5:$C$24,MATCH($C8,المنتجات!$A$5:$A$24,0)),"كود غير موجود"))</f>
        <v/>
      </c>
      <c r="E8" s="24"/>
      <c r="F8" s="27" t="str">
        <f aca="false">IF($C8="","",N(E8)*IFERROR(INDEX(المنتجات!$G$5:$G$24,MATCH($C8,المنتجات!$A$5:$A$24,0)),0))</f>
        <v/>
      </c>
      <c r="G8" s="24"/>
      <c r="H8" s="27" t="str">
        <f aca="false">IF(OR($C8="",G8=""),"",G8-F8)</f>
        <v/>
      </c>
      <c r="I8" s="32"/>
      <c r="J8" s="29"/>
      <c r="K8" s="29"/>
    </row>
    <row r="9" customFormat="false" ht="15" hidden="false" customHeight="false" outlineLevel="0" collapsed="false">
      <c r="A9" s="32"/>
      <c r="B9" s="29"/>
      <c r="C9" s="29"/>
      <c r="D9" s="28" t="str">
        <f aca="false">IF($C9="","",IFERROR(INDEX(المنتجات!$C$5:$C$24,MATCH($C9,المنتجات!$A$5:$A$24,0)),"كود غير موجود"))</f>
        <v/>
      </c>
      <c r="E9" s="24"/>
      <c r="F9" s="27" t="str">
        <f aca="false">IF($C9="","",N(E9)*IFERROR(INDEX(المنتجات!$G$5:$G$24,MATCH($C9,المنتجات!$A$5:$A$24,0)),0))</f>
        <v/>
      </c>
      <c r="G9" s="24"/>
      <c r="H9" s="27" t="str">
        <f aca="false">IF(OR($C9="",G9=""),"",G9-F9)</f>
        <v/>
      </c>
      <c r="I9" s="32"/>
      <c r="J9" s="29"/>
      <c r="K9" s="29"/>
    </row>
    <row r="10" customFormat="false" ht="15" hidden="false" customHeight="false" outlineLevel="0" collapsed="false">
      <c r="A10" s="32"/>
      <c r="B10" s="29"/>
      <c r="C10" s="29"/>
      <c r="D10" s="28" t="str">
        <f aca="false">IF($C10="","",IFERROR(INDEX(المنتجات!$C$5:$C$24,MATCH($C10,المنتجات!$A$5:$A$24,0)),"كود غير موجود"))</f>
        <v/>
      </c>
      <c r="E10" s="24"/>
      <c r="F10" s="27" t="str">
        <f aca="false">IF($C10="","",N(E10)*IFERROR(INDEX(المنتجات!$G$5:$G$24,MATCH($C10,المنتجات!$A$5:$A$24,0)),0))</f>
        <v/>
      </c>
      <c r="G10" s="24"/>
      <c r="H10" s="27" t="str">
        <f aca="false">IF(OR($C10="",G10=""),"",G10-F10)</f>
        <v/>
      </c>
      <c r="I10" s="32"/>
      <c r="J10" s="29"/>
      <c r="K10" s="29"/>
    </row>
    <row r="11" customFormat="false" ht="15" hidden="false" customHeight="false" outlineLevel="0" collapsed="false">
      <c r="A11" s="32"/>
      <c r="B11" s="29"/>
      <c r="C11" s="29"/>
      <c r="D11" s="28" t="str">
        <f aca="false">IF($C11="","",IFERROR(INDEX(المنتجات!$C$5:$C$24,MATCH($C11,المنتجات!$A$5:$A$24,0)),"كود غير موجود"))</f>
        <v/>
      </c>
      <c r="E11" s="24"/>
      <c r="F11" s="27" t="str">
        <f aca="false">IF($C11="","",N(E11)*IFERROR(INDEX(المنتجات!$G$5:$G$24,MATCH($C11,المنتجات!$A$5:$A$24,0)),0))</f>
        <v/>
      </c>
      <c r="G11" s="24"/>
      <c r="H11" s="27" t="str">
        <f aca="false">IF(OR($C11="",G11=""),"",G11-F11)</f>
        <v/>
      </c>
      <c r="I11" s="32"/>
      <c r="J11" s="29"/>
      <c r="K11" s="29"/>
    </row>
    <row r="12" customFormat="false" ht="15" hidden="false" customHeight="false" outlineLevel="0" collapsed="false">
      <c r="A12" s="32"/>
      <c r="B12" s="29"/>
      <c r="C12" s="29"/>
      <c r="D12" s="28" t="str">
        <f aca="false">IF($C12="","",IFERROR(INDEX(المنتجات!$C$5:$C$24,MATCH($C12,المنتجات!$A$5:$A$24,0)),"كود غير موجود"))</f>
        <v/>
      </c>
      <c r="E12" s="24"/>
      <c r="F12" s="27" t="str">
        <f aca="false">IF($C12="","",N(E12)*IFERROR(INDEX(المنتجات!$G$5:$G$24,MATCH($C12,المنتجات!$A$5:$A$24,0)),0))</f>
        <v/>
      </c>
      <c r="G12" s="24"/>
      <c r="H12" s="27" t="str">
        <f aca="false">IF(OR($C12="",G12=""),"",G12-F12)</f>
        <v/>
      </c>
      <c r="I12" s="32"/>
      <c r="J12" s="29"/>
      <c r="K12" s="29"/>
    </row>
    <row r="13" customFormat="false" ht="15" hidden="false" customHeight="false" outlineLevel="0" collapsed="false">
      <c r="A13" s="32"/>
      <c r="B13" s="29"/>
      <c r="C13" s="29"/>
      <c r="D13" s="28" t="str">
        <f aca="false">IF($C13="","",IFERROR(INDEX(المنتجات!$C$5:$C$24,MATCH($C13,المنتجات!$A$5:$A$24,0)),"كود غير موجود"))</f>
        <v/>
      </c>
      <c r="E13" s="24"/>
      <c r="F13" s="27" t="str">
        <f aca="false">IF($C13="","",N(E13)*IFERROR(INDEX(المنتجات!$G$5:$G$24,MATCH($C13,المنتجات!$A$5:$A$24,0)),0))</f>
        <v/>
      </c>
      <c r="G13" s="24"/>
      <c r="H13" s="27" t="str">
        <f aca="false">IF(OR($C13="",G13=""),"",G13-F13)</f>
        <v/>
      </c>
      <c r="I13" s="32"/>
      <c r="J13" s="29"/>
      <c r="K13" s="29"/>
    </row>
    <row r="14" customFormat="false" ht="15" hidden="false" customHeight="false" outlineLevel="0" collapsed="false">
      <c r="A14" s="32"/>
      <c r="B14" s="29"/>
      <c r="C14" s="29"/>
      <c r="D14" s="28" t="str">
        <f aca="false">IF($C14="","",IFERROR(INDEX(المنتجات!$C$5:$C$24,MATCH($C14,المنتجات!$A$5:$A$24,0)),"كود غير موجود"))</f>
        <v/>
      </c>
      <c r="E14" s="24"/>
      <c r="F14" s="27" t="str">
        <f aca="false">IF($C14="","",N(E14)*IFERROR(INDEX(المنتجات!$G$5:$G$24,MATCH($C14,المنتجات!$A$5:$A$24,0)),0))</f>
        <v/>
      </c>
      <c r="G14" s="24"/>
      <c r="H14" s="27" t="str">
        <f aca="false">IF(OR($C14="",G14=""),"",G14-F14)</f>
        <v/>
      </c>
      <c r="I14" s="32"/>
      <c r="J14" s="29"/>
      <c r="K14" s="29"/>
    </row>
    <row r="15" customFormat="false" ht="15" hidden="false" customHeight="false" outlineLevel="0" collapsed="false">
      <c r="A15" s="32"/>
      <c r="B15" s="29"/>
      <c r="C15" s="29"/>
      <c r="D15" s="28" t="str">
        <f aca="false">IF($C15="","",IFERROR(INDEX(المنتجات!$C$5:$C$24,MATCH($C15,المنتجات!$A$5:$A$24,0)),"كود غير موجود"))</f>
        <v/>
      </c>
      <c r="E15" s="24"/>
      <c r="F15" s="27" t="str">
        <f aca="false">IF($C15="","",N(E15)*IFERROR(INDEX(المنتجات!$G$5:$G$24,MATCH($C15,المنتجات!$A$5:$A$24,0)),0))</f>
        <v/>
      </c>
      <c r="G15" s="24"/>
      <c r="H15" s="27" t="str">
        <f aca="false">IF(OR($C15="",G15=""),"",G15-F15)</f>
        <v/>
      </c>
      <c r="I15" s="32"/>
      <c r="J15" s="29"/>
      <c r="K15" s="29"/>
    </row>
    <row r="16" customFormat="false" ht="15" hidden="false" customHeight="false" outlineLevel="0" collapsed="false">
      <c r="A16" s="32"/>
      <c r="B16" s="29"/>
      <c r="C16" s="29"/>
      <c r="D16" s="28" t="str">
        <f aca="false">IF($C16="","",IFERROR(INDEX(المنتجات!$C$5:$C$24,MATCH($C16,المنتجات!$A$5:$A$24,0)),"كود غير موجود"))</f>
        <v/>
      </c>
      <c r="E16" s="24"/>
      <c r="F16" s="27" t="str">
        <f aca="false">IF($C16="","",N(E16)*IFERROR(INDEX(المنتجات!$G$5:$G$24,MATCH($C16,المنتجات!$A$5:$A$24,0)),0))</f>
        <v/>
      </c>
      <c r="G16" s="24"/>
      <c r="H16" s="27" t="str">
        <f aca="false">IF(OR($C16="",G16=""),"",G16-F16)</f>
        <v/>
      </c>
      <c r="I16" s="32"/>
      <c r="J16" s="29"/>
      <c r="K16" s="29"/>
    </row>
    <row r="17" customFormat="false" ht="15" hidden="false" customHeight="false" outlineLevel="0" collapsed="false">
      <c r="A17" s="32"/>
      <c r="B17" s="29"/>
      <c r="C17" s="29"/>
      <c r="D17" s="28" t="str">
        <f aca="false">IF($C17="","",IFERROR(INDEX(المنتجات!$C$5:$C$24,MATCH($C17,المنتجات!$A$5:$A$24,0)),"كود غير موجود"))</f>
        <v/>
      </c>
      <c r="E17" s="24"/>
      <c r="F17" s="27" t="str">
        <f aca="false">IF($C17="","",N(E17)*IFERROR(INDEX(المنتجات!$G$5:$G$24,MATCH($C17,المنتجات!$A$5:$A$24,0)),0))</f>
        <v/>
      </c>
      <c r="G17" s="24"/>
      <c r="H17" s="27" t="str">
        <f aca="false">IF(OR($C17="",G17=""),"",G17-F17)</f>
        <v/>
      </c>
      <c r="I17" s="32"/>
      <c r="J17" s="29"/>
      <c r="K17" s="29"/>
    </row>
    <row r="18" customFormat="false" ht="15" hidden="false" customHeight="false" outlineLevel="0" collapsed="false">
      <c r="A18" s="32"/>
      <c r="B18" s="29"/>
      <c r="C18" s="29"/>
      <c r="D18" s="28" t="str">
        <f aca="false">IF($C18="","",IFERROR(INDEX(المنتجات!$C$5:$C$24,MATCH($C18,المنتجات!$A$5:$A$24,0)),"كود غير موجود"))</f>
        <v/>
      </c>
      <c r="E18" s="24"/>
      <c r="F18" s="27" t="str">
        <f aca="false">IF($C18="","",N(E18)*IFERROR(INDEX(المنتجات!$G$5:$G$24,MATCH($C18,المنتجات!$A$5:$A$24,0)),0))</f>
        <v/>
      </c>
      <c r="G18" s="24"/>
      <c r="H18" s="27" t="str">
        <f aca="false">IF(OR($C18="",G18=""),"",G18-F18)</f>
        <v/>
      </c>
      <c r="I18" s="32"/>
      <c r="J18" s="29"/>
      <c r="K18" s="29"/>
    </row>
    <row r="19" customFormat="false" ht="15" hidden="false" customHeight="false" outlineLevel="0" collapsed="false">
      <c r="A19" s="32"/>
      <c r="B19" s="29"/>
      <c r="C19" s="29"/>
      <c r="D19" s="28" t="str">
        <f aca="false">IF($C19="","",IFERROR(INDEX(المنتجات!$C$5:$C$24,MATCH($C19,المنتجات!$A$5:$A$24,0)),"كود غير موجود"))</f>
        <v/>
      </c>
      <c r="E19" s="24"/>
      <c r="F19" s="27" t="str">
        <f aca="false">IF($C19="","",N(E19)*IFERROR(INDEX(المنتجات!$G$5:$G$24,MATCH($C19,المنتجات!$A$5:$A$24,0)),0))</f>
        <v/>
      </c>
      <c r="G19" s="24"/>
      <c r="H19" s="27" t="str">
        <f aca="false">IF(OR($C19="",G19=""),"",G19-F19)</f>
        <v/>
      </c>
      <c r="I19" s="32"/>
      <c r="J19" s="29"/>
      <c r="K19" s="29"/>
    </row>
    <row r="20" customFormat="false" ht="15" hidden="false" customHeight="false" outlineLevel="0" collapsed="false">
      <c r="A20" s="32"/>
      <c r="B20" s="29"/>
      <c r="C20" s="29"/>
      <c r="D20" s="28" t="str">
        <f aca="false">IF($C20="","",IFERROR(INDEX(المنتجات!$C$5:$C$24,MATCH($C20,المنتجات!$A$5:$A$24,0)),"كود غير موجود"))</f>
        <v/>
      </c>
      <c r="E20" s="24"/>
      <c r="F20" s="27" t="str">
        <f aca="false">IF($C20="","",N(E20)*IFERROR(INDEX(المنتجات!$G$5:$G$24,MATCH($C20,المنتجات!$A$5:$A$24,0)),0))</f>
        <v/>
      </c>
      <c r="G20" s="24"/>
      <c r="H20" s="27" t="str">
        <f aca="false">IF(OR($C20="",G20=""),"",G20-F20)</f>
        <v/>
      </c>
      <c r="I20" s="32"/>
      <c r="J20" s="29"/>
      <c r="K20" s="29"/>
    </row>
    <row r="21" customFormat="false" ht="15" hidden="false" customHeight="false" outlineLevel="0" collapsed="false">
      <c r="A21" s="32"/>
      <c r="B21" s="29"/>
      <c r="C21" s="29"/>
      <c r="D21" s="28" t="str">
        <f aca="false">IF($C21="","",IFERROR(INDEX(المنتجات!$C$5:$C$24,MATCH($C21,المنتجات!$A$5:$A$24,0)),"كود غير موجود"))</f>
        <v/>
      </c>
      <c r="E21" s="24"/>
      <c r="F21" s="27" t="str">
        <f aca="false">IF($C21="","",N(E21)*IFERROR(INDEX(المنتجات!$G$5:$G$24,MATCH($C21,المنتجات!$A$5:$A$24,0)),0))</f>
        <v/>
      </c>
      <c r="G21" s="24"/>
      <c r="H21" s="27" t="str">
        <f aca="false">IF(OR($C21="",G21=""),"",G21-F21)</f>
        <v/>
      </c>
      <c r="I21" s="32"/>
      <c r="J21" s="29"/>
      <c r="K21" s="29"/>
    </row>
    <row r="22" customFormat="false" ht="15" hidden="false" customHeight="false" outlineLevel="0" collapsed="false">
      <c r="A22" s="32"/>
      <c r="B22" s="29"/>
      <c r="C22" s="29"/>
      <c r="D22" s="28" t="str">
        <f aca="false">IF($C22="","",IFERROR(INDEX(المنتجات!$C$5:$C$24,MATCH($C22,المنتجات!$A$5:$A$24,0)),"كود غير موجود"))</f>
        <v/>
      </c>
      <c r="E22" s="24"/>
      <c r="F22" s="27" t="str">
        <f aca="false">IF($C22="","",N(E22)*IFERROR(INDEX(المنتجات!$G$5:$G$24,MATCH($C22,المنتجات!$A$5:$A$24,0)),0))</f>
        <v/>
      </c>
      <c r="G22" s="24"/>
      <c r="H22" s="27" t="str">
        <f aca="false">IF(OR($C22="",G22=""),"",G22-F22)</f>
        <v/>
      </c>
      <c r="I22" s="32"/>
      <c r="J22" s="29"/>
      <c r="K22" s="29"/>
    </row>
    <row r="23" customFormat="false" ht="15" hidden="false" customHeight="false" outlineLevel="0" collapsed="false">
      <c r="A23" s="32"/>
      <c r="B23" s="29"/>
      <c r="C23" s="29"/>
      <c r="D23" s="28" t="str">
        <f aca="false">IF($C23="","",IFERROR(INDEX(المنتجات!$C$5:$C$24,MATCH($C23,المنتجات!$A$5:$A$24,0)),"كود غير موجود"))</f>
        <v/>
      </c>
      <c r="E23" s="24"/>
      <c r="F23" s="27" t="str">
        <f aca="false">IF($C23="","",N(E23)*IFERROR(INDEX(المنتجات!$G$5:$G$24,MATCH($C23,المنتجات!$A$5:$A$24,0)),0))</f>
        <v/>
      </c>
      <c r="G23" s="24"/>
      <c r="H23" s="27" t="str">
        <f aca="false">IF(OR($C23="",G23=""),"",G23-F23)</f>
        <v/>
      </c>
      <c r="I23" s="32"/>
      <c r="J23" s="29"/>
      <c r="K23" s="29"/>
    </row>
    <row r="24" customFormat="false" ht="15" hidden="false" customHeight="false" outlineLevel="0" collapsed="false">
      <c r="A24" s="32"/>
      <c r="B24" s="29"/>
      <c r="C24" s="29"/>
      <c r="D24" s="28" t="str">
        <f aca="false">IF($C24="","",IFERROR(INDEX(المنتجات!$C$5:$C$24,MATCH($C24,المنتجات!$A$5:$A$24,0)),"كود غير موجود"))</f>
        <v/>
      </c>
      <c r="E24" s="24"/>
      <c r="F24" s="27" t="str">
        <f aca="false">IF($C24="","",N(E24)*IFERROR(INDEX(المنتجات!$G$5:$G$24,MATCH($C24,المنتجات!$A$5:$A$24,0)),0))</f>
        <v/>
      </c>
      <c r="G24" s="24"/>
      <c r="H24" s="27" t="str">
        <f aca="false">IF(OR($C24="",G24=""),"",G24-F24)</f>
        <v/>
      </c>
      <c r="I24" s="32"/>
      <c r="J24" s="29"/>
      <c r="K24" s="29"/>
    </row>
    <row r="25" customFormat="false" ht="15" hidden="false" customHeight="false" outlineLevel="0" collapsed="false">
      <c r="A25" s="32"/>
      <c r="B25" s="29"/>
      <c r="C25" s="29"/>
      <c r="D25" s="28" t="str">
        <f aca="false">IF($C25="","",IFERROR(INDEX(المنتجات!$C$5:$C$24,MATCH($C25,المنتجات!$A$5:$A$24,0)),"كود غير موجود"))</f>
        <v/>
      </c>
      <c r="E25" s="24"/>
      <c r="F25" s="27" t="str">
        <f aca="false">IF($C25="","",N(E25)*IFERROR(INDEX(المنتجات!$G$5:$G$24,MATCH($C25,المنتجات!$A$5:$A$24,0)),0))</f>
        <v/>
      </c>
      <c r="G25" s="24"/>
      <c r="H25" s="27" t="str">
        <f aca="false">IF(OR($C25="",G25=""),"",G25-F25)</f>
        <v/>
      </c>
      <c r="I25" s="32"/>
      <c r="J25" s="29"/>
      <c r="K25" s="29"/>
    </row>
    <row r="26" customFormat="false" ht="15" hidden="false" customHeight="false" outlineLevel="0" collapsed="false">
      <c r="A26" s="32"/>
      <c r="B26" s="29"/>
      <c r="C26" s="29"/>
      <c r="D26" s="28" t="str">
        <f aca="false">IF($C26="","",IFERROR(INDEX(المنتجات!$C$5:$C$24,MATCH($C26,المنتجات!$A$5:$A$24,0)),"كود غير موجود"))</f>
        <v/>
      </c>
      <c r="E26" s="24"/>
      <c r="F26" s="27" t="str">
        <f aca="false">IF($C26="","",N(E26)*IFERROR(INDEX(المنتجات!$G$5:$G$24,MATCH($C26,المنتجات!$A$5:$A$24,0)),0))</f>
        <v/>
      </c>
      <c r="G26" s="24"/>
      <c r="H26" s="27" t="str">
        <f aca="false">IF(OR($C26="",G26=""),"",G26-F26)</f>
        <v/>
      </c>
      <c r="I26" s="32"/>
      <c r="J26" s="29"/>
      <c r="K26" s="29"/>
    </row>
    <row r="27" customFormat="false" ht="15" hidden="false" customHeight="false" outlineLevel="0" collapsed="false">
      <c r="A27" s="32"/>
      <c r="B27" s="29"/>
      <c r="C27" s="29"/>
      <c r="D27" s="28" t="str">
        <f aca="false">IF($C27="","",IFERROR(INDEX(المنتجات!$C$5:$C$24,MATCH($C27,المنتجات!$A$5:$A$24,0)),"كود غير موجود"))</f>
        <v/>
      </c>
      <c r="E27" s="24"/>
      <c r="F27" s="27" t="str">
        <f aca="false">IF($C27="","",N(E27)*IFERROR(INDEX(المنتجات!$G$5:$G$24,MATCH($C27,المنتجات!$A$5:$A$24,0)),0))</f>
        <v/>
      </c>
      <c r="G27" s="24"/>
      <c r="H27" s="27" t="str">
        <f aca="false">IF(OR($C27="",G27=""),"",G27-F27)</f>
        <v/>
      </c>
      <c r="I27" s="32"/>
      <c r="J27" s="29"/>
      <c r="K27" s="29"/>
    </row>
    <row r="28" customFormat="false" ht="15" hidden="false" customHeight="false" outlineLevel="0" collapsed="false">
      <c r="A28" s="32"/>
      <c r="B28" s="29"/>
      <c r="C28" s="29"/>
      <c r="D28" s="28" t="str">
        <f aca="false">IF($C28="","",IFERROR(INDEX(المنتجات!$C$5:$C$24,MATCH($C28,المنتجات!$A$5:$A$24,0)),"كود غير موجود"))</f>
        <v/>
      </c>
      <c r="E28" s="24"/>
      <c r="F28" s="27" t="str">
        <f aca="false">IF($C28="","",N(E28)*IFERROR(INDEX(المنتجات!$G$5:$G$24,MATCH($C28,المنتجات!$A$5:$A$24,0)),0))</f>
        <v/>
      </c>
      <c r="G28" s="24"/>
      <c r="H28" s="27" t="str">
        <f aca="false">IF(OR($C28="",G28=""),"",G28-F28)</f>
        <v/>
      </c>
      <c r="I28" s="32"/>
      <c r="J28" s="29"/>
      <c r="K28" s="29"/>
    </row>
    <row r="29" customFormat="false" ht="15" hidden="false" customHeight="false" outlineLevel="0" collapsed="false">
      <c r="A29" s="32"/>
      <c r="B29" s="29"/>
      <c r="C29" s="29"/>
      <c r="D29" s="28" t="str">
        <f aca="false">IF($C29="","",IFERROR(INDEX(المنتجات!$C$5:$C$24,MATCH($C29,المنتجات!$A$5:$A$24,0)),"كود غير موجود"))</f>
        <v/>
      </c>
      <c r="E29" s="24"/>
      <c r="F29" s="27" t="str">
        <f aca="false">IF($C29="","",N(E29)*IFERROR(INDEX(المنتجات!$G$5:$G$24,MATCH($C29,المنتجات!$A$5:$A$24,0)),0))</f>
        <v/>
      </c>
      <c r="G29" s="24"/>
      <c r="H29" s="27" t="str">
        <f aca="false">IF(OR($C29="",G29=""),"",G29-F29)</f>
        <v/>
      </c>
      <c r="I29" s="32"/>
      <c r="J29" s="29"/>
      <c r="K29" s="29"/>
    </row>
    <row r="30" customFormat="false" ht="15" hidden="false" customHeight="false" outlineLevel="0" collapsed="false">
      <c r="A30" s="32"/>
      <c r="B30" s="29"/>
      <c r="C30" s="29"/>
      <c r="D30" s="28" t="str">
        <f aca="false">IF($C30="","",IFERROR(INDEX(المنتجات!$C$5:$C$24,MATCH($C30,المنتجات!$A$5:$A$24,0)),"كود غير موجود"))</f>
        <v/>
      </c>
      <c r="E30" s="24"/>
      <c r="F30" s="27" t="str">
        <f aca="false">IF($C30="","",N(E30)*IFERROR(INDEX(المنتجات!$G$5:$G$24,MATCH($C30,المنتجات!$A$5:$A$24,0)),0))</f>
        <v/>
      </c>
      <c r="G30" s="24"/>
      <c r="H30" s="27" t="str">
        <f aca="false">IF(OR($C30="",G30=""),"",G30-F30)</f>
        <v/>
      </c>
      <c r="I30" s="32"/>
      <c r="J30" s="29"/>
      <c r="K30" s="29"/>
    </row>
    <row r="31" customFormat="false" ht="15" hidden="false" customHeight="false" outlineLevel="0" collapsed="false">
      <c r="A31" s="32"/>
      <c r="B31" s="29"/>
      <c r="C31" s="29"/>
      <c r="D31" s="28" t="str">
        <f aca="false">IF($C31="","",IFERROR(INDEX(المنتجات!$C$5:$C$24,MATCH($C31,المنتجات!$A$5:$A$24,0)),"كود غير موجود"))</f>
        <v/>
      </c>
      <c r="E31" s="24"/>
      <c r="F31" s="27" t="str">
        <f aca="false">IF($C31="","",N(E31)*IFERROR(INDEX(المنتجات!$G$5:$G$24,MATCH($C31,المنتجات!$A$5:$A$24,0)),0))</f>
        <v/>
      </c>
      <c r="G31" s="24"/>
      <c r="H31" s="27" t="str">
        <f aca="false">IF(OR($C31="",G31=""),"",G31-F31)</f>
        <v/>
      </c>
      <c r="I31" s="32"/>
      <c r="J31" s="29"/>
      <c r="K31" s="29"/>
    </row>
    <row r="32" customFormat="false" ht="15" hidden="false" customHeight="false" outlineLevel="0" collapsed="false">
      <c r="A32" s="32"/>
      <c r="B32" s="29"/>
      <c r="C32" s="29"/>
      <c r="D32" s="28" t="str">
        <f aca="false">IF($C32="","",IFERROR(INDEX(المنتجات!$C$5:$C$24,MATCH($C32,المنتجات!$A$5:$A$24,0)),"كود غير موجود"))</f>
        <v/>
      </c>
      <c r="E32" s="24"/>
      <c r="F32" s="27" t="str">
        <f aca="false">IF($C32="","",N(E32)*IFERROR(INDEX(المنتجات!$G$5:$G$24,MATCH($C32,المنتجات!$A$5:$A$24,0)),0))</f>
        <v/>
      </c>
      <c r="G32" s="24"/>
      <c r="H32" s="27" t="str">
        <f aca="false">IF(OR($C32="",G32=""),"",G32-F32)</f>
        <v/>
      </c>
      <c r="I32" s="32"/>
      <c r="J32" s="29"/>
      <c r="K32" s="29"/>
    </row>
    <row r="33" customFormat="false" ht="15" hidden="false" customHeight="false" outlineLevel="0" collapsed="false">
      <c r="A33" s="32"/>
      <c r="B33" s="29"/>
      <c r="C33" s="29"/>
      <c r="D33" s="28" t="str">
        <f aca="false">IF($C33="","",IFERROR(INDEX(المنتجات!$C$5:$C$24,MATCH($C33,المنتجات!$A$5:$A$24,0)),"كود غير موجود"))</f>
        <v/>
      </c>
      <c r="E33" s="24"/>
      <c r="F33" s="27" t="str">
        <f aca="false">IF($C33="","",N(E33)*IFERROR(INDEX(المنتجات!$G$5:$G$24,MATCH($C33,المنتجات!$A$5:$A$24,0)),0))</f>
        <v/>
      </c>
      <c r="G33" s="24"/>
      <c r="H33" s="27" t="str">
        <f aca="false">IF(OR($C33="",G33=""),"",G33-F33)</f>
        <v/>
      </c>
      <c r="I33" s="32"/>
      <c r="J33" s="29"/>
      <c r="K33" s="29"/>
    </row>
    <row r="34" customFormat="false" ht="15" hidden="false" customHeight="false" outlineLevel="0" collapsed="false">
      <c r="A34" s="32"/>
      <c r="B34" s="29"/>
      <c r="C34" s="29"/>
      <c r="D34" s="28" t="str">
        <f aca="false">IF($C34="","",IFERROR(INDEX(المنتجات!$C$5:$C$24,MATCH($C34,المنتجات!$A$5:$A$24,0)),"كود غير موجود"))</f>
        <v/>
      </c>
      <c r="E34" s="24"/>
      <c r="F34" s="27" t="str">
        <f aca="false">IF($C34="","",N(E34)*IFERROR(INDEX(المنتجات!$G$5:$G$24,MATCH($C34,المنتجات!$A$5:$A$24,0)),0))</f>
        <v/>
      </c>
      <c r="G34" s="24"/>
      <c r="H34" s="27" t="str">
        <f aca="false">IF(OR($C34="",G34=""),"",G34-F34)</f>
        <v/>
      </c>
      <c r="I34" s="32"/>
      <c r="J34" s="29"/>
      <c r="K34" s="29"/>
    </row>
    <row r="35" customFormat="false" ht="15" hidden="false" customHeight="false" outlineLevel="0" collapsed="false">
      <c r="A35" s="32"/>
      <c r="B35" s="29"/>
      <c r="C35" s="29"/>
      <c r="D35" s="28" t="str">
        <f aca="false">IF($C35="","",IFERROR(INDEX(المنتجات!$C$5:$C$24,MATCH($C35,المنتجات!$A$5:$A$24,0)),"كود غير موجود"))</f>
        <v/>
      </c>
      <c r="E35" s="24"/>
      <c r="F35" s="27" t="str">
        <f aca="false">IF($C35="","",N(E35)*IFERROR(INDEX(المنتجات!$G$5:$G$24,MATCH($C35,المنتجات!$A$5:$A$24,0)),0))</f>
        <v/>
      </c>
      <c r="G35" s="24"/>
      <c r="H35" s="27" t="str">
        <f aca="false">IF(OR($C35="",G35=""),"",G35-F35)</f>
        <v/>
      </c>
      <c r="I35" s="32"/>
      <c r="J35" s="29"/>
      <c r="K35" s="29"/>
    </row>
    <row r="36" customFormat="false" ht="15" hidden="false" customHeight="false" outlineLevel="0" collapsed="false">
      <c r="A36" s="32"/>
      <c r="B36" s="29"/>
      <c r="C36" s="29"/>
      <c r="D36" s="28" t="str">
        <f aca="false">IF($C36="","",IFERROR(INDEX(المنتجات!$C$5:$C$24,MATCH($C36,المنتجات!$A$5:$A$24,0)),"كود غير موجود"))</f>
        <v/>
      </c>
      <c r="E36" s="24"/>
      <c r="F36" s="27" t="str">
        <f aca="false">IF($C36="","",N(E36)*IFERROR(INDEX(المنتجات!$G$5:$G$24,MATCH($C36,المنتجات!$A$5:$A$24,0)),0))</f>
        <v/>
      </c>
      <c r="G36" s="24"/>
      <c r="H36" s="27" t="str">
        <f aca="false">IF(OR($C36="",G36=""),"",G36-F36)</f>
        <v/>
      </c>
      <c r="I36" s="32"/>
      <c r="J36" s="29"/>
      <c r="K36" s="29"/>
    </row>
    <row r="37" customFormat="false" ht="15" hidden="false" customHeight="false" outlineLevel="0" collapsed="false">
      <c r="A37" s="32"/>
      <c r="B37" s="29"/>
      <c r="C37" s="29"/>
      <c r="D37" s="28" t="str">
        <f aca="false">IF($C37="","",IFERROR(INDEX(المنتجات!$C$5:$C$24,MATCH($C37,المنتجات!$A$5:$A$24,0)),"كود غير موجود"))</f>
        <v/>
      </c>
      <c r="E37" s="24"/>
      <c r="F37" s="27" t="str">
        <f aca="false">IF($C37="","",N(E37)*IFERROR(INDEX(المنتجات!$G$5:$G$24,MATCH($C37,المنتجات!$A$5:$A$24,0)),0))</f>
        <v/>
      </c>
      <c r="G37" s="24"/>
      <c r="H37" s="27" t="str">
        <f aca="false">IF(OR($C37="",G37=""),"",G37-F37)</f>
        <v/>
      </c>
      <c r="I37" s="32"/>
      <c r="J37" s="29"/>
      <c r="K37" s="29"/>
    </row>
    <row r="38" customFormat="false" ht="15" hidden="false" customHeight="false" outlineLevel="0" collapsed="false">
      <c r="A38" s="32"/>
      <c r="B38" s="29"/>
      <c r="C38" s="29"/>
      <c r="D38" s="28" t="str">
        <f aca="false">IF($C38="","",IFERROR(INDEX(المنتجات!$C$5:$C$24,MATCH($C38,المنتجات!$A$5:$A$24,0)),"كود غير موجود"))</f>
        <v/>
      </c>
      <c r="E38" s="24"/>
      <c r="F38" s="27" t="str">
        <f aca="false">IF($C38="","",N(E38)*IFERROR(INDEX(المنتجات!$G$5:$G$24,MATCH($C38,المنتجات!$A$5:$A$24,0)),0))</f>
        <v/>
      </c>
      <c r="G38" s="24"/>
      <c r="H38" s="27" t="str">
        <f aca="false">IF(OR($C38="",G38=""),"",G38-F38)</f>
        <v/>
      </c>
      <c r="I38" s="32"/>
      <c r="J38" s="29"/>
      <c r="K38" s="29"/>
    </row>
    <row r="39" customFormat="false" ht="15" hidden="false" customHeight="false" outlineLevel="0" collapsed="false">
      <c r="A39" s="32"/>
      <c r="B39" s="29"/>
      <c r="C39" s="29"/>
      <c r="D39" s="28" t="str">
        <f aca="false">IF($C39="","",IFERROR(INDEX(المنتجات!$C$5:$C$24,MATCH($C39,المنتجات!$A$5:$A$24,0)),"كود غير موجود"))</f>
        <v/>
      </c>
      <c r="E39" s="24"/>
      <c r="F39" s="27" t="str">
        <f aca="false">IF($C39="","",N(E39)*IFERROR(INDEX(المنتجات!$G$5:$G$24,MATCH($C39,المنتجات!$A$5:$A$24,0)),0))</f>
        <v/>
      </c>
      <c r="G39" s="24"/>
      <c r="H39" s="27" t="str">
        <f aca="false">IF(OR($C39="",G39=""),"",G39-F39)</f>
        <v/>
      </c>
      <c r="I39" s="32"/>
      <c r="J39" s="29"/>
      <c r="K39" s="29"/>
    </row>
    <row r="40" customFormat="false" ht="15" hidden="false" customHeight="false" outlineLevel="0" collapsed="false">
      <c r="A40" s="32"/>
      <c r="B40" s="29"/>
      <c r="C40" s="29"/>
      <c r="D40" s="28" t="str">
        <f aca="false">IF($C40="","",IFERROR(INDEX(المنتجات!$C$5:$C$24,MATCH($C40,المنتجات!$A$5:$A$24,0)),"كود غير موجود"))</f>
        <v/>
      </c>
      <c r="E40" s="24"/>
      <c r="F40" s="27" t="str">
        <f aca="false">IF($C40="","",N(E40)*IFERROR(INDEX(المنتجات!$G$5:$G$24,MATCH($C40,المنتجات!$A$5:$A$24,0)),0))</f>
        <v/>
      </c>
      <c r="G40" s="24"/>
      <c r="H40" s="27" t="str">
        <f aca="false">IF(OR($C40="",G40=""),"",G40-F40)</f>
        <v/>
      </c>
      <c r="I40" s="32"/>
      <c r="J40" s="29"/>
      <c r="K40" s="29"/>
    </row>
    <row r="41" customFormat="false" ht="15" hidden="false" customHeight="false" outlineLevel="0" collapsed="false">
      <c r="A41" s="32"/>
      <c r="B41" s="29"/>
      <c r="C41" s="29"/>
      <c r="D41" s="28" t="str">
        <f aca="false">IF($C41="","",IFERROR(INDEX(المنتجات!$C$5:$C$24,MATCH($C41,المنتجات!$A$5:$A$24,0)),"كود غير موجود"))</f>
        <v/>
      </c>
      <c r="E41" s="24"/>
      <c r="F41" s="27" t="str">
        <f aca="false">IF($C41="","",N(E41)*IFERROR(INDEX(المنتجات!$G$5:$G$24,MATCH($C41,المنتجات!$A$5:$A$24,0)),0))</f>
        <v/>
      </c>
      <c r="G41" s="24"/>
      <c r="H41" s="27" t="str">
        <f aca="false">IF(OR($C41="",G41=""),"",G41-F41)</f>
        <v/>
      </c>
      <c r="I41" s="32"/>
      <c r="J41" s="29"/>
      <c r="K41" s="29"/>
    </row>
    <row r="42" customFormat="false" ht="15" hidden="false" customHeight="false" outlineLevel="0" collapsed="false">
      <c r="A42" s="32"/>
      <c r="B42" s="29"/>
      <c r="C42" s="29"/>
      <c r="D42" s="28" t="str">
        <f aca="false">IF($C42="","",IFERROR(INDEX(المنتجات!$C$5:$C$24,MATCH($C42,المنتجات!$A$5:$A$24,0)),"كود غير موجود"))</f>
        <v/>
      </c>
      <c r="E42" s="24"/>
      <c r="F42" s="27" t="str">
        <f aca="false">IF($C42="","",N(E42)*IFERROR(INDEX(المنتجات!$G$5:$G$24,MATCH($C42,المنتجات!$A$5:$A$24,0)),0))</f>
        <v/>
      </c>
      <c r="G42" s="24"/>
      <c r="H42" s="27" t="str">
        <f aca="false">IF(OR($C42="",G42=""),"",G42-F42)</f>
        <v/>
      </c>
      <c r="I42" s="32"/>
      <c r="J42" s="29"/>
      <c r="K42" s="29"/>
    </row>
    <row r="43" customFormat="false" ht="15" hidden="false" customHeight="false" outlineLevel="0" collapsed="false">
      <c r="A43" s="32"/>
      <c r="B43" s="29"/>
      <c r="C43" s="29"/>
      <c r="D43" s="28" t="str">
        <f aca="false">IF($C43="","",IFERROR(INDEX(المنتجات!$C$5:$C$24,MATCH($C43,المنتجات!$A$5:$A$24,0)),"كود غير موجود"))</f>
        <v/>
      </c>
      <c r="E43" s="24"/>
      <c r="F43" s="27" t="str">
        <f aca="false">IF($C43="","",N(E43)*IFERROR(INDEX(المنتجات!$G$5:$G$24,MATCH($C43,المنتجات!$A$5:$A$24,0)),0))</f>
        <v/>
      </c>
      <c r="G43" s="24"/>
      <c r="H43" s="27" t="str">
        <f aca="false">IF(OR($C43="",G43=""),"",G43-F43)</f>
        <v/>
      </c>
      <c r="I43" s="32"/>
      <c r="J43" s="29"/>
      <c r="K43" s="29"/>
    </row>
    <row r="44" customFormat="false" ht="15" hidden="false" customHeight="false" outlineLevel="0" collapsed="false">
      <c r="A44" s="32"/>
      <c r="B44" s="29"/>
      <c r="C44" s="29"/>
      <c r="D44" s="28" t="str">
        <f aca="false">IF($C44="","",IFERROR(INDEX(المنتجات!$C$5:$C$24,MATCH($C44,المنتجات!$A$5:$A$24,0)),"كود غير موجود"))</f>
        <v/>
      </c>
      <c r="E44" s="24"/>
      <c r="F44" s="27" t="str">
        <f aca="false">IF($C44="","",N(E44)*IFERROR(INDEX(المنتجات!$G$5:$G$24,MATCH($C44,المنتجات!$A$5:$A$24,0)),0))</f>
        <v/>
      </c>
      <c r="G44" s="24"/>
      <c r="H44" s="27" t="str">
        <f aca="false">IF(OR($C44="",G44=""),"",G44-F44)</f>
        <v/>
      </c>
      <c r="I44" s="32"/>
      <c r="J44" s="29"/>
      <c r="K44" s="29"/>
    </row>
    <row r="45" customFormat="false" ht="15" hidden="false" customHeight="false" outlineLevel="0" collapsed="false">
      <c r="A45" s="32"/>
      <c r="B45" s="29"/>
      <c r="C45" s="29"/>
      <c r="D45" s="28" t="str">
        <f aca="false">IF($C45="","",IFERROR(INDEX(المنتجات!$C$5:$C$24,MATCH($C45,المنتجات!$A$5:$A$24,0)),"كود غير موجود"))</f>
        <v/>
      </c>
      <c r="E45" s="24"/>
      <c r="F45" s="27" t="str">
        <f aca="false">IF($C45="","",N(E45)*IFERROR(INDEX(المنتجات!$G$5:$G$24,MATCH($C45,المنتجات!$A$5:$A$24,0)),0))</f>
        <v/>
      </c>
      <c r="G45" s="24"/>
      <c r="H45" s="27" t="str">
        <f aca="false">IF(OR($C45="",G45=""),"",G45-F45)</f>
        <v/>
      </c>
      <c r="I45" s="32"/>
      <c r="J45" s="29"/>
      <c r="K45" s="29"/>
    </row>
    <row r="46" customFormat="false" ht="15" hidden="false" customHeight="false" outlineLevel="0" collapsed="false">
      <c r="A46" s="32"/>
      <c r="B46" s="29"/>
      <c r="C46" s="29"/>
      <c r="D46" s="28" t="str">
        <f aca="false">IF($C46="","",IFERROR(INDEX(المنتجات!$C$5:$C$24,MATCH($C46,المنتجات!$A$5:$A$24,0)),"كود غير موجود"))</f>
        <v/>
      </c>
      <c r="E46" s="24"/>
      <c r="F46" s="27" t="str">
        <f aca="false">IF($C46="","",N(E46)*IFERROR(INDEX(المنتجات!$G$5:$G$24,MATCH($C46,المنتجات!$A$5:$A$24,0)),0))</f>
        <v/>
      </c>
      <c r="G46" s="24"/>
      <c r="H46" s="27" t="str">
        <f aca="false">IF(OR($C46="",G46=""),"",G46-F46)</f>
        <v/>
      </c>
      <c r="I46" s="32"/>
      <c r="J46" s="29"/>
      <c r="K46" s="29"/>
    </row>
    <row r="47" customFormat="false" ht="15" hidden="false" customHeight="false" outlineLevel="0" collapsed="false">
      <c r="A47" s="32"/>
      <c r="B47" s="29"/>
      <c r="C47" s="29"/>
      <c r="D47" s="28" t="str">
        <f aca="false">IF($C47="","",IFERROR(INDEX(المنتجات!$C$5:$C$24,MATCH($C47,المنتجات!$A$5:$A$24,0)),"كود غير موجود"))</f>
        <v/>
      </c>
      <c r="E47" s="24"/>
      <c r="F47" s="27" t="str">
        <f aca="false">IF($C47="","",N(E47)*IFERROR(INDEX(المنتجات!$G$5:$G$24,MATCH($C47,المنتجات!$A$5:$A$24,0)),0))</f>
        <v/>
      </c>
      <c r="G47" s="24"/>
      <c r="H47" s="27" t="str">
        <f aca="false">IF(OR($C47="",G47=""),"",G47-F47)</f>
        <v/>
      </c>
      <c r="I47" s="32"/>
      <c r="J47" s="29"/>
      <c r="K47" s="29"/>
    </row>
    <row r="48" customFormat="false" ht="15" hidden="false" customHeight="false" outlineLevel="0" collapsed="false">
      <c r="A48" s="32"/>
      <c r="B48" s="29"/>
      <c r="C48" s="29"/>
      <c r="D48" s="28" t="str">
        <f aca="false">IF($C48="","",IFERROR(INDEX(المنتجات!$C$5:$C$24,MATCH($C48,المنتجات!$A$5:$A$24,0)),"كود غير موجود"))</f>
        <v/>
      </c>
      <c r="E48" s="24"/>
      <c r="F48" s="27" t="str">
        <f aca="false">IF($C48="","",N(E48)*IFERROR(INDEX(المنتجات!$G$5:$G$24,MATCH($C48,المنتجات!$A$5:$A$24,0)),0))</f>
        <v/>
      </c>
      <c r="G48" s="24"/>
      <c r="H48" s="27" t="str">
        <f aca="false">IF(OR($C48="",G48=""),"",G48-F48)</f>
        <v/>
      </c>
      <c r="I48" s="32"/>
      <c r="J48" s="29"/>
      <c r="K48" s="29"/>
    </row>
    <row r="49" customFormat="false" ht="15" hidden="false" customHeight="false" outlineLevel="0" collapsed="false">
      <c r="A49" s="32"/>
      <c r="B49" s="29"/>
      <c r="C49" s="29"/>
      <c r="D49" s="28" t="str">
        <f aca="false">IF($C49="","",IFERROR(INDEX(المنتجات!$C$5:$C$24,MATCH($C49,المنتجات!$A$5:$A$24,0)),"كود غير موجود"))</f>
        <v/>
      </c>
      <c r="E49" s="24"/>
      <c r="F49" s="27" t="str">
        <f aca="false">IF($C49="","",N(E49)*IFERROR(INDEX(المنتجات!$G$5:$G$24,MATCH($C49,المنتجات!$A$5:$A$24,0)),0))</f>
        <v/>
      </c>
      <c r="G49" s="24"/>
      <c r="H49" s="27" t="str">
        <f aca="false">IF(OR($C49="",G49=""),"",G49-F49)</f>
        <v/>
      </c>
      <c r="I49" s="32"/>
      <c r="J49" s="29"/>
      <c r="K49" s="29"/>
    </row>
    <row r="50" customFormat="false" ht="15" hidden="false" customHeight="false" outlineLevel="0" collapsed="false">
      <c r="A50" s="32"/>
      <c r="B50" s="29"/>
      <c r="C50" s="29"/>
      <c r="D50" s="28" t="str">
        <f aca="false">IF($C50="","",IFERROR(INDEX(المنتجات!$C$5:$C$24,MATCH($C50,المنتجات!$A$5:$A$24,0)),"كود غير موجود"))</f>
        <v/>
      </c>
      <c r="E50" s="24"/>
      <c r="F50" s="27" t="str">
        <f aca="false">IF($C50="","",N(E50)*IFERROR(INDEX(المنتجات!$G$5:$G$24,MATCH($C50,المنتجات!$A$5:$A$24,0)),0))</f>
        <v/>
      </c>
      <c r="G50" s="24"/>
      <c r="H50" s="27" t="str">
        <f aca="false">IF(OR($C50="",G50=""),"",G50-F50)</f>
        <v/>
      </c>
      <c r="I50" s="32"/>
      <c r="J50" s="29"/>
      <c r="K50" s="29"/>
    </row>
    <row r="51" customFormat="false" ht="15" hidden="false" customHeight="false" outlineLevel="0" collapsed="false">
      <c r="A51" s="32"/>
      <c r="B51" s="29"/>
      <c r="C51" s="29"/>
      <c r="D51" s="28" t="str">
        <f aca="false">IF($C51="","",IFERROR(INDEX(المنتجات!$C$5:$C$24,MATCH($C51,المنتجات!$A$5:$A$24,0)),"كود غير موجود"))</f>
        <v/>
      </c>
      <c r="E51" s="24"/>
      <c r="F51" s="27" t="str">
        <f aca="false">IF($C51="","",N(E51)*IFERROR(INDEX(المنتجات!$G$5:$G$24,MATCH($C51,المنتجات!$A$5:$A$24,0)),0))</f>
        <v/>
      </c>
      <c r="G51" s="24"/>
      <c r="H51" s="27" t="str">
        <f aca="false">IF(OR($C51="",G51=""),"",G51-F51)</f>
        <v/>
      </c>
      <c r="I51" s="32"/>
      <c r="J51" s="29"/>
      <c r="K51" s="29"/>
    </row>
    <row r="52" customFormat="false" ht="15" hidden="false" customHeight="false" outlineLevel="0" collapsed="false">
      <c r="A52" s="32"/>
      <c r="B52" s="29"/>
      <c r="C52" s="29"/>
      <c r="D52" s="28" t="str">
        <f aca="false">IF($C52="","",IFERROR(INDEX(المنتجات!$C$5:$C$24,MATCH($C52,المنتجات!$A$5:$A$24,0)),"كود غير موجود"))</f>
        <v/>
      </c>
      <c r="E52" s="24"/>
      <c r="F52" s="27" t="str">
        <f aca="false">IF($C52="","",N(E52)*IFERROR(INDEX(المنتجات!$G$5:$G$24,MATCH($C52,المنتجات!$A$5:$A$24,0)),0))</f>
        <v/>
      </c>
      <c r="G52" s="24"/>
      <c r="H52" s="27" t="str">
        <f aca="false">IF(OR($C52="",G52=""),"",G52-F52)</f>
        <v/>
      </c>
      <c r="I52" s="32"/>
      <c r="J52" s="29"/>
      <c r="K52" s="29"/>
    </row>
    <row r="53" customFormat="false" ht="15" hidden="false" customHeight="false" outlineLevel="0" collapsed="false">
      <c r="A53" s="32"/>
      <c r="B53" s="29"/>
      <c r="C53" s="29"/>
      <c r="D53" s="28" t="str">
        <f aca="false">IF($C53="","",IFERROR(INDEX(المنتجات!$C$5:$C$24,MATCH($C53,المنتجات!$A$5:$A$24,0)),"كود غير موجود"))</f>
        <v/>
      </c>
      <c r="E53" s="24"/>
      <c r="F53" s="27" t="str">
        <f aca="false">IF($C53="","",N(E53)*IFERROR(INDEX(المنتجات!$G$5:$G$24,MATCH($C53,المنتجات!$A$5:$A$24,0)),0))</f>
        <v/>
      </c>
      <c r="G53" s="24"/>
      <c r="H53" s="27" t="str">
        <f aca="false">IF(OR($C53="",G53=""),"",G53-F53)</f>
        <v/>
      </c>
      <c r="I53" s="32"/>
      <c r="J53" s="29"/>
      <c r="K53" s="29"/>
    </row>
    <row r="54" customFormat="false" ht="15" hidden="false" customHeight="false" outlineLevel="0" collapsed="false">
      <c r="A54" s="32"/>
      <c r="B54" s="29"/>
      <c r="C54" s="29"/>
      <c r="D54" s="28" t="str">
        <f aca="false">IF($C54="","",IFERROR(INDEX(المنتجات!$C$5:$C$24,MATCH($C54,المنتجات!$A$5:$A$24,0)),"كود غير موجود"))</f>
        <v/>
      </c>
      <c r="E54" s="24"/>
      <c r="F54" s="27" t="str">
        <f aca="false">IF($C54="","",N(E54)*IFERROR(INDEX(المنتجات!$G$5:$G$24,MATCH($C54,المنتجات!$A$5:$A$24,0)),0))</f>
        <v/>
      </c>
      <c r="G54" s="24"/>
      <c r="H54" s="27" t="str">
        <f aca="false">IF(OR($C54="",G54=""),"",G54-F54)</f>
        <v/>
      </c>
      <c r="I54" s="32"/>
      <c r="J54" s="29"/>
      <c r="K54" s="29"/>
    </row>
    <row r="55" customFormat="false" ht="15" hidden="false" customHeight="false" outlineLevel="0" collapsed="false">
      <c r="A55" s="32"/>
      <c r="B55" s="29"/>
      <c r="C55" s="29"/>
      <c r="D55" s="28" t="str">
        <f aca="false">IF($C55="","",IFERROR(INDEX(المنتجات!$C$5:$C$24,MATCH($C55,المنتجات!$A$5:$A$24,0)),"كود غير موجود"))</f>
        <v/>
      </c>
      <c r="E55" s="24"/>
      <c r="F55" s="27" t="str">
        <f aca="false">IF($C55="","",N(E55)*IFERROR(INDEX(المنتجات!$G$5:$G$24,MATCH($C55,المنتجات!$A$5:$A$24,0)),0))</f>
        <v/>
      </c>
      <c r="G55" s="24"/>
      <c r="H55" s="27" t="str">
        <f aca="false">IF(OR($C55="",G55=""),"",G55-F55)</f>
        <v/>
      </c>
      <c r="I55" s="32"/>
      <c r="J55" s="29"/>
      <c r="K55" s="29"/>
    </row>
    <row r="56" customFormat="false" ht="15" hidden="false" customHeight="false" outlineLevel="0" collapsed="false">
      <c r="A56" s="32"/>
      <c r="B56" s="29"/>
      <c r="C56" s="29"/>
      <c r="D56" s="28" t="str">
        <f aca="false">IF($C56="","",IFERROR(INDEX(المنتجات!$C$5:$C$24,MATCH($C56,المنتجات!$A$5:$A$24,0)),"كود غير موجود"))</f>
        <v/>
      </c>
      <c r="E56" s="24"/>
      <c r="F56" s="27" t="str">
        <f aca="false">IF($C56="","",N(E56)*IFERROR(INDEX(المنتجات!$G$5:$G$24,MATCH($C56,المنتجات!$A$5:$A$24,0)),0))</f>
        <v/>
      </c>
      <c r="G56" s="24"/>
      <c r="H56" s="27" t="str">
        <f aca="false">IF(OR($C56="",G56=""),"",G56-F56)</f>
        <v/>
      </c>
      <c r="I56" s="32"/>
      <c r="J56" s="29"/>
      <c r="K56" s="29"/>
    </row>
    <row r="57" customFormat="false" ht="15" hidden="false" customHeight="false" outlineLevel="0" collapsed="false">
      <c r="A57" s="32"/>
      <c r="B57" s="29"/>
      <c r="C57" s="29"/>
      <c r="D57" s="28" t="str">
        <f aca="false">IF($C57="","",IFERROR(INDEX(المنتجات!$C$5:$C$24,MATCH($C57,المنتجات!$A$5:$A$24,0)),"كود غير موجود"))</f>
        <v/>
      </c>
      <c r="E57" s="24"/>
      <c r="F57" s="27" t="str">
        <f aca="false">IF($C57="","",N(E57)*IFERROR(INDEX(المنتجات!$G$5:$G$24,MATCH($C57,المنتجات!$A$5:$A$24,0)),0))</f>
        <v/>
      </c>
      <c r="G57" s="24"/>
      <c r="H57" s="27" t="str">
        <f aca="false">IF(OR($C57="",G57=""),"",G57-F57)</f>
        <v/>
      </c>
      <c r="I57" s="32"/>
      <c r="J57" s="29"/>
      <c r="K57" s="29"/>
    </row>
    <row r="58" customFormat="false" ht="15" hidden="false" customHeight="false" outlineLevel="0" collapsed="false">
      <c r="A58" s="32"/>
      <c r="B58" s="29"/>
      <c r="C58" s="29"/>
      <c r="D58" s="28" t="str">
        <f aca="false">IF($C58="","",IFERROR(INDEX(المنتجات!$C$5:$C$24,MATCH($C58,المنتجات!$A$5:$A$24,0)),"كود غير موجود"))</f>
        <v/>
      </c>
      <c r="E58" s="24"/>
      <c r="F58" s="27" t="str">
        <f aca="false">IF($C58="","",N(E58)*IFERROR(INDEX(المنتجات!$G$5:$G$24,MATCH($C58,المنتجات!$A$5:$A$24,0)),0))</f>
        <v/>
      </c>
      <c r="G58" s="24"/>
      <c r="H58" s="27" t="str">
        <f aca="false">IF(OR($C58="",G58=""),"",G58-F58)</f>
        <v/>
      </c>
      <c r="I58" s="32"/>
      <c r="J58" s="29"/>
      <c r="K58" s="29"/>
    </row>
    <row r="59" customFormat="false" ht="15" hidden="false" customHeight="false" outlineLevel="0" collapsed="false">
      <c r="A59" s="32"/>
      <c r="B59" s="29"/>
      <c r="C59" s="29"/>
      <c r="D59" s="28" t="str">
        <f aca="false">IF($C59="","",IFERROR(INDEX(المنتجات!$C$5:$C$24,MATCH($C59,المنتجات!$A$5:$A$24,0)),"كود غير موجود"))</f>
        <v/>
      </c>
      <c r="E59" s="24"/>
      <c r="F59" s="27" t="str">
        <f aca="false">IF($C59="","",N(E59)*IFERROR(INDEX(المنتجات!$G$5:$G$24,MATCH($C59,المنتجات!$A$5:$A$24,0)),0))</f>
        <v/>
      </c>
      <c r="G59" s="24"/>
      <c r="H59" s="27" t="str">
        <f aca="false">IF(OR($C59="",G59=""),"",G59-F59)</f>
        <v/>
      </c>
      <c r="I59" s="32"/>
      <c r="J59" s="29"/>
      <c r="K59" s="29"/>
    </row>
    <row r="60" customFormat="false" ht="15" hidden="false" customHeight="false" outlineLevel="0" collapsed="false">
      <c r="A60" s="32"/>
      <c r="B60" s="29"/>
      <c r="C60" s="29"/>
      <c r="D60" s="28" t="str">
        <f aca="false">IF($C60="","",IFERROR(INDEX(المنتجات!$C$5:$C$24,MATCH($C60,المنتجات!$A$5:$A$24,0)),"كود غير موجود"))</f>
        <v/>
      </c>
      <c r="E60" s="24"/>
      <c r="F60" s="27" t="str">
        <f aca="false">IF($C60="","",N(E60)*IFERROR(INDEX(المنتجات!$G$5:$G$24,MATCH($C60,المنتجات!$A$5:$A$24,0)),0))</f>
        <v/>
      </c>
      <c r="G60" s="24"/>
      <c r="H60" s="27" t="str">
        <f aca="false">IF(OR($C60="",G60=""),"",G60-F60)</f>
        <v/>
      </c>
      <c r="I60" s="32"/>
      <c r="J60" s="29"/>
      <c r="K60" s="29"/>
    </row>
    <row r="61" customFormat="false" ht="15" hidden="false" customHeight="false" outlineLevel="0" collapsed="false">
      <c r="A61" s="32"/>
      <c r="B61" s="29"/>
      <c r="C61" s="29"/>
      <c r="D61" s="28" t="str">
        <f aca="false">IF($C61="","",IFERROR(INDEX(المنتجات!$C$5:$C$24,MATCH($C61,المنتجات!$A$5:$A$24,0)),"كود غير موجود"))</f>
        <v/>
      </c>
      <c r="E61" s="24"/>
      <c r="F61" s="27" t="str">
        <f aca="false">IF($C61="","",N(E61)*IFERROR(INDEX(المنتجات!$G$5:$G$24,MATCH($C61,المنتجات!$A$5:$A$24,0)),0))</f>
        <v/>
      </c>
      <c r="G61" s="24"/>
      <c r="H61" s="27" t="str">
        <f aca="false">IF(OR($C61="",G61=""),"",G61-F61)</f>
        <v/>
      </c>
      <c r="I61" s="32"/>
      <c r="J61" s="29"/>
      <c r="K61" s="29"/>
    </row>
    <row r="62" customFormat="false" ht="15" hidden="false" customHeight="false" outlineLevel="0" collapsed="false">
      <c r="A62" s="32"/>
      <c r="B62" s="29"/>
      <c r="C62" s="29"/>
      <c r="D62" s="28" t="str">
        <f aca="false">IF($C62="","",IFERROR(INDEX(المنتجات!$C$5:$C$24,MATCH($C62,المنتجات!$A$5:$A$24,0)),"كود غير موجود"))</f>
        <v/>
      </c>
      <c r="E62" s="24"/>
      <c r="F62" s="27" t="str">
        <f aca="false">IF($C62="","",N(E62)*IFERROR(INDEX(المنتجات!$G$5:$G$24,MATCH($C62,المنتجات!$A$5:$A$24,0)),0))</f>
        <v/>
      </c>
      <c r="G62" s="24"/>
      <c r="H62" s="27" t="str">
        <f aca="false">IF(OR($C62="",G62=""),"",G62-F62)</f>
        <v/>
      </c>
      <c r="I62" s="32"/>
      <c r="J62" s="29"/>
      <c r="K62" s="29"/>
    </row>
    <row r="63" customFormat="false" ht="15" hidden="false" customHeight="false" outlineLevel="0" collapsed="false">
      <c r="A63" s="32"/>
      <c r="B63" s="29"/>
      <c r="C63" s="29"/>
      <c r="D63" s="28" t="str">
        <f aca="false">IF($C63="","",IFERROR(INDEX(المنتجات!$C$5:$C$24,MATCH($C63,المنتجات!$A$5:$A$24,0)),"كود غير موجود"))</f>
        <v/>
      </c>
      <c r="E63" s="24"/>
      <c r="F63" s="27" t="str">
        <f aca="false">IF($C63="","",N(E63)*IFERROR(INDEX(المنتجات!$G$5:$G$24,MATCH($C63,المنتجات!$A$5:$A$24,0)),0))</f>
        <v/>
      </c>
      <c r="G63" s="24"/>
      <c r="H63" s="27" t="str">
        <f aca="false">IF(OR($C63="",G63=""),"",G63-F63)</f>
        <v/>
      </c>
      <c r="I63" s="32"/>
      <c r="J63" s="29"/>
      <c r="K63" s="29"/>
    </row>
    <row r="64" customFormat="false" ht="15" hidden="false" customHeight="false" outlineLevel="0" collapsed="false">
      <c r="A64" s="32"/>
      <c r="B64" s="29"/>
      <c r="C64" s="29"/>
      <c r="D64" s="28" t="str">
        <f aca="false">IF($C64="","",IFERROR(INDEX(المنتجات!$C$5:$C$24,MATCH($C64,المنتجات!$A$5:$A$24,0)),"كود غير موجود"))</f>
        <v/>
      </c>
      <c r="E64" s="24"/>
      <c r="F64" s="27" t="str">
        <f aca="false">IF($C64="","",N(E64)*IFERROR(INDEX(المنتجات!$G$5:$G$24,MATCH($C64,المنتجات!$A$5:$A$24,0)),0))</f>
        <v/>
      </c>
      <c r="G64" s="24"/>
      <c r="H64" s="27" t="str">
        <f aca="false">IF(OR($C64="",G64=""),"",G64-F64)</f>
        <v/>
      </c>
      <c r="I64" s="32"/>
      <c r="J64" s="29"/>
      <c r="K64" s="29"/>
    </row>
    <row r="65" customFormat="false" ht="15" hidden="false" customHeight="false" outlineLevel="0" collapsed="false">
      <c r="A65" s="32"/>
      <c r="B65" s="29"/>
      <c r="C65" s="29"/>
      <c r="D65" s="28" t="str">
        <f aca="false">IF($C65="","",IFERROR(INDEX(المنتجات!$C$5:$C$24,MATCH($C65,المنتجات!$A$5:$A$24,0)),"كود غير موجود"))</f>
        <v/>
      </c>
      <c r="E65" s="24"/>
      <c r="F65" s="27" t="str">
        <f aca="false">IF($C65="","",N(E65)*IFERROR(INDEX(المنتجات!$G$5:$G$24,MATCH($C65,المنتجات!$A$5:$A$24,0)),0))</f>
        <v/>
      </c>
      <c r="G65" s="24"/>
      <c r="H65" s="27" t="str">
        <f aca="false">IF(OR($C65="",G65=""),"",G65-F65)</f>
        <v/>
      </c>
      <c r="I65" s="32"/>
      <c r="J65" s="29"/>
      <c r="K65" s="29"/>
    </row>
    <row r="66" customFormat="false" ht="15" hidden="false" customHeight="false" outlineLevel="0" collapsed="false">
      <c r="A66" s="32"/>
      <c r="B66" s="29"/>
      <c r="C66" s="29"/>
      <c r="D66" s="28" t="str">
        <f aca="false">IF($C66="","",IFERROR(INDEX(المنتجات!$C$5:$C$24,MATCH($C66,المنتجات!$A$5:$A$24,0)),"كود غير موجود"))</f>
        <v/>
      </c>
      <c r="E66" s="24"/>
      <c r="F66" s="27" t="str">
        <f aca="false">IF($C66="","",N(E66)*IFERROR(INDEX(المنتجات!$G$5:$G$24,MATCH($C66,المنتجات!$A$5:$A$24,0)),0))</f>
        <v/>
      </c>
      <c r="G66" s="24"/>
      <c r="H66" s="27" t="str">
        <f aca="false">IF(OR($C66="",G66=""),"",G66-F66)</f>
        <v/>
      </c>
      <c r="I66" s="32"/>
      <c r="J66" s="29"/>
      <c r="K66" s="29"/>
    </row>
    <row r="67" customFormat="false" ht="15" hidden="false" customHeight="false" outlineLevel="0" collapsed="false">
      <c r="A67" s="32"/>
      <c r="B67" s="29"/>
      <c r="C67" s="29"/>
      <c r="D67" s="28" t="str">
        <f aca="false">IF($C67="","",IFERROR(INDEX(المنتجات!$C$5:$C$24,MATCH($C67,المنتجات!$A$5:$A$24,0)),"كود غير موجود"))</f>
        <v/>
      </c>
      <c r="E67" s="24"/>
      <c r="F67" s="27" t="str">
        <f aca="false">IF($C67="","",N(E67)*IFERROR(INDEX(المنتجات!$G$5:$G$24,MATCH($C67,المنتجات!$A$5:$A$24,0)),0))</f>
        <v/>
      </c>
      <c r="G67" s="24"/>
      <c r="H67" s="27" t="str">
        <f aca="false">IF(OR($C67="",G67=""),"",G67-F67)</f>
        <v/>
      </c>
      <c r="I67" s="32"/>
      <c r="J67" s="29"/>
      <c r="K67" s="29"/>
    </row>
    <row r="68" customFormat="false" ht="15" hidden="false" customHeight="false" outlineLevel="0" collapsed="false">
      <c r="A68" s="32"/>
      <c r="B68" s="29"/>
      <c r="C68" s="29"/>
      <c r="D68" s="28" t="str">
        <f aca="false">IF($C68="","",IFERROR(INDEX(المنتجات!$C$5:$C$24,MATCH($C68,المنتجات!$A$5:$A$24,0)),"كود غير موجود"))</f>
        <v/>
      </c>
      <c r="E68" s="24"/>
      <c r="F68" s="27" t="str">
        <f aca="false">IF($C68="","",N(E68)*IFERROR(INDEX(المنتجات!$G$5:$G$24,MATCH($C68,المنتجات!$A$5:$A$24,0)),0))</f>
        <v/>
      </c>
      <c r="G68" s="24"/>
      <c r="H68" s="27" t="str">
        <f aca="false">IF(OR($C68="",G68=""),"",G68-F68)</f>
        <v/>
      </c>
      <c r="I68" s="32"/>
      <c r="J68" s="29"/>
      <c r="K68" s="29"/>
    </row>
    <row r="69" customFormat="false" ht="15" hidden="false" customHeight="false" outlineLevel="0" collapsed="false">
      <c r="A69" s="32"/>
      <c r="B69" s="29"/>
      <c r="C69" s="29"/>
      <c r="D69" s="28" t="str">
        <f aca="false">IF($C69="","",IFERROR(INDEX(المنتجات!$C$5:$C$24,MATCH($C69,المنتجات!$A$5:$A$24,0)),"كود غير موجود"))</f>
        <v/>
      </c>
      <c r="E69" s="24"/>
      <c r="F69" s="27" t="str">
        <f aca="false">IF($C69="","",N(E69)*IFERROR(INDEX(المنتجات!$G$5:$G$24,MATCH($C69,المنتجات!$A$5:$A$24,0)),0))</f>
        <v/>
      </c>
      <c r="G69" s="24"/>
      <c r="H69" s="27" t="str">
        <f aca="false">IF(OR($C69="",G69=""),"",G69-F69)</f>
        <v/>
      </c>
      <c r="I69" s="32"/>
      <c r="J69" s="29"/>
      <c r="K69" s="29"/>
    </row>
    <row r="70" customFormat="false" ht="15" hidden="false" customHeight="false" outlineLevel="0" collapsed="false">
      <c r="A70" s="32"/>
      <c r="B70" s="29"/>
      <c r="C70" s="29"/>
      <c r="D70" s="28" t="str">
        <f aca="false">IF($C70="","",IFERROR(INDEX(المنتجات!$C$5:$C$24,MATCH($C70,المنتجات!$A$5:$A$24,0)),"كود غير موجود"))</f>
        <v/>
      </c>
      <c r="E70" s="24"/>
      <c r="F70" s="27" t="str">
        <f aca="false">IF($C70="","",N(E70)*IFERROR(INDEX(المنتجات!$G$5:$G$24,MATCH($C70,المنتجات!$A$5:$A$24,0)),0))</f>
        <v/>
      </c>
      <c r="G70" s="24"/>
      <c r="H70" s="27" t="str">
        <f aca="false">IF(OR($C70="",G70=""),"",G70-F70)</f>
        <v/>
      </c>
      <c r="I70" s="32"/>
      <c r="J70" s="29"/>
      <c r="K70" s="29"/>
    </row>
    <row r="71" customFormat="false" ht="15" hidden="false" customHeight="false" outlineLevel="0" collapsed="false">
      <c r="A71" s="32"/>
      <c r="B71" s="29"/>
      <c r="C71" s="29"/>
      <c r="D71" s="28" t="str">
        <f aca="false">IF($C71="","",IFERROR(INDEX(المنتجات!$C$5:$C$24,MATCH($C71,المنتجات!$A$5:$A$24,0)),"كود غير موجود"))</f>
        <v/>
      </c>
      <c r="E71" s="24"/>
      <c r="F71" s="27" t="str">
        <f aca="false">IF($C71="","",N(E71)*IFERROR(INDEX(المنتجات!$G$5:$G$24,MATCH($C71,المنتجات!$A$5:$A$24,0)),0))</f>
        <v/>
      </c>
      <c r="G71" s="24"/>
      <c r="H71" s="27" t="str">
        <f aca="false">IF(OR($C71="",G71=""),"",G71-F71)</f>
        <v/>
      </c>
      <c r="I71" s="32"/>
      <c r="J71" s="29"/>
      <c r="K71" s="29"/>
    </row>
    <row r="72" customFormat="false" ht="15" hidden="false" customHeight="false" outlineLevel="0" collapsed="false">
      <c r="A72" s="32"/>
      <c r="B72" s="29"/>
      <c r="C72" s="29"/>
      <c r="D72" s="28" t="str">
        <f aca="false">IF($C72="","",IFERROR(INDEX(المنتجات!$C$5:$C$24,MATCH($C72,المنتجات!$A$5:$A$24,0)),"كود غير موجود"))</f>
        <v/>
      </c>
      <c r="E72" s="24"/>
      <c r="F72" s="27" t="str">
        <f aca="false">IF($C72="","",N(E72)*IFERROR(INDEX(المنتجات!$G$5:$G$24,MATCH($C72,المنتجات!$A$5:$A$24,0)),0))</f>
        <v/>
      </c>
      <c r="G72" s="24"/>
      <c r="H72" s="27" t="str">
        <f aca="false">IF(OR($C72="",G72=""),"",G72-F72)</f>
        <v/>
      </c>
      <c r="I72" s="32"/>
      <c r="J72" s="29"/>
      <c r="K72" s="29"/>
    </row>
    <row r="73" customFormat="false" ht="15" hidden="false" customHeight="false" outlineLevel="0" collapsed="false">
      <c r="A73" s="32"/>
      <c r="B73" s="29"/>
      <c r="C73" s="29"/>
      <c r="D73" s="28" t="str">
        <f aca="false">IF($C73="","",IFERROR(INDEX(المنتجات!$C$5:$C$24,MATCH($C73,المنتجات!$A$5:$A$24,0)),"كود غير موجود"))</f>
        <v/>
      </c>
      <c r="E73" s="24"/>
      <c r="F73" s="27" t="str">
        <f aca="false">IF($C73="","",N(E73)*IFERROR(INDEX(المنتجات!$G$5:$G$24,MATCH($C73,المنتجات!$A$5:$A$24,0)),0))</f>
        <v/>
      </c>
      <c r="G73" s="24"/>
      <c r="H73" s="27" t="str">
        <f aca="false">IF(OR($C73="",G73=""),"",G73-F73)</f>
        <v/>
      </c>
      <c r="I73" s="32"/>
      <c r="J73" s="29"/>
      <c r="K73" s="29"/>
    </row>
    <row r="74" customFormat="false" ht="15" hidden="false" customHeight="false" outlineLevel="0" collapsed="false">
      <c r="A74" s="32"/>
      <c r="B74" s="29"/>
      <c r="C74" s="29"/>
      <c r="D74" s="28" t="str">
        <f aca="false">IF($C74="","",IFERROR(INDEX(المنتجات!$C$5:$C$24,MATCH($C74,المنتجات!$A$5:$A$24,0)),"كود غير موجود"))</f>
        <v/>
      </c>
      <c r="E74" s="24"/>
      <c r="F74" s="27" t="str">
        <f aca="false">IF($C74="","",N(E74)*IFERROR(INDEX(المنتجات!$G$5:$G$24,MATCH($C74,المنتجات!$A$5:$A$24,0)),0))</f>
        <v/>
      </c>
      <c r="G74" s="24"/>
      <c r="H74" s="27" t="str">
        <f aca="false">IF(OR($C74="",G74=""),"",G74-F74)</f>
        <v/>
      </c>
      <c r="I74" s="32"/>
      <c r="J74" s="29"/>
      <c r="K74" s="29"/>
    </row>
    <row r="75" customFormat="false" ht="15" hidden="false" customHeight="false" outlineLevel="0" collapsed="false">
      <c r="A75" s="32"/>
      <c r="B75" s="29"/>
      <c r="C75" s="29"/>
      <c r="D75" s="28" t="str">
        <f aca="false">IF($C75="","",IFERROR(INDEX(المنتجات!$C$5:$C$24,MATCH($C75,المنتجات!$A$5:$A$24,0)),"كود غير موجود"))</f>
        <v/>
      </c>
      <c r="E75" s="24"/>
      <c r="F75" s="27" t="str">
        <f aca="false">IF($C75="","",N(E75)*IFERROR(INDEX(المنتجات!$G$5:$G$24,MATCH($C75,المنتجات!$A$5:$A$24,0)),0))</f>
        <v/>
      </c>
      <c r="G75" s="24"/>
      <c r="H75" s="27" t="str">
        <f aca="false">IF(OR($C75="",G75=""),"",G75-F75)</f>
        <v/>
      </c>
      <c r="I75" s="32"/>
      <c r="J75" s="29"/>
      <c r="K75" s="29"/>
    </row>
    <row r="76" customFormat="false" ht="15" hidden="false" customHeight="false" outlineLevel="0" collapsed="false">
      <c r="A76" s="32"/>
      <c r="B76" s="29"/>
      <c r="C76" s="29"/>
      <c r="D76" s="28" t="str">
        <f aca="false">IF($C76="","",IFERROR(INDEX(المنتجات!$C$5:$C$24,MATCH($C76,المنتجات!$A$5:$A$24,0)),"كود غير موجود"))</f>
        <v/>
      </c>
      <c r="E76" s="24"/>
      <c r="F76" s="27" t="str">
        <f aca="false">IF($C76="","",N(E76)*IFERROR(INDEX(المنتجات!$G$5:$G$24,MATCH($C76,المنتجات!$A$5:$A$24,0)),0))</f>
        <v/>
      </c>
      <c r="G76" s="24"/>
      <c r="H76" s="27" t="str">
        <f aca="false">IF(OR($C76="",G76=""),"",G76-F76)</f>
        <v/>
      </c>
      <c r="I76" s="32"/>
      <c r="J76" s="29"/>
      <c r="K76" s="29"/>
    </row>
    <row r="77" customFormat="false" ht="15" hidden="false" customHeight="false" outlineLevel="0" collapsed="false">
      <c r="A77" s="32"/>
      <c r="B77" s="29"/>
      <c r="C77" s="29"/>
      <c r="D77" s="28" t="str">
        <f aca="false">IF($C77="","",IFERROR(INDEX(المنتجات!$C$5:$C$24,MATCH($C77,المنتجات!$A$5:$A$24,0)),"كود غير موجود"))</f>
        <v/>
      </c>
      <c r="E77" s="24"/>
      <c r="F77" s="27" t="str">
        <f aca="false">IF($C77="","",N(E77)*IFERROR(INDEX(المنتجات!$G$5:$G$24,MATCH($C77,المنتجات!$A$5:$A$24,0)),0))</f>
        <v/>
      </c>
      <c r="G77" s="24"/>
      <c r="H77" s="27" t="str">
        <f aca="false">IF(OR($C77="",G77=""),"",G77-F77)</f>
        <v/>
      </c>
      <c r="I77" s="32"/>
      <c r="J77" s="29"/>
      <c r="K77" s="29"/>
    </row>
    <row r="78" customFormat="false" ht="15" hidden="false" customHeight="false" outlineLevel="0" collapsed="false">
      <c r="A78" s="32"/>
      <c r="B78" s="29"/>
      <c r="C78" s="29"/>
      <c r="D78" s="28" t="str">
        <f aca="false">IF($C78="","",IFERROR(INDEX(المنتجات!$C$5:$C$24,MATCH($C78,المنتجات!$A$5:$A$24,0)),"كود غير موجود"))</f>
        <v/>
      </c>
      <c r="E78" s="24"/>
      <c r="F78" s="27" t="str">
        <f aca="false">IF($C78="","",N(E78)*IFERROR(INDEX(المنتجات!$G$5:$G$24,MATCH($C78,المنتجات!$A$5:$A$24,0)),0))</f>
        <v/>
      </c>
      <c r="G78" s="24"/>
      <c r="H78" s="27" t="str">
        <f aca="false">IF(OR($C78="",G78=""),"",G78-F78)</f>
        <v/>
      </c>
      <c r="I78" s="32"/>
      <c r="J78" s="29"/>
      <c r="K78" s="29"/>
    </row>
    <row r="79" customFormat="false" ht="15" hidden="false" customHeight="false" outlineLevel="0" collapsed="false">
      <c r="A79" s="32"/>
      <c r="B79" s="29"/>
      <c r="C79" s="29"/>
      <c r="D79" s="28" t="str">
        <f aca="false">IF($C79="","",IFERROR(INDEX(المنتجات!$C$5:$C$24,MATCH($C79,المنتجات!$A$5:$A$24,0)),"كود غير موجود"))</f>
        <v/>
      </c>
      <c r="E79" s="24"/>
      <c r="F79" s="27" t="str">
        <f aca="false">IF($C79="","",N(E79)*IFERROR(INDEX(المنتجات!$G$5:$G$24,MATCH($C79,المنتجات!$A$5:$A$24,0)),0))</f>
        <v/>
      </c>
      <c r="G79" s="24"/>
      <c r="H79" s="27" t="str">
        <f aca="false">IF(OR($C79="",G79=""),"",G79-F79)</f>
        <v/>
      </c>
      <c r="I79" s="32"/>
      <c r="J79" s="29"/>
      <c r="K79" s="29"/>
    </row>
    <row r="80" customFormat="false" ht="15" hidden="false" customHeight="false" outlineLevel="0" collapsed="false">
      <c r="A80" s="32"/>
      <c r="B80" s="29"/>
      <c r="C80" s="29"/>
      <c r="D80" s="28" t="str">
        <f aca="false">IF($C80="","",IFERROR(INDEX(المنتجات!$C$5:$C$24,MATCH($C80,المنتجات!$A$5:$A$24,0)),"كود غير موجود"))</f>
        <v/>
      </c>
      <c r="E80" s="24"/>
      <c r="F80" s="27" t="str">
        <f aca="false">IF($C80="","",N(E80)*IFERROR(INDEX(المنتجات!$G$5:$G$24,MATCH($C80,المنتجات!$A$5:$A$24,0)),0))</f>
        <v/>
      </c>
      <c r="G80" s="24"/>
      <c r="H80" s="27" t="str">
        <f aca="false">IF(OR($C80="",G80=""),"",G80-F80)</f>
        <v/>
      </c>
      <c r="I80" s="32"/>
      <c r="J80" s="29"/>
      <c r="K80" s="29"/>
    </row>
    <row r="81" customFormat="false" ht="15" hidden="false" customHeight="false" outlineLevel="0" collapsed="false">
      <c r="A81" s="32"/>
      <c r="B81" s="29"/>
      <c r="C81" s="29"/>
      <c r="D81" s="28" t="str">
        <f aca="false">IF($C81="","",IFERROR(INDEX(المنتجات!$C$5:$C$24,MATCH($C81,المنتجات!$A$5:$A$24,0)),"كود غير موجود"))</f>
        <v/>
      </c>
      <c r="E81" s="24"/>
      <c r="F81" s="27" t="str">
        <f aca="false">IF($C81="","",N(E81)*IFERROR(INDEX(المنتجات!$G$5:$G$24,MATCH($C81,المنتجات!$A$5:$A$24,0)),0))</f>
        <v/>
      </c>
      <c r="G81" s="24"/>
      <c r="H81" s="27" t="str">
        <f aca="false">IF(OR($C81="",G81=""),"",G81-F81)</f>
        <v/>
      </c>
      <c r="I81" s="32"/>
      <c r="J81" s="29"/>
      <c r="K81" s="29"/>
    </row>
    <row r="82" customFormat="false" ht="15" hidden="false" customHeight="false" outlineLevel="0" collapsed="false">
      <c r="A82" s="32"/>
      <c r="B82" s="29"/>
      <c r="C82" s="29"/>
      <c r="D82" s="28" t="str">
        <f aca="false">IF($C82="","",IFERROR(INDEX(المنتجات!$C$5:$C$24,MATCH($C82,المنتجات!$A$5:$A$24,0)),"كود غير موجود"))</f>
        <v/>
      </c>
      <c r="E82" s="24"/>
      <c r="F82" s="27" t="str">
        <f aca="false">IF($C82="","",N(E82)*IFERROR(INDEX(المنتجات!$G$5:$G$24,MATCH($C82,المنتجات!$A$5:$A$24,0)),0))</f>
        <v/>
      </c>
      <c r="G82" s="24"/>
      <c r="H82" s="27" t="str">
        <f aca="false">IF(OR($C82="",G82=""),"",G82-F82)</f>
        <v/>
      </c>
      <c r="I82" s="32"/>
      <c r="J82" s="29"/>
      <c r="K82" s="29"/>
    </row>
    <row r="83" customFormat="false" ht="15" hidden="false" customHeight="false" outlineLevel="0" collapsed="false">
      <c r="A83" s="32"/>
      <c r="B83" s="29"/>
      <c r="C83" s="29"/>
      <c r="D83" s="28" t="str">
        <f aca="false">IF($C83="","",IFERROR(INDEX(المنتجات!$C$5:$C$24,MATCH($C83,المنتجات!$A$5:$A$24,0)),"كود غير موجود"))</f>
        <v/>
      </c>
      <c r="E83" s="24"/>
      <c r="F83" s="27" t="str">
        <f aca="false">IF($C83="","",N(E83)*IFERROR(INDEX(المنتجات!$G$5:$G$24,MATCH($C83,المنتجات!$A$5:$A$24,0)),0))</f>
        <v/>
      </c>
      <c r="G83" s="24"/>
      <c r="H83" s="27" t="str">
        <f aca="false">IF(OR($C83="",G83=""),"",G83-F83)</f>
        <v/>
      </c>
      <c r="I83" s="32"/>
      <c r="J83" s="29"/>
      <c r="K83" s="29"/>
    </row>
    <row r="84" customFormat="false" ht="15" hidden="false" customHeight="false" outlineLevel="0" collapsed="false">
      <c r="A84" s="32"/>
      <c r="B84" s="29"/>
      <c r="C84" s="29"/>
      <c r="D84" s="28" t="str">
        <f aca="false">IF($C84="","",IFERROR(INDEX(المنتجات!$C$5:$C$24,MATCH($C84,المنتجات!$A$5:$A$24,0)),"كود غير موجود"))</f>
        <v/>
      </c>
      <c r="E84" s="24"/>
      <c r="F84" s="27" t="str">
        <f aca="false">IF($C84="","",N(E84)*IFERROR(INDEX(المنتجات!$G$5:$G$24,MATCH($C84,المنتجات!$A$5:$A$24,0)),0))</f>
        <v/>
      </c>
      <c r="G84" s="24"/>
      <c r="H84" s="27" t="str">
        <f aca="false">IF(OR($C84="",G84=""),"",G84-F84)</f>
        <v/>
      </c>
      <c r="I84" s="32"/>
      <c r="J84" s="29"/>
      <c r="K84" s="29"/>
    </row>
    <row r="85" customFormat="false" ht="15" hidden="false" customHeight="false" outlineLevel="0" collapsed="false">
      <c r="A85" s="32"/>
      <c r="B85" s="29"/>
      <c r="C85" s="29"/>
      <c r="D85" s="28" t="str">
        <f aca="false">IF($C85="","",IFERROR(INDEX(المنتجات!$C$5:$C$24,MATCH($C85,المنتجات!$A$5:$A$24,0)),"كود غير موجود"))</f>
        <v/>
      </c>
      <c r="E85" s="24"/>
      <c r="F85" s="27" t="str">
        <f aca="false">IF($C85="","",N(E85)*IFERROR(INDEX(المنتجات!$G$5:$G$24,MATCH($C85,المنتجات!$A$5:$A$24,0)),0))</f>
        <v/>
      </c>
      <c r="G85" s="24"/>
      <c r="H85" s="27" t="str">
        <f aca="false">IF(OR($C85="",G85=""),"",G85-F85)</f>
        <v/>
      </c>
      <c r="I85" s="32"/>
      <c r="J85" s="29"/>
      <c r="K85" s="29"/>
    </row>
    <row r="86" customFormat="false" ht="15" hidden="false" customHeight="false" outlineLevel="0" collapsed="false">
      <c r="A86" s="32"/>
      <c r="B86" s="29"/>
      <c r="C86" s="29"/>
      <c r="D86" s="28" t="str">
        <f aca="false">IF($C86="","",IFERROR(INDEX(المنتجات!$C$5:$C$24,MATCH($C86,المنتجات!$A$5:$A$24,0)),"كود غير موجود"))</f>
        <v/>
      </c>
      <c r="E86" s="24"/>
      <c r="F86" s="27" t="str">
        <f aca="false">IF($C86="","",N(E86)*IFERROR(INDEX(المنتجات!$G$5:$G$24,MATCH($C86,المنتجات!$A$5:$A$24,0)),0))</f>
        <v/>
      </c>
      <c r="G86" s="24"/>
      <c r="H86" s="27" t="str">
        <f aca="false">IF(OR($C86="",G86=""),"",G86-F86)</f>
        <v/>
      </c>
      <c r="I86" s="32"/>
      <c r="J86" s="29"/>
      <c r="K86" s="29"/>
    </row>
    <row r="87" customFormat="false" ht="15" hidden="false" customHeight="false" outlineLevel="0" collapsed="false">
      <c r="A87" s="32"/>
      <c r="B87" s="29"/>
      <c r="C87" s="29"/>
      <c r="D87" s="28" t="str">
        <f aca="false">IF($C87="","",IFERROR(INDEX(المنتجات!$C$5:$C$24,MATCH($C87,المنتجات!$A$5:$A$24,0)),"كود غير موجود"))</f>
        <v/>
      </c>
      <c r="E87" s="24"/>
      <c r="F87" s="27" t="str">
        <f aca="false">IF($C87="","",N(E87)*IFERROR(INDEX(المنتجات!$G$5:$G$24,MATCH($C87,المنتجات!$A$5:$A$24,0)),0))</f>
        <v/>
      </c>
      <c r="G87" s="24"/>
      <c r="H87" s="27" t="str">
        <f aca="false">IF(OR($C87="",G87=""),"",G87-F87)</f>
        <v/>
      </c>
      <c r="I87" s="32"/>
      <c r="J87" s="29"/>
      <c r="K87" s="29"/>
    </row>
    <row r="88" customFormat="false" ht="15" hidden="false" customHeight="false" outlineLevel="0" collapsed="false">
      <c r="A88" s="32"/>
      <c r="B88" s="29"/>
      <c r="C88" s="29"/>
      <c r="D88" s="28" t="str">
        <f aca="false">IF($C88="","",IFERROR(INDEX(المنتجات!$C$5:$C$24,MATCH($C88,المنتجات!$A$5:$A$24,0)),"كود غير موجود"))</f>
        <v/>
      </c>
      <c r="E88" s="24"/>
      <c r="F88" s="27" t="str">
        <f aca="false">IF($C88="","",N(E88)*IFERROR(INDEX(المنتجات!$G$5:$G$24,MATCH($C88,المنتجات!$A$5:$A$24,0)),0))</f>
        <v/>
      </c>
      <c r="G88" s="24"/>
      <c r="H88" s="27" t="str">
        <f aca="false">IF(OR($C88="",G88=""),"",G88-F88)</f>
        <v/>
      </c>
      <c r="I88" s="32"/>
      <c r="J88" s="29"/>
      <c r="K88" s="29"/>
    </row>
    <row r="89" customFormat="false" ht="15" hidden="false" customHeight="false" outlineLevel="0" collapsed="false">
      <c r="A89" s="32"/>
      <c r="B89" s="29"/>
      <c r="C89" s="29"/>
      <c r="D89" s="28" t="str">
        <f aca="false">IF($C89="","",IFERROR(INDEX(المنتجات!$C$5:$C$24,MATCH($C89,المنتجات!$A$5:$A$24,0)),"كود غير موجود"))</f>
        <v/>
      </c>
      <c r="E89" s="24"/>
      <c r="F89" s="27" t="str">
        <f aca="false">IF($C89="","",N(E89)*IFERROR(INDEX(المنتجات!$G$5:$G$24,MATCH($C89,المنتجات!$A$5:$A$24,0)),0))</f>
        <v/>
      </c>
      <c r="G89" s="24"/>
      <c r="H89" s="27" t="str">
        <f aca="false">IF(OR($C89="",G89=""),"",G89-F89)</f>
        <v/>
      </c>
      <c r="I89" s="32"/>
      <c r="J89" s="29"/>
      <c r="K89" s="29"/>
    </row>
    <row r="90" customFormat="false" ht="15" hidden="false" customHeight="false" outlineLevel="0" collapsed="false">
      <c r="A90" s="32"/>
      <c r="B90" s="29"/>
      <c r="C90" s="29"/>
      <c r="D90" s="28" t="str">
        <f aca="false">IF($C90="","",IFERROR(INDEX(المنتجات!$C$5:$C$24,MATCH($C90,المنتجات!$A$5:$A$24,0)),"كود غير موجود"))</f>
        <v/>
      </c>
      <c r="E90" s="24"/>
      <c r="F90" s="27" t="str">
        <f aca="false">IF($C90="","",N(E90)*IFERROR(INDEX(المنتجات!$G$5:$G$24,MATCH($C90,المنتجات!$A$5:$A$24,0)),0))</f>
        <v/>
      </c>
      <c r="G90" s="24"/>
      <c r="H90" s="27" t="str">
        <f aca="false">IF(OR($C90="",G90=""),"",G90-F90)</f>
        <v/>
      </c>
      <c r="I90" s="32"/>
      <c r="J90" s="29"/>
      <c r="K90" s="29"/>
    </row>
    <row r="91" customFormat="false" ht="15" hidden="false" customHeight="false" outlineLevel="0" collapsed="false">
      <c r="A91" s="32"/>
      <c r="B91" s="29"/>
      <c r="C91" s="29"/>
      <c r="D91" s="28" t="str">
        <f aca="false">IF($C91="","",IFERROR(INDEX(المنتجات!$C$5:$C$24,MATCH($C91,المنتجات!$A$5:$A$24,0)),"كود غير موجود"))</f>
        <v/>
      </c>
      <c r="E91" s="24"/>
      <c r="F91" s="27" t="str">
        <f aca="false">IF($C91="","",N(E91)*IFERROR(INDEX(المنتجات!$G$5:$G$24,MATCH($C91,المنتجات!$A$5:$A$24,0)),0))</f>
        <v/>
      </c>
      <c r="G91" s="24"/>
      <c r="H91" s="27" t="str">
        <f aca="false">IF(OR($C91="",G91=""),"",G91-F91)</f>
        <v/>
      </c>
      <c r="I91" s="32"/>
      <c r="J91" s="29"/>
      <c r="K91" s="29"/>
    </row>
    <row r="92" customFormat="false" ht="15" hidden="false" customHeight="false" outlineLevel="0" collapsed="false">
      <c r="A92" s="32"/>
      <c r="B92" s="29"/>
      <c r="C92" s="29"/>
      <c r="D92" s="28" t="str">
        <f aca="false">IF($C92="","",IFERROR(INDEX(المنتجات!$C$5:$C$24,MATCH($C92,المنتجات!$A$5:$A$24,0)),"كود غير موجود"))</f>
        <v/>
      </c>
      <c r="E92" s="24"/>
      <c r="F92" s="27" t="str">
        <f aca="false">IF($C92="","",N(E92)*IFERROR(INDEX(المنتجات!$G$5:$G$24,MATCH($C92,المنتجات!$A$5:$A$24,0)),0))</f>
        <v/>
      </c>
      <c r="G92" s="24"/>
      <c r="H92" s="27" t="str">
        <f aca="false">IF(OR($C92="",G92=""),"",G92-F92)</f>
        <v/>
      </c>
      <c r="I92" s="32"/>
      <c r="J92" s="29"/>
      <c r="K92" s="29"/>
    </row>
    <row r="93" customFormat="false" ht="15" hidden="false" customHeight="false" outlineLevel="0" collapsed="false">
      <c r="A93" s="32"/>
      <c r="B93" s="29"/>
      <c r="C93" s="29"/>
      <c r="D93" s="28" t="str">
        <f aca="false">IF($C93="","",IFERROR(INDEX(المنتجات!$C$5:$C$24,MATCH($C93,المنتجات!$A$5:$A$24,0)),"كود غير موجود"))</f>
        <v/>
      </c>
      <c r="E93" s="24"/>
      <c r="F93" s="27" t="str">
        <f aca="false">IF($C93="","",N(E93)*IFERROR(INDEX(المنتجات!$G$5:$G$24,MATCH($C93,المنتجات!$A$5:$A$24,0)),0))</f>
        <v/>
      </c>
      <c r="G93" s="24"/>
      <c r="H93" s="27" t="str">
        <f aca="false">IF(OR($C93="",G93=""),"",G93-F93)</f>
        <v/>
      </c>
      <c r="I93" s="32"/>
      <c r="J93" s="29"/>
      <c r="K93" s="29"/>
    </row>
    <row r="94" customFormat="false" ht="15" hidden="false" customHeight="false" outlineLevel="0" collapsed="false">
      <c r="A94" s="32"/>
      <c r="B94" s="29"/>
      <c r="C94" s="29"/>
      <c r="D94" s="28" t="str">
        <f aca="false">IF($C94="","",IFERROR(INDEX(المنتجات!$C$5:$C$24,MATCH($C94,المنتجات!$A$5:$A$24,0)),"كود غير موجود"))</f>
        <v/>
      </c>
      <c r="E94" s="24"/>
      <c r="F94" s="27" t="str">
        <f aca="false">IF($C94="","",N(E94)*IFERROR(INDEX(المنتجات!$G$5:$G$24,MATCH($C94,المنتجات!$A$5:$A$24,0)),0))</f>
        <v/>
      </c>
      <c r="G94" s="24"/>
      <c r="H94" s="27" t="str">
        <f aca="false">IF(OR($C94="",G94=""),"",G94-F94)</f>
        <v/>
      </c>
      <c r="I94" s="32"/>
      <c r="J94" s="29"/>
      <c r="K94" s="29"/>
    </row>
    <row r="95" customFormat="false" ht="15" hidden="false" customHeight="false" outlineLevel="0" collapsed="false">
      <c r="A95" s="32"/>
      <c r="B95" s="29"/>
      <c r="C95" s="29"/>
      <c r="D95" s="28" t="str">
        <f aca="false">IF($C95="","",IFERROR(INDEX(المنتجات!$C$5:$C$24,MATCH($C95,المنتجات!$A$5:$A$24,0)),"كود غير موجود"))</f>
        <v/>
      </c>
      <c r="E95" s="24"/>
      <c r="F95" s="27" t="str">
        <f aca="false">IF($C95="","",N(E95)*IFERROR(INDEX(المنتجات!$G$5:$G$24,MATCH($C95,المنتجات!$A$5:$A$24,0)),0))</f>
        <v/>
      </c>
      <c r="G95" s="24"/>
      <c r="H95" s="27" t="str">
        <f aca="false">IF(OR($C95="",G95=""),"",G95-F95)</f>
        <v/>
      </c>
      <c r="I95" s="32"/>
      <c r="J95" s="29"/>
      <c r="K95" s="29"/>
    </row>
    <row r="96" customFormat="false" ht="15" hidden="false" customHeight="false" outlineLevel="0" collapsed="false">
      <c r="A96" s="32"/>
      <c r="B96" s="29"/>
      <c r="C96" s="29"/>
      <c r="D96" s="28" t="str">
        <f aca="false">IF($C96="","",IFERROR(INDEX(المنتجات!$C$5:$C$24,MATCH($C96,المنتجات!$A$5:$A$24,0)),"كود غير موجود"))</f>
        <v/>
      </c>
      <c r="E96" s="24"/>
      <c r="F96" s="27" t="str">
        <f aca="false">IF($C96="","",N(E96)*IFERROR(INDEX(المنتجات!$G$5:$G$24,MATCH($C96,المنتجات!$A$5:$A$24,0)),0))</f>
        <v/>
      </c>
      <c r="G96" s="24"/>
      <c r="H96" s="27" t="str">
        <f aca="false">IF(OR($C96="",G96=""),"",G96-F96)</f>
        <v/>
      </c>
      <c r="I96" s="32"/>
      <c r="J96" s="29"/>
      <c r="K96" s="29"/>
    </row>
    <row r="97" customFormat="false" ht="15" hidden="false" customHeight="false" outlineLevel="0" collapsed="false">
      <c r="A97" s="32"/>
      <c r="B97" s="29"/>
      <c r="C97" s="29"/>
      <c r="D97" s="28" t="str">
        <f aca="false">IF($C97="","",IFERROR(INDEX(المنتجات!$C$5:$C$24,MATCH($C97,المنتجات!$A$5:$A$24,0)),"كود غير موجود"))</f>
        <v/>
      </c>
      <c r="E97" s="24"/>
      <c r="F97" s="27" t="str">
        <f aca="false">IF($C97="","",N(E97)*IFERROR(INDEX(المنتجات!$G$5:$G$24,MATCH($C97,المنتجات!$A$5:$A$24,0)),0))</f>
        <v/>
      </c>
      <c r="G97" s="24"/>
      <c r="H97" s="27" t="str">
        <f aca="false">IF(OR($C97="",G97=""),"",G97-F97)</f>
        <v/>
      </c>
      <c r="I97" s="32"/>
      <c r="J97" s="29"/>
      <c r="K97" s="29"/>
    </row>
    <row r="98" customFormat="false" ht="15" hidden="false" customHeight="false" outlineLevel="0" collapsed="false">
      <c r="A98" s="32"/>
      <c r="B98" s="29"/>
      <c r="C98" s="29"/>
      <c r="D98" s="28" t="str">
        <f aca="false">IF($C98="","",IFERROR(INDEX(المنتجات!$C$5:$C$24,MATCH($C98,المنتجات!$A$5:$A$24,0)),"كود غير موجود"))</f>
        <v/>
      </c>
      <c r="E98" s="24"/>
      <c r="F98" s="27" t="str">
        <f aca="false">IF($C98="","",N(E98)*IFERROR(INDEX(المنتجات!$G$5:$G$24,MATCH($C98,المنتجات!$A$5:$A$24,0)),0))</f>
        <v/>
      </c>
      <c r="G98" s="24"/>
      <c r="H98" s="27" t="str">
        <f aca="false">IF(OR($C98="",G98=""),"",G98-F98)</f>
        <v/>
      </c>
      <c r="I98" s="32"/>
      <c r="J98" s="29"/>
      <c r="K98" s="29"/>
    </row>
    <row r="99" customFormat="false" ht="15" hidden="false" customHeight="false" outlineLevel="0" collapsed="false">
      <c r="A99" s="32"/>
      <c r="B99" s="29"/>
      <c r="C99" s="29"/>
      <c r="D99" s="28" t="str">
        <f aca="false">IF($C99="","",IFERROR(INDEX(المنتجات!$C$5:$C$24,MATCH($C99,المنتجات!$A$5:$A$24,0)),"كود غير موجود"))</f>
        <v/>
      </c>
      <c r="E99" s="24"/>
      <c r="F99" s="27" t="str">
        <f aca="false">IF($C99="","",N(E99)*IFERROR(INDEX(المنتجات!$G$5:$G$24,MATCH($C99,المنتجات!$A$5:$A$24,0)),0))</f>
        <v/>
      </c>
      <c r="G99" s="24"/>
      <c r="H99" s="27" t="str">
        <f aca="false">IF(OR($C99="",G99=""),"",G99-F99)</f>
        <v/>
      </c>
      <c r="I99" s="32"/>
      <c r="J99" s="29"/>
      <c r="K99" s="29"/>
    </row>
    <row r="100" customFormat="false" ht="15" hidden="false" customHeight="false" outlineLevel="0" collapsed="false">
      <c r="A100" s="32"/>
      <c r="B100" s="29"/>
      <c r="C100" s="29"/>
      <c r="D100" s="28" t="str">
        <f aca="false">IF($C100="","",IFERROR(INDEX(المنتجات!$C$5:$C$24,MATCH($C100,المنتجات!$A$5:$A$24,0)),"كود غير موجود"))</f>
        <v/>
      </c>
      <c r="E100" s="24"/>
      <c r="F100" s="27" t="str">
        <f aca="false">IF($C100="","",N(E100)*IFERROR(INDEX(المنتجات!$G$5:$G$24,MATCH($C100,المنتجات!$A$5:$A$24,0)),0))</f>
        <v/>
      </c>
      <c r="G100" s="24"/>
      <c r="H100" s="27" t="str">
        <f aca="false">IF(OR($C100="",G100=""),"",G100-F100)</f>
        <v/>
      </c>
      <c r="I100" s="32"/>
      <c r="J100" s="29"/>
      <c r="K100" s="29"/>
    </row>
    <row r="101" customFormat="false" ht="15" hidden="false" customHeight="false" outlineLevel="0" collapsed="false">
      <c r="A101" s="32"/>
      <c r="B101" s="29"/>
      <c r="C101" s="29"/>
      <c r="D101" s="28" t="str">
        <f aca="false">IF($C101="","",IFERROR(INDEX(المنتجات!$C$5:$C$24,MATCH($C101,المنتجات!$A$5:$A$24,0)),"كود غير موجود"))</f>
        <v/>
      </c>
      <c r="E101" s="24"/>
      <c r="F101" s="27" t="str">
        <f aca="false">IF($C101="","",N(E101)*IFERROR(INDEX(المنتجات!$G$5:$G$24,MATCH($C101,المنتجات!$A$5:$A$24,0)),0))</f>
        <v/>
      </c>
      <c r="G101" s="24"/>
      <c r="H101" s="27" t="str">
        <f aca="false">IF(OR($C101="",G101=""),"",G101-F101)</f>
        <v/>
      </c>
      <c r="I101" s="32"/>
      <c r="J101" s="29"/>
      <c r="K101" s="29"/>
    </row>
    <row r="102" customFormat="false" ht="15" hidden="false" customHeight="false" outlineLevel="0" collapsed="false">
      <c r="A102" s="32"/>
      <c r="B102" s="29"/>
      <c r="C102" s="29"/>
      <c r="D102" s="28" t="str">
        <f aca="false">IF($C102="","",IFERROR(INDEX(المنتجات!$C$5:$C$24,MATCH($C102,المنتجات!$A$5:$A$24,0)),"كود غير موجود"))</f>
        <v/>
      </c>
      <c r="E102" s="24"/>
      <c r="F102" s="27" t="str">
        <f aca="false">IF($C102="","",N(E102)*IFERROR(INDEX(المنتجات!$G$5:$G$24,MATCH($C102,المنتجات!$A$5:$A$24,0)),0))</f>
        <v/>
      </c>
      <c r="G102" s="24"/>
      <c r="H102" s="27" t="str">
        <f aca="false">IF(OR($C102="",G102=""),"",G102-F102)</f>
        <v/>
      </c>
      <c r="I102" s="32"/>
      <c r="J102" s="29"/>
      <c r="K102" s="29"/>
    </row>
    <row r="103" customFormat="false" ht="15" hidden="false" customHeight="false" outlineLevel="0" collapsed="false">
      <c r="A103" s="32"/>
      <c r="B103" s="29"/>
      <c r="C103" s="29"/>
      <c r="D103" s="28" t="str">
        <f aca="false">IF($C103="","",IFERROR(INDEX(المنتجات!$C$5:$C$24,MATCH($C103,المنتجات!$A$5:$A$24,0)),"كود غير موجود"))</f>
        <v/>
      </c>
      <c r="E103" s="24"/>
      <c r="F103" s="27" t="str">
        <f aca="false">IF($C103="","",N(E103)*IFERROR(INDEX(المنتجات!$G$5:$G$24,MATCH($C103,المنتجات!$A$5:$A$24,0)),0))</f>
        <v/>
      </c>
      <c r="G103" s="24"/>
      <c r="H103" s="27" t="str">
        <f aca="false">IF(OR($C103="",G103=""),"",G103-F103)</f>
        <v/>
      </c>
      <c r="I103" s="32"/>
      <c r="J103" s="29"/>
      <c r="K103" s="29"/>
    </row>
    <row r="104" customFormat="false" ht="15" hidden="false" customHeight="false" outlineLevel="0" collapsed="false">
      <c r="A104" s="32"/>
      <c r="B104" s="29"/>
      <c r="C104" s="29"/>
      <c r="D104" s="28" t="str">
        <f aca="false">IF($C104="","",IFERROR(INDEX(المنتجات!$C$5:$C$24,MATCH($C104,المنتجات!$A$5:$A$24,0)),"كود غير موجود"))</f>
        <v/>
      </c>
      <c r="E104" s="24"/>
      <c r="F104" s="27" t="str">
        <f aca="false">IF($C104="","",N(E104)*IFERROR(INDEX(المنتجات!$G$5:$G$24,MATCH($C104,المنتجات!$A$5:$A$24,0)),0))</f>
        <v/>
      </c>
      <c r="G104" s="24"/>
      <c r="H104" s="27" t="str">
        <f aca="false">IF(OR($C104="",G104=""),"",G104-F104)</f>
        <v/>
      </c>
      <c r="I104" s="32"/>
      <c r="J104" s="29"/>
      <c r="K104" s="29"/>
    </row>
    <row r="105" customFormat="false" ht="15" hidden="false" customHeight="false" outlineLevel="0" collapsed="false">
      <c r="A105" s="32"/>
      <c r="B105" s="29"/>
      <c r="C105" s="29"/>
      <c r="D105" s="28" t="str">
        <f aca="false">IF($C105="","",IFERROR(INDEX(المنتجات!$C$5:$C$24,MATCH($C105,المنتجات!$A$5:$A$24,0)),"كود غير موجود"))</f>
        <v/>
      </c>
      <c r="E105" s="24"/>
      <c r="F105" s="27" t="str">
        <f aca="false">IF($C105="","",N(E105)*IFERROR(INDEX(المنتجات!$G$5:$G$24,MATCH($C105,المنتجات!$A$5:$A$24,0)),0))</f>
        <v/>
      </c>
      <c r="G105" s="24"/>
      <c r="H105" s="27" t="str">
        <f aca="false">IF(OR($C105="",G105=""),"",G105-F105)</f>
        <v/>
      </c>
      <c r="I105" s="32"/>
      <c r="J105" s="29"/>
      <c r="K105" s="29"/>
    </row>
    <row r="106" customFormat="false" ht="15" hidden="false" customHeight="false" outlineLevel="0" collapsed="false">
      <c r="A106" s="32"/>
      <c r="B106" s="29"/>
      <c r="C106" s="29"/>
      <c r="D106" s="28" t="str">
        <f aca="false">IF($C106="","",IFERROR(INDEX(المنتجات!$C$5:$C$24,MATCH($C106,المنتجات!$A$5:$A$24,0)),"كود غير موجود"))</f>
        <v/>
      </c>
      <c r="E106" s="24"/>
      <c r="F106" s="27" t="str">
        <f aca="false">IF($C106="","",N(E106)*IFERROR(INDEX(المنتجات!$G$5:$G$24,MATCH($C106,المنتجات!$A$5:$A$24,0)),0))</f>
        <v/>
      </c>
      <c r="G106" s="24"/>
      <c r="H106" s="27" t="str">
        <f aca="false">IF(OR($C106="",G106=""),"",G106-F106)</f>
        <v/>
      </c>
      <c r="I106" s="32"/>
      <c r="J106" s="29"/>
      <c r="K106" s="29"/>
    </row>
    <row r="107" customFormat="false" ht="15" hidden="false" customHeight="false" outlineLevel="0" collapsed="false">
      <c r="A107" s="32"/>
      <c r="B107" s="29"/>
      <c r="C107" s="29"/>
      <c r="D107" s="28" t="str">
        <f aca="false">IF($C107="","",IFERROR(INDEX(المنتجات!$C$5:$C$24,MATCH($C107,المنتجات!$A$5:$A$24,0)),"كود غير موجود"))</f>
        <v/>
      </c>
      <c r="E107" s="24"/>
      <c r="F107" s="27" t="str">
        <f aca="false">IF($C107="","",N(E107)*IFERROR(INDEX(المنتجات!$G$5:$G$24,MATCH($C107,المنتجات!$A$5:$A$24,0)),0))</f>
        <v/>
      </c>
      <c r="G107" s="24"/>
      <c r="H107" s="27" t="str">
        <f aca="false">IF(OR($C107="",G107=""),"",G107-F107)</f>
        <v/>
      </c>
      <c r="I107" s="32"/>
      <c r="J107" s="29"/>
      <c r="K107" s="29"/>
    </row>
    <row r="108" customFormat="false" ht="15" hidden="false" customHeight="false" outlineLevel="0" collapsed="false">
      <c r="A108" s="32"/>
      <c r="B108" s="29"/>
      <c r="C108" s="29"/>
      <c r="D108" s="28" t="str">
        <f aca="false">IF($C108="","",IFERROR(INDEX(المنتجات!$C$5:$C$24,MATCH($C108,المنتجات!$A$5:$A$24,0)),"كود غير موجود"))</f>
        <v/>
      </c>
      <c r="E108" s="24"/>
      <c r="F108" s="27" t="str">
        <f aca="false">IF($C108="","",N(E108)*IFERROR(INDEX(المنتجات!$G$5:$G$24,MATCH($C108,المنتجات!$A$5:$A$24,0)),0))</f>
        <v/>
      </c>
      <c r="G108" s="24"/>
      <c r="H108" s="27" t="str">
        <f aca="false">IF(OR($C108="",G108=""),"",G108-F108)</f>
        <v/>
      </c>
      <c r="I108" s="32"/>
      <c r="J108" s="29"/>
      <c r="K108" s="29"/>
    </row>
    <row r="109" customFormat="false" ht="15" hidden="false" customHeight="false" outlineLevel="0" collapsed="false">
      <c r="A109" s="32"/>
      <c r="B109" s="29"/>
      <c r="C109" s="29"/>
      <c r="D109" s="28" t="str">
        <f aca="false">IF($C109="","",IFERROR(INDEX(المنتجات!$C$5:$C$24,MATCH($C109,المنتجات!$A$5:$A$24,0)),"كود غير موجود"))</f>
        <v/>
      </c>
      <c r="E109" s="24"/>
      <c r="F109" s="27" t="str">
        <f aca="false">IF($C109="","",N(E109)*IFERROR(INDEX(المنتجات!$G$5:$G$24,MATCH($C109,المنتجات!$A$5:$A$24,0)),0))</f>
        <v/>
      </c>
      <c r="G109" s="24"/>
      <c r="H109" s="27" t="str">
        <f aca="false">IF(OR($C109="",G109=""),"",G109-F109)</f>
        <v/>
      </c>
      <c r="I109" s="32"/>
      <c r="J109" s="29"/>
      <c r="K109" s="29"/>
    </row>
    <row r="110" customFormat="false" ht="15" hidden="false" customHeight="false" outlineLevel="0" collapsed="false">
      <c r="A110" s="32"/>
      <c r="B110" s="29"/>
      <c r="C110" s="29"/>
      <c r="D110" s="28" t="str">
        <f aca="false">IF($C110="","",IFERROR(INDEX(المنتجات!$C$5:$C$24,MATCH($C110,المنتجات!$A$5:$A$24,0)),"كود غير موجود"))</f>
        <v/>
      </c>
      <c r="E110" s="24"/>
      <c r="F110" s="27" t="str">
        <f aca="false">IF($C110="","",N(E110)*IFERROR(INDEX(المنتجات!$G$5:$G$24,MATCH($C110,المنتجات!$A$5:$A$24,0)),0))</f>
        <v/>
      </c>
      <c r="G110" s="24"/>
      <c r="H110" s="27" t="str">
        <f aca="false">IF(OR($C110="",G110=""),"",G110-F110)</f>
        <v/>
      </c>
      <c r="I110" s="32"/>
      <c r="J110" s="29"/>
      <c r="K110" s="29"/>
    </row>
    <row r="111" customFormat="false" ht="15" hidden="false" customHeight="false" outlineLevel="0" collapsed="false">
      <c r="A111" s="32"/>
      <c r="B111" s="29"/>
      <c r="C111" s="29"/>
      <c r="D111" s="28" t="str">
        <f aca="false">IF($C111="","",IFERROR(INDEX(المنتجات!$C$5:$C$24,MATCH($C111,المنتجات!$A$5:$A$24,0)),"كود غير موجود"))</f>
        <v/>
      </c>
      <c r="E111" s="24"/>
      <c r="F111" s="27" t="str">
        <f aca="false">IF($C111="","",N(E111)*IFERROR(INDEX(المنتجات!$G$5:$G$24,MATCH($C111,المنتجات!$A$5:$A$24,0)),0))</f>
        <v/>
      </c>
      <c r="G111" s="24"/>
      <c r="H111" s="27" t="str">
        <f aca="false">IF(OR($C111="",G111=""),"",G111-F111)</f>
        <v/>
      </c>
      <c r="I111" s="32"/>
      <c r="J111" s="29"/>
      <c r="K111" s="29"/>
    </row>
    <row r="112" customFormat="false" ht="15" hidden="false" customHeight="false" outlineLevel="0" collapsed="false">
      <c r="A112" s="32"/>
      <c r="B112" s="29"/>
      <c r="C112" s="29"/>
      <c r="D112" s="28" t="str">
        <f aca="false">IF($C112="","",IFERROR(INDEX(المنتجات!$C$5:$C$24,MATCH($C112,المنتجات!$A$5:$A$24,0)),"كود غير موجود"))</f>
        <v/>
      </c>
      <c r="E112" s="24"/>
      <c r="F112" s="27" t="str">
        <f aca="false">IF($C112="","",N(E112)*IFERROR(INDEX(المنتجات!$G$5:$G$24,MATCH($C112,المنتجات!$A$5:$A$24,0)),0))</f>
        <v/>
      </c>
      <c r="G112" s="24"/>
      <c r="H112" s="27" t="str">
        <f aca="false">IF(OR($C112="",G112=""),"",G112-F112)</f>
        <v/>
      </c>
      <c r="I112" s="32"/>
      <c r="J112" s="29"/>
      <c r="K112" s="29"/>
    </row>
    <row r="113" customFormat="false" ht="15" hidden="false" customHeight="false" outlineLevel="0" collapsed="false">
      <c r="A113" s="32"/>
      <c r="B113" s="29"/>
      <c r="C113" s="29"/>
      <c r="D113" s="28" t="str">
        <f aca="false">IF($C113="","",IFERROR(INDEX(المنتجات!$C$5:$C$24,MATCH($C113,المنتجات!$A$5:$A$24,0)),"كود غير موجود"))</f>
        <v/>
      </c>
      <c r="E113" s="24"/>
      <c r="F113" s="27" t="str">
        <f aca="false">IF($C113="","",N(E113)*IFERROR(INDEX(المنتجات!$G$5:$G$24,MATCH($C113,المنتجات!$A$5:$A$24,0)),0))</f>
        <v/>
      </c>
      <c r="G113" s="24"/>
      <c r="H113" s="27" t="str">
        <f aca="false">IF(OR($C113="",G113=""),"",G113-F113)</f>
        <v/>
      </c>
      <c r="I113" s="32"/>
      <c r="J113" s="29"/>
      <c r="K113" s="29"/>
    </row>
    <row r="114" customFormat="false" ht="15" hidden="false" customHeight="false" outlineLevel="0" collapsed="false">
      <c r="A114" s="32"/>
      <c r="B114" s="29"/>
      <c r="C114" s="29"/>
      <c r="D114" s="28" t="str">
        <f aca="false">IF($C114="","",IFERROR(INDEX(المنتجات!$C$5:$C$24,MATCH($C114,المنتجات!$A$5:$A$24,0)),"كود غير موجود"))</f>
        <v/>
      </c>
      <c r="E114" s="24"/>
      <c r="F114" s="27" t="str">
        <f aca="false">IF($C114="","",N(E114)*IFERROR(INDEX(المنتجات!$G$5:$G$24,MATCH($C114,المنتجات!$A$5:$A$24,0)),0))</f>
        <v/>
      </c>
      <c r="G114" s="24"/>
      <c r="H114" s="27" t="str">
        <f aca="false">IF(OR($C114="",G114=""),"",G114-F114)</f>
        <v/>
      </c>
      <c r="I114" s="32"/>
      <c r="J114" s="29"/>
      <c r="K114" s="29"/>
    </row>
    <row r="115" customFormat="false" ht="15" hidden="false" customHeight="false" outlineLevel="0" collapsed="false">
      <c r="A115" s="32"/>
      <c r="B115" s="29"/>
      <c r="C115" s="29"/>
      <c r="D115" s="28" t="str">
        <f aca="false">IF($C115="","",IFERROR(INDEX(المنتجات!$C$5:$C$24,MATCH($C115,المنتجات!$A$5:$A$24,0)),"كود غير موجود"))</f>
        <v/>
      </c>
      <c r="E115" s="24"/>
      <c r="F115" s="27" t="str">
        <f aca="false">IF($C115="","",N(E115)*IFERROR(INDEX(المنتجات!$G$5:$G$24,MATCH($C115,المنتجات!$A$5:$A$24,0)),0))</f>
        <v/>
      </c>
      <c r="G115" s="24"/>
      <c r="H115" s="27" t="str">
        <f aca="false">IF(OR($C115="",G115=""),"",G115-F115)</f>
        <v/>
      </c>
      <c r="I115" s="32"/>
      <c r="J115" s="29"/>
      <c r="K115" s="29"/>
    </row>
    <row r="116" customFormat="false" ht="15" hidden="false" customHeight="false" outlineLevel="0" collapsed="false">
      <c r="A116" s="32"/>
      <c r="B116" s="29"/>
      <c r="C116" s="29"/>
      <c r="D116" s="28" t="str">
        <f aca="false">IF($C116="","",IFERROR(INDEX(المنتجات!$C$5:$C$24,MATCH($C116,المنتجات!$A$5:$A$24,0)),"كود غير موجود"))</f>
        <v/>
      </c>
      <c r="E116" s="24"/>
      <c r="F116" s="27" t="str">
        <f aca="false">IF($C116="","",N(E116)*IFERROR(INDEX(المنتجات!$G$5:$G$24,MATCH($C116,المنتجات!$A$5:$A$24,0)),0))</f>
        <v/>
      </c>
      <c r="G116" s="24"/>
      <c r="H116" s="27" t="str">
        <f aca="false">IF(OR($C116="",G116=""),"",G116-F116)</f>
        <v/>
      </c>
      <c r="I116" s="32"/>
      <c r="J116" s="29"/>
      <c r="K116" s="29"/>
    </row>
    <row r="117" customFormat="false" ht="15" hidden="false" customHeight="false" outlineLevel="0" collapsed="false">
      <c r="A117" s="32"/>
      <c r="B117" s="29"/>
      <c r="C117" s="29"/>
      <c r="D117" s="28" t="str">
        <f aca="false">IF($C117="","",IFERROR(INDEX(المنتجات!$C$5:$C$24,MATCH($C117,المنتجات!$A$5:$A$24,0)),"كود غير موجود"))</f>
        <v/>
      </c>
      <c r="E117" s="24"/>
      <c r="F117" s="27" t="str">
        <f aca="false">IF($C117="","",N(E117)*IFERROR(INDEX(المنتجات!$G$5:$G$24,MATCH($C117,المنتجات!$A$5:$A$24,0)),0))</f>
        <v/>
      </c>
      <c r="G117" s="24"/>
      <c r="H117" s="27" t="str">
        <f aca="false">IF(OR($C117="",G117=""),"",G117-F117)</f>
        <v/>
      </c>
      <c r="I117" s="32"/>
      <c r="J117" s="29"/>
      <c r="K117" s="29"/>
    </row>
    <row r="118" customFormat="false" ht="15" hidden="false" customHeight="false" outlineLevel="0" collapsed="false">
      <c r="A118" s="32"/>
      <c r="B118" s="29"/>
      <c r="C118" s="29"/>
      <c r="D118" s="28" t="str">
        <f aca="false">IF($C118="","",IFERROR(INDEX(المنتجات!$C$5:$C$24,MATCH($C118,المنتجات!$A$5:$A$24,0)),"كود غير موجود"))</f>
        <v/>
      </c>
      <c r="E118" s="24"/>
      <c r="F118" s="27" t="str">
        <f aca="false">IF($C118="","",N(E118)*IFERROR(INDEX(المنتجات!$G$5:$G$24,MATCH($C118,المنتجات!$A$5:$A$24,0)),0))</f>
        <v/>
      </c>
      <c r="G118" s="24"/>
      <c r="H118" s="27" t="str">
        <f aca="false">IF(OR($C118="",G118=""),"",G118-F118)</f>
        <v/>
      </c>
      <c r="I118" s="32"/>
      <c r="J118" s="29"/>
      <c r="K118" s="29"/>
    </row>
    <row r="119" customFormat="false" ht="15" hidden="false" customHeight="false" outlineLevel="0" collapsed="false">
      <c r="A119" s="32"/>
      <c r="B119" s="29"/>
      <c r="C119" s="29"/>
      <c r="D119" s="28" t="str">
        <f aca="false">IF($C119="","",IFERROR(INDEX(المنتجات!$C$5:$C$24,MATCH($C119,المنتجات!$A$5:$A$24,0)),"كود غير موجود"))</f>
        <v/>
      </c>
      <c r="E119" s="24"/>
      <c r="F119" s="27" t="str">
        <f aca="false">IF($C119="","",N(E119)*IFERROR(INDEX(المنتجات!$G$5:$G$24,MATCH($C119,المنتجات!$A$5:$A$24,0)),0))</f>
        <v/>
      </c>
      <c r="G119" s="24"/>
      <c r="H119" s="27" t="str">
        <f aca="false">IF(OR($C119="",G119=""),"",G119-F119)</f>
        <v/>
      </c>
      <c r="I119" s="32"/>
      <c r="J119" s="29"/>
      <c r="K119" s="29"/>
    </row>
    <row r="120" customFormat="false" ht="15" hidden="false" customHeight="false" outlineLevel="0" collapsed="false">
      <c r="A120" s="32"/>
      <c r="B120" s="29"/>
      <c r="C120" s="29"/>
      <c r="D120" s="28" t="str">
        <f aca="false">IF($C120="","",IFERROR(INDEX(المنتجات!$C$5:$C$24,MATCH($C120,المنتجات!$A$5:$A$24,0)),"كود غير موجود"))</f>
        <v/>
      </c>
      <c r="E120" s="24"/>
      <c r="F120" s="27" t="str">
        <f aca="false">IF($C120="","",N(E120)*IFERROR(INDEX(المنتجات!$G$5:$G$24,MATCH($C120,المنتجات!$A$5:$A$24,0)),0))</f>
        <v/>
      </c>
      <c r="G120" s="24"/>
      <c r="H120" s="27" t="str">
        <f aca="false">IF(OR($C120="",G120=""),"",G120-F120)</f>
        <v/>
      </c>
      <c r="I120" s="32"/>
      <c r="J120" s="29"/>
      <c r="K120" s="29"/>
    </row>
    <row r="121" customFormat="false" ht="15" hidden="false" customHeight="false" outlineLevel="0" collapsed="false">
      <c r="A121" s="32"/>
      <c r="B121" s="29"/>
      <c r="C121" s="29"/>
      <c r="D121" s="28" t="str">
        <f aca="false">IF($C121="","",IFERROR(INDEX(المنتجات!$C$5:$C$24,MATCH($C121,المنتجات!$A$5:$A$24,0)),"كود غير موجود"))</f>
        <v/>
      </c>
      <c r="E121" s="24"/>
      <c r="F121" s="27" t="str">
        <f aca="false">IF($C121="","",N(E121)*IFERROR(INDEX(المنتجات!$G$5:$G$24,MATCH($C121,المنتجات!$A$5:$A$24,0)),0))</f>
        <v/>
      </c>
      <c r="G121" s="24"/>
      <c r="H121" s="27" t="str">
        <f aca="false">IF(OR($C121="",G121=""),"",G121-F121)</f>
        <v/>
      </c>
      <c r="I121" s="32"/>
      <c r="J121" s="29"/>
      <c r="K121" s="29"/>
    </row>
    <row r="122" customFormat="false" ht="15" hidden="false" customHeight="false" outlineLevel="0" collapsed="false">
      <c r="A122" s="32"/>
      <c r="B122" s="29"/>
      <c r="C122" s="29"/>
      <c r="D122" s="28" t="str">
        <f aca="false">IF($C122="","",IFERROR(INDEX(المنتجات!$C$5:$C$24,MATCH($C122,المنتجات!$A$5:$A$24,0)),"كود غير موجود"))</f>
        <v/>
      </c>
      <c r="E122" s="24"/>
      <c r="F122" s="27" t="str">
        <f aca="false">IF($C122="","",N(E122)*IFERROR(INDEX(المنتجات!$G$5:$G$24,MATCH($C122,المنتجات!$A$5:$A$24,0)),0))</f>
        <v/>
      </c>
      <c r="G122" s="24"/>
      <c r="H122" s="27" t="str">
        <f aca="false">IF(OR($C122="",G122=""),"",G122-F122)</f>
        <v/>
      </c>
      <c r="I122" s="32"/>
      <c r="J122" s="29"/>
      <c r="K122" s="29"/>
    </row>
    <row r="123" customFormat="false" ht="15" hidden="false" customHeight="false" outlineLevel="0" collapsed="false">
      <c r="A123" s="32"/>
      <c r="B123" s="29"/>
      <c r="C123" s="29"/>
      <c r="D123" s="28" t="str">
        <f aca="false">IF($C123="","",IFERROR(INDEX(المنتجات!$C$5:$C$24,MATCH($C123,المنتجات!$A$5:$A$24,0)),"كود غير موجود"))</f>
        <v/>
      </c>
      <c r="E123" s="24"/>
      <c r="F123" s="27" t="str">
        <f aca="false">IF($C123="","",N(E123)*IFERROR(INDEX(المنتجات!$G$5:$G$24,MATCH($C123,المنتجات!$A$5:$A$24,0)),0))</f>
        <v/>
      </c>
      <c r="G123" s="24"/>
      <c r="H123" s="27" t="str">
        <f aca="false">IF(OR($C123="",G123=""),"",G123-F123)</f>
        <v/>
      </c>
      <c r="I123" s="32"/>
      <c r="J123" s="29"/>
      <c r="K123" s="29"/>
    </row>
    <row r="124" customFormat="false" ht="15" hidden="false" customHeight="false" outlineLevel="0" collapsed="false">
      <c r="A124" s="32"/>
      <c r="B124" s="29"/>
      <c r="C124" s="29"/>
      <c r="D124" s="28" t="str">
        <f aca="false">IF($C124="","",IFERROR(INDEX(المنتجات!$C$5:$C$24,MATCH($C124,المنتجات!$A$5:$A$24,0)),"كود غير موجود"))</f>
        <v/>
      </c>
      <c r="E124" s="24"/>
      <c r="F124" s="27" t="str">
        <f aca="false">IF($C124="","",N(E124)*IFERROR(INDEX(المنتجات!$G$5:$G$24,MATCH($C124,المنتجات!$A$5:$A$24,0)),0))</f>
        <v/>
      </c>
      <c r="G124" s="24"/>
      <c r="H124" s="27" t="str">
        <f aca="false">IF(OR($C124="",G124=""),"",G124-F124)</f>
        <v/>
      </c>
      <c r="I124" s="32"/>
      <c r="J124" s="29"/>
      <c r="K124" s="29"/>
    </row>
    <row r="125" customFormat="false" ht="15" hidden="false" customHeight="false" outlineLevel="0" collapsed="false">
      <c r="A125" s="32"/>
      <c r="B125" s="29"/>
      <c r="C125" s="29"/>
      <c r="D125" s="28" t="str">
        <f aca="false">IF($C125="","",IFERROR(INDEX(المنتجات!$C$5:$C$24,MATCH($C125,المنتجات!$A$5:$A$24,0)),"كود غير موجود"))</f>
        <v/>
      </c>
      <c r="E125" s="24"/>
      <c r="F125" s="27" t="str">
        <f aca="false">IF($C125="","",N(E125)*IFERROR(INDEX(المنتجات!$G$5:$G$24,MATCH($C125,المنتجات!$A$5:$A$24,0)),0))</f>
        <v/>
      </c>
      <c r="G125" s="24"/>
      <c r="H125" s="27" t="str">
        <f aca="false">IF(OR($C125="",G125=""),"",G125-F125)</f>
        <v/>
      </c>
      <c r="I125" s="32"/>
      <c r="J125" s="29"/>
      <c r="K125" s="29"/>
    </row>
    <row r="126" customFormat="false" ht="15" hidden="false" customHeight="false" outlineLevel="0" collapsed="false">
      <c r="A126" s="32"/>
      <c r="B126" s="29"/>
      <c r="C126" s="29"/>
      <c r="D126" s="28" t="str">
        <f aca="false">IF($C126="","",IFERROR(INDEX(المنتجات!$C$5:$C$24,MATCH($C126,المنتجات!$A$5:$A$24,0)),"كود غير موجود"))</f>
        <v/>
      </c>
      <c r="E126" s="24"/>
      <c r="F126" s="27" t="str">
        <f aca="false">IF($C126="","",N(E126)*IFERROR(INDEX(المنتجات!$G$5:$G$24,MATCH($C126,المنتجات!$A$5:$A$24,0)),0))</f>
        <v/>
      </c>
      <c r="G126" s="24"/>
      <c r="H126" s="27" t="str">
        <f aca="false">IF(OR($C126="",G126=""),"",G126-F126)</f>
        <v/>
      </c>
      <c r="I126" s="32"/>
      <c r="J126" s="29"/>
      <c r="K126" s="29"/>
    </row>
    <row r="127" customFormat="false" ht="15" hidden="false" customHeight="false" outlineLevel="0" collapsed="false">
      <c r="A127" s="32"/>
      <c r="B127" s="29"/>
      <c r="C127" s="29"/>
      <c r="D127" s="28" t="str">
        <f aca="false">IF($C127="","",IFERROR(INDEX(المنتجات!$C$5:$C$24,MATCH($C127,المنتجات!$A$5:$A$24,0)),"كود غير موجود"))</f>
        <v/>
      </c>
      <c r="E127" s="24"/>
      <c r="F127" s="27" t="str">
        <f aca="false">IF($C127="","",N(E127)*IFERROR(INDEX(المنتجات!$G$5:$G$24,MATCH($C127,المنتجات!$A$5:$A$24,0)),0))</f>
        <v/>
      </c>
      <c r="G127" s="24"/>
      <c r="H127" s="27" t="str">
        <f aca="false">IF(OR($C127="",G127=""),"",G127-F127)</f>
        <v/>
      </c>
      <c r="I127" s="32"/>
      <c r="J127" s="29"/>
      <c r="K127" s="29"/>
    </row>
    <row r="128" customFormat="false" ht="15" hidden="false" customHeight="false" outlineLevel="0" collapsed="false">
      <c r="A128" s="32"/>
      <c r="B128" s="29"/>
      <c r="C128" s="29"/>
      <c r="D128" s="28" t="str">
        <f aca="false">IF($C128="","",IFERROR(INDEX(المنتجات!$C$5:$C$24,MATCH($C128,المنتجات!$A$5:$A$24,0)),"كود غير موجود"))</f>
        <v/>
      </c>
      <c r="E128" s="24"/>
      <c r="F128" s="27" t="str">
        <f aca="false">IF($C128="","",N(E128)*IFERROR(INDEX(المنتجات!$G$5:$G$24,MATCH($C128,المنتجات!$A$5:$A$24,0)),0))</f>
        <v/>
      </c>
      <c r="G128" s="24"/>
      <c r="H128" s="27" t="str">
        <f aca="false">IF(OR($C128="",G128=""),"",G128-F128)</f>
        <v/>
      </c>
      <c r="I128" s="32"/>
      <c r="J128" s="29"/>
      <c r="K128" s="29"/>
    </row>
    <row r="129" customFormat="false" ht="15" hidden="false" customHeight="false" outlineLevel="0" collapsed="false">
      <c r="A129" s="32"/>
      <c r="B129" s="29"/>
      <c r="C129" s="29"/>
      <c r="D129" s="28" t="str">
        <f aca="false">IF($C129="","",IFERROR(INDEX(المنتجات!$C$5:$C$24,MATCH($C129,المنتجات!$A$5:$A$24,0)),"كود غير موجود"))</f>
        <v/>
      </c>
      <c r="E129" s="24"/>
      <c r="F129" s="27" t="str">
        <f aca="false">IF($C129="","",N(E129)*IFERROR(INDEX(المنتجات!$G$5:$G$24,MATCH($C129,المنتجات!$A$5:$A$24,0)),0))</f>
        <v/>
      </c>
      <c r="G129" s="24"/>
      <c r="H129" s="27" t="str">
        <f aca="false">IF(OR($C129="",G129=""),"",G129-F129)</f>
        <v/>
      </c>
      <c r="I129" s="32"/>
      <c r="J129" s="29"/>
      <c r="K129" s="29"/>
    </row>
    <row r="130" customFormat="false" ht="15" hidden="false" customHeight="false" outlineLevel="0" collapsed="false">
      <c r="A130" s="32"/>
      <c r="B130" s="29"/>
      <c r="C130" s="29"/>
      <c r="D130" s="28" t="str">
        <f aca="false">IF($C130="","",IFERROR(INDEX(المنتجات!$C$5:$C$24,MATCH($C130,المنتجات!$A$5:$A$24,0)),"كود غير موجود"))</f>
        <v/>
      </c>
      <c r="E130" s="24"/>
      <c r="F130" s="27" t="str">
        <f aca="false">IF($C130="","",N(E130)*IFERROR(INDEX(المنتجات!$G$5:$G$24,MATCH($C130,المنتجات!$A$5:$A$24,0)),0))</f>
        <v/>
      </c>
      <c r="G130" s="24"/>
      <c r="H130" s="27" t="str">
        <f aca="false">IF(OR($C130="",G130=""),"",G130-F130)</f>
        <v/>
      </c>
      <c r="I130" s="32"/>
      <c r="J130" s="29"/>
      <c r="K130" s="29"/>
    </row>
    <row r="131" customFormat="false" ht="15" hidden="false" customHeight="false" outlineLevel="0" collapsed="false">
      <c r="A131" s="32"/>
      <c r="B131" s="29"/>
      <c r="C131" s="29"/>
      <c r="D131" s="28" t="str">
        <f aca="false">IF($C131="","",IFERROR(INDEX(المنتجات!$C$5:$C$24,MATCH($C131,المنتجات!$A$5:$A$24,0)),"كود غير موجود"))</f>
        <v/>
      </c>
      <c r="E131" s="24"/>
      <c r="F131" s="27" t="str">
        <f aca="false">IF($C131="","",N(E131)*IFERROR(INDEX(المنتجات!$G$5:$G$24,MATCH($C131,المنتجات!$A$5:$A$24,0)),0))</f>
        <v/>
      </c>
      <c r="G131" s="24"/>
      <c r="H131" s="27" t="str">
        <f aca="false">IF(OR($C131="",G131=""),"",G131-F131)</f>
        <v/>
      </c>
      <c r="I131" s="32"/>
      <c r="J131" s="29"/>
      <c r="K131" s="29"/>
    </row>
    <row r="132" customFormat="false" ht="15" hidden="false" customHeight="false" outlineLevel="0" collapsed="false">
      <c r="A132" s="32"/>
      <c r="B132" s="29"/>
      <c r="C132" s="29"/>
      <c r="D132" s="28" t="str">
        <f aca="false">IF($C132="","",IFERROR(INDEX(المنتجات!$C$5:$C$24,MATCH($C132,المنتجات!$A$5:$A$24,0)),"كود غير موجود"))</f>
        <v/>
      </c>
      <c r="E132" s="24"/>
      <c r="F132" s="27" t="str">
        <f aca="false">IF($C132="","",N(E132)*IFERROR(INDEX(المنتجات!$G$5:$G$24,MATCH($C132,المنتجات!$A$5:$A$24,0)),0))</f>
        <v/>
      </c>
      <c r="G132" s="24"/>
      <c r="H132" s="27" t="str">
        <f aca="false">IF(OR($C132="",G132=""),"",G132-F132)</f>
        <v/>
      </c>
      <c r="I132" s="32"/>
      <c r="J132" s="29"/>
      <c r="K132" s="29"/>
    </row>
    <row r="133" customFormat="false" ht="15" hidden="false" customHeight="false" outlineLevel="0" collapsed="false">
      <c r="A133" s="32"/>
      <c r="B133" s="29"/>
      <c r="C133" s="29"/>
      <c r="D133" s="28" t="str">
        <f aca="false">IF($C133="","",IFERROR(INDEX(المنتجات!$C$5:$C$24,MATCH($C133,المنتجات!$A$5:$A$24,0)),"كود غير موجود"))</f>
        <v/>
      </c>
      <c r="E133" s="24"/>
      <c r="F133" s="27" t="str">
        <f aca="false">IF($C133="","",N(E133)*IFERROR(INDEX(المنتجات!$G$5:$G$24,MATCH($C133,المنتجات!$A$5:$A$24,0)),0))</f>
        <v/>
      </c>
      <c r="G133" s="24"/>
      <c r="H133" s="27" t="str">
        <f aca="false">IF(OR($C133="",G133=""),"",G133-F133)</f>
        <v/>
      </c>
      <c r="I133" s="32"/>
      <c r="J133" s="29"/>
      <c r="K133" s="29"/>
    </row>
    <row r="134" customFormat="false" ht="15" hidden="false" customHeight="false" outlineLevel="0" collapsed="false">
      <c r="A134" s="32"/>
      <c r="B134" s="29"/>
      <c r="C134" s="29"/>
      <c r="D134" s="28" t="str">
        <f aca="false">IF($C134="","",IFERROR(INDEX(المنتجات!$C$5:$C$24,MATCH($C134,المنتجات!$A$5:$A$24,0)),"كود غير موجود"))</f>
        <v/>
      </c>
      <c r="E134" s="24"/>
      <c r="F134" s="27" t="str">
        <f aca="false">IF($C134="","",N(E134)*IFERROR(INDEX(المنتجات!$G$5:$G$24,MATCH($C134,المنتجات!$A$5:$A$24,0)),0))</f>
        <v/>
      </c>
      <c r="G134" s="24"/>
      <c r="H134" s="27" t="str">
        <f aca="false">IF(OR($C134="",G134=""),"",G134-F134)</f>
        <v/>
      </c>
      <c r="I134" s="32"/>
      <c r="J134" s="29"/>
      <c r="K134" s="29"/>
    </row>
    <row r="135" customFormat="false" ht="15" hidden="false" customHeight="false" outlineLevel="0" collapsed="false">
      <c r="A135" s="32"/>
      <c r="B135" s="29"/>
      <c r="C135" s="29"/>
      <c r="D135" s="28" t="str">
        <f aca="false">IF($C135="","",IFERROR(INDEX(المنتجات!$C$5:$C$24,MATCH($C135,المنتجات!$A$5:$A$24,0)),"كود غير موجود"))</f>
        <v/>
      </c>
      <c r="E135" s="24"/>
      <c r="F135" s="27" t="str">
        <f aca="false">IF($C135="","",N(E135)*IFERROR(INDEX(المنتجات!$G$5:$G$24,MATCH($C135,المنتجات!$A$5:$A$24,0)),0))</f>
        <v/>
      </c>
      <c r="G135" s="24"/>
      <c r="H135" s="27" t="str">
        <f aca="false">IF(OR($C135="",G135=""),"",G135-F135)</f>
        <v/>
      </c>
      <c r="I135" s="32"/>
      <c r="J135" s="29"/>
      <c r="K135" s="29"/>
    </row>
    <row r="136" customFormat="false" ht="15" hidden="false" customHeight="false" outlineLevel="0" collapsed="false">
      <c r="A136" s="32"/>
      <c r="B136" s="29"/>
      <c r="C136" s="29"/>
      <c r="D136" s="28" t="str">
        <f aca="false">IF($C136="","",IFERROR(INDEX(المنتجات!$C$5:$C$24,MATCH($C136,المنتجات!$A$5:$A$24,0)),"كود غير موجود"))</f>
        <v/>
      </c>
      <c r="E136" s="24"/>
      <c r="F136" s="27" t="str">
        <f aca="false">IF($C136="","",N(E136)*IFERROR(INDEX(المنتجات!$G$5:$G$24,MATCH($C136,المنتجات!$A$5:$A$24,0)),0))</f>
        <v/>
      </c>
      <c r="G136" s="24"/>
      <c r="H136" s="27" t="str">
        <f aca="false">IF(OR($C136="",G136=""),"",G136-F136)</f>
        <v/>
      </c>
      <c r="I136" s="32"/>
      <c r="J136" s="29"/>
      <c r="K136" s="29"/>
    </row>
    <row r="137" customFormat="false" ht="15" hidden="false" customHeight="false" outlineLevel="0" collapsed="false">
      <c r="A137" s="32"/>
      <c r="B137" s="29"/>
      <c r="C137" s="29"/>
      <c r="D137" s="28" t="str">
        <f aca="false">IF($C137="","",IFERROR(INDEX(المنتجات!$C$5:$C$24,MATCH($C137,المنتجات!$A$5:$A$24,0)),"كود غير موجود"))</f>
        <v/>
      </c>
      <c r="E137" s="24"/>
      <c r="F137" s="27" t="str">
        <f aca="false">IF($C137="","",N(E137)*IFERROR(INDEX(المنتجات!$G$5:$G$24,MATCH($C137,المنتجات!$A$5:$A$24,0)),0))</f>
        <v/>
      </c>
      <c r="G137" s="24"/>
      <c r="H137" s="27" t="str">
        <f aca="false">IF(OR($C137="",G137=""),"",G137-F137)</f>
        <v/>
      </c>
      <c r="I137" s="32"/>
      <c r="J137" s="29"/>
      <c r="K137" s="29"/>
    </row>
    <row r="138" customFormat="false" ht="15" hidden="false" customHeight="false" outlineLevel="0" collapsed="false">
      <c r="A138" s="32"/>
      <c r="B138" s="29"/>
      <c r="C138" s="29"/>
      <c r="D138" s="28" t="str">
        <f aca="false">IF($C138="","",IFERROR(INDEX(المنتجات!$C$5:$C$24,MATCH($C138,المنتجات!$A$5:$A$24,0)),"كود غير موجود"))</f>
        <v/>
      </c>
      <c r="E138" s="24"/>
      <c r="F138" s="27" t="str">
        <f aca="false">IF($C138="","",N(E138)*IFERROR(INDEX(المنتجات!$G$5:$G$24,MATCH($C138,المنتجات!$A$5:$A$24,0)),0))</f>
        <v/>
      </c>
      <c r="G138" s="24"/>
      <c r="H138" s="27" t="str">
        <f aca="false">IF(OR($C138="",G138=""),"",G138-F138)</f>
        <v/>
      </c>
      <c r="I138" s="32"/>
      <c r="J138" s="29"/>
      <c r="K138" s="29"/>
    </row>
    <row r="139" customFormat="false" ht="15" hidden="false" customHeight="false" outlineLevel="0" collapsed="false">
      <c r="A139" s="32"/>
      <c r="B139" s="29"/>
      <c r="C139" s="29"/>
      <c r="D139" s="28" t="str">
        <f aca="false">IF($C139="","",IFERROR(INDEX(المنتجات!$C$5:$C$24,MATCH($C139,المنتجات!$A$5:$A$24,0)),"كود غير موجود"))</f>
        <v/>
      </c>
      <c r="E139" s="24"/>
      <c r="F139" s="27" t="str">
        <f aca="false">IF($C139="","",N(E139)*IFERROR(INDEX(المنتجات!$G$5:$G$24,MATCH($C139,المنتجات!$A$5:$A$24,0)),0))</f>
        <v/>
      </c>
      <c r="G139" s="24"/>
      <c r="H139" s="27" t="str">
        <f aca="false">IF(OR($C139="",G139=""),"",G139-F139)</f>
        <v/>
      </c>
      <c r="I139" s="32"/>
      <c r="J139" s="29"/>
      <c r="K139" s="29"/>
    </row>
    <row r="140" customFormat="false" ht="15" hidden="false" customHeight="false" outlineLevel="0" collapsed="false">
      <c r="A140" s="32"/>
      <c r="B140" s="29"/>
      <c r="C140" s="29"/>
      <c r="D140" s="28" t="str">
        <f aca="false">IF($C140="","",IFERROR(INDEX(المنتجات!$C$5:$C$24,MATCH($C140,المنتجات!$A$5:$A$24,0)),"كود غير موجود"))</f>
        <v/>
      </c>
      <c r="E140" s="24"/>
      <c r="F140" s="27" t="str">
        <f aca="false">IF($C140="","",N(E140)*IFERROR(INDEX(المنتجات!$G$5:$G$24,MATCH($C140,المنتجات!$A$5:$A$24,0)),0))</f>
        <v/>
      </c>
      <c r="G140" s="24"/>
      <c r="H140" s="27" t="str">
        <f aca="false">IF(OR($C140="",G140=""),"",G140-F140)</f>
        <v/>
      </c>
      <c r="I140" s="32"/>
      <c r="J140" s="29"/>
      <c r="K140" s="29"/>
    </row>
    <row r="141" customFormat="false" ht="15" hidden="false" customHeight="false" outlineLevel="0" collapsed="false">
      <c r="A141" s="32"/>
      <c r="B141" s="29"/>
      <c r="C141" s="29"/>
      <c r="D141" s="28" t="str">
        <f aca="false">IF($C141="","",IFERROR(INDEX(المنتجات!$C$5:$C$24,MATCH($C141,المنتجات!$A$5:$A$24,0)),"كود غير موجود"))</f>
        <v/>
      </c>
      <c r="E141" s="24"/>
      <c r="F141" s="27" t="str">
        <f aca="false">IF($C141="","",N(E141)*IFERROR(INDEX(المنتجات!$G$5:$G$24,MATCH($C141,المنتجات!$A$5:$A$24,0)),0))</f>
        <v/>
      </c>
      <c r="G141" s="24"/>
      <c r="H141" s="27" t="str">
        <f aca="false">IF(OR($C141="",G141=""),"",G141-F141)</f>
        <v/>
      </c>
      <c r="I141" s="32"/>
      <c r="J141" s="29"/>
      <c r="K141" s="29"/>
    </row>
    <row r="142" customFormat="false" ht="15" hidden="false" customHeight="false" outlineLevel="0" collapsed="false">
      <c r="A142" s="32"/>
      <c r="B142" s="29"/>
      <c r="C142" s="29"/>
      <c r="D142" s="28" t="str">
        <f aca="false">IF($C142="","",IFERROR(INDEX(المنتجات!$C$5:$C$24,MATCH($C142,المنتجات!$A$5:$A$24,0)),"كود غير موجود"))</f>
        <v/>
      </c>
      <c r="E142" s="24"/>
      <c r="F142" s="27" t="str">
        <f aca="false">IF($C142="","",N(E142)*IFERROR(INDEX(المنتجات!$G$5:$G$24,MATCH($C142,المنتجات!$A$5:$A$24,0)),0))</f>
        <v/>
      </c>
      <c r="G142" s="24"/>
      <c r="H142" s="27" t="str">
        <f aca="false">IF(OR($C142="",G142=""),"",G142-F142)</f>
        <v/>
      </c>
      <c r="I142" s="32"/>
      <c r="J142" s="29"/>
      <c r="K142" s="29"/>
    </row>
    <row r="143" customFormat="false" ht="15" hidden="false" customHeight="false" outlineLevel="0" collapsed="false">
      <c r="A143" s="32"/>
      <c r="B143" s="29"/>
      <c r="C143" s="29"/>
      <c r="D143" s="28" t="str">
        <f aca="false">IF($C143="","",IFERROR(INDEX(المنتجات!$C$5:$C$24,MATCH($C143,المنتجات!$A$5:$A$24,0)),"كود غير موجود"))</f>
        <v/>
      </c>
      <c r="E143" s="24"/>
      <c r="F143" s="27" t="str">
        <f aca="false">IF($C143="","",N(E143)*IFERROR(INDEX(المنتجات!$G$5:$G$24,MATCH($C143,المنتجات!$A$5:$A$24,0)),0))</f>
        <v/>
      </c>
      <c r="G143" s="24"/>
      <c r="H143" s="27" t="str">
        <f aca="false">IF(OR($C143="",G143=""),"",G143-F143)</f>
        <v/>
      </c>
      <c r="I143" s="32"/>
      <c r="J143" s="29"/>
      <c r="K143" s="29"/>
    </row>
    <row r="144" customFormat="false" ht="15" hidden="false" customHeight="false" outlineLevel="0" collapsed="false">
      <c r="A144" s="32"/>
      <c r="B144" s="29"/>
      <c r="C144" s="29"/>
      <c r="D144" s="28" t="str">
        <f aca="false">IF($C144="","",IFERROR(INDEX(المنتجات!$C$5:$C$24,MATCH($C144,المنتجات!$A$5:$A$24,0)),"كود غير موجود"))</f>
        <v/>
      </c>
      <c r="E144" s="24"/>
      <c r="F144" s="27" t="str">
        <f aca="false">IF($C144="","",N(E144)*IFERROR(INDEX(المنتجات!$G$5:$G$24,MATCH($C144,المنتجات!$A$5:$A$24,0)),0))</f>
        <v/>
      </c>
      <c r="G144" s="24"/>
      <c r="H144" s="27" t="str">
        <f aca="false">IF(OR($C144="",G144=""),"",G144-F144)</f>
        <v/>
      </c>
      <c r="I144" s="32"/>
      <c r="J144" s="29"/>
      <c r="K144" s="29"/>
    </row>
    <row r="145" customFormat="false" ht="15" hidden="false" customHeight="false" outlineLevel="0" collapsed="false">
      <c r="A145" s="32"/>
      <c r="B145" s="29"/>
      <c r="C145" s="29"/>
      <c r="D145" s="28" t="str">
        <f aca="false">IF($C145="","",IFERROR(INDEX(المنتجات!$C$5:$C$24,MATCH($C145,المنتجات!$A$5:$A$24,0)),"كود غير موجود"))</f>
        <v/>
      </c>
      <c r="E145" s="24"/>
      <c r="F145" s="27" t="str">
        <f aca="false">IF($C145="","",N(E145)*IFERROR(INDEX(المنتجات!$G$5:$G$24,MATCH($C145,المنتجات!$A$5:$A$24,0)),0))</f>
        <v/>
      </c>
      <c r="G145" s="24"/>
      <c r="H145" s="27" t="str">
        <f aca="false">IF(OR($C145="",G145=""),"",G145-F145)</f>
        <v/>
      </c>
      <c r="I145" s="32"/>
      <c r="J145" s="29"/>
      <c r="K145" s="29"/>
    </row>
    <row r="146" customFormat="false" ht="15" hidden="false" customHeight="false" outlineLevel="0" collapsed="false">
      <c r="A146" s="32"/>
      <c r="B146" s="29"/>
      <c r="C146" s="29"/>
      <c r="D146" s="28" t="str">
        <f aca="false">IF($C146="","",IFERROR(INDEX(المنتجات!$C$5:$C$24,MATCH($C146,المنتجات!$A$5:$A$24,0)),"كود غير موجود"))</f>
        <v/>
      </c>
      <c r="E146" s="24"/>
      <c r="F146" s="27" t="str">
        <f aca="false">IF($C146="","",N(E146)*IFERROR(INDEX(المنتجات!$G$5:$G$24,MATCH($C146,المنتجات!$A$5:$A$24,0)),0))</f>
        <v/>
      </c>
      <c r="G146" s="24"/>
      <c r="H146" s="27" t="str">
        <f aca="false">IF(OR($C146="",G146=""),"",G146-F146)</f>
        <v/>
      </c>
      <c r="I146" s="32"/>
      <c r="J146" s="29"/>
      <c r="K146" s="29"/>
    </row>
    <row r="147" customFormat="false" ht="15" hidden="false" customHeight="false" outlineLevel="0" collapsed="false">
      <c r="A147" s="32"/>
      <c r="B147" s="29"/>
      <c r="C147" s="29"/>
      <c r="D147" s="28" t="str">
        <f aca="false">IF($C147="","",IFERROR(INDEX(المنتجات!$C$5:$C$24,MATCH($C147,المنتجات!$A$5:$A$24,0)),"كود غير موجود"))</f>
        <v/>
      </c>
      <c r="E147" s="24"/>
      <c r="F147" s="27" t="str">
        <f aca="false">IF($C147="","",N(E147)*IFERROR(INDEX(المنتجات!$G$5:$G$24,MATCH($C147,المنتجات!$A$5:$A$24,0)),0))</f>
        <v/>
      </c>
      <c r="G147" s="24"/>
      <c r="H147" s="27" t="str">
        <f aca="false">IF(OR($C147="",G147=""),"",G147-F147)</f>
        <v/>
      </c>
      <c r="I147" s="32"/>
      <c r="J147" s="29"/>
      <c r="K147" s="29"/>
    </row>
    <row r="148" customFormat="false" ht="15" hidden="false" customHeight="false" outlineLevel="0" collapsed="false">
      <c r="A148" s="32"/>
      <c r="B148" s="29"/>
      <c r="C148" s="29"/>
      <c r="D148" s="28" t="str">
        <f aca="false">IF($C148="","",IFERROR(INDEX(المنتجات!$C$5:$C$24,MATCH($C148,المنتجات!$A$5:$A$24,0)),"كود غير موجود"))</f>
        <v/>
      </c>
      <c r="E148" s="24"/>
      <c r="F148" s="27" t="str">
        <f aca="false">IF($C148="","",N(E148)*IFERROR(INDEX(المنتجات!$G$5:$G$24,MATCH($C148,المنتجات!$A$5:$A$24,0)),0))</f>
        <v/>
      </c>
      <c r="G148" s="24"/>
      <c r="H148" s="27" t="str">
        <f aca="false">IF(OR($C148="",G148=""),"",G148-F148)</f>
        <v/>
      </c>
      <c r="I148" s="32"/>
      <c r="J148" s="29"/>
      <c r="K148" s="29"/>
    </row>
    <row r="149" customFormat="false" ht="15" hidden="false" customHeight="false" outlineLevel="0" collapsed="false">
      <c r="A149" s="32"/>
      <c r="B149" s="29"/>
      <c r="C149" s="29"/>
      <c r="D149" s="28" t="str">
        <f aca="false">IF($C149="","",IFERROR(INDEX(المنتجات!$C$5:$C$24,MATCH($C149,المنتجات!$A$5:$A$24,0)),"كود غير موجود"))</f>
        <v/>
      </c>
      <c r="E149" s="24"/>
      <c r="F149" s="27" t="str">
        <f aca="false">IF($C149="","",N(E149)*IFERROR(INDEX(المنتجات!$G$5:$G$24,MATCH($C149,المنتجات!$A$5:$A$24,0)),0))</f>
        <v/>
      </c>
      <c r="G149" s="24"/>
      <c r="H149" s="27" t="str">
        <f aca="false">IF(OR($C149="",G149=""),"",G149-F149)</f>
        <v/>
      </c>
      <c r="I149" s="32"/>
      <c r="J149" s="29"/>
      <c r="K149" s="29"/>
    </row>
    <row r="150" customFormat="false" ht="15" hidden="false" customHeight="false" outlineLevel="0" collapsed="false">
      <c r="A150" s="32"/>
      <c r="B150" s="29"/>
      <c r="C150" s="29"/>
      <c r="D150" s="28" t="str">
        <f aca="false">IF($C150="","",IFERROR(INDEX(المنتجات!$C$5:$C$24,MATCH($C150,المنتجات!$A$5:$A$24,0)),"كود غير موجود"))</f>
        <v/>
      </c>
      <c r="E150" s="24"/>
      <c r="F150" s="27" t="str">
        <f aca="false">IF($C150="","",N(E150)*IFERROR(INDEX(المنتجات!$G$5:$G$24,MATCH($C150,المنتجات!$A$5:$A$24,0)),0))</f>
        <v/>
      </c>
      <c r="G150" s="24"/>
      <c r="H150" s="27" t="str">
        <f aca="false">IF(OR($C150="",G150=""),"",G150-F150)</f>
        <v/>
      </c>
      <c r="I150" s="32"/>
      <c r="J150" s="29"/>
      <c r="K150" s="29"/>
    </row>
    <row r="151" customFormat="false" ht="15" hidden="false" customHeight="false" outlineLevel="0" collapsed="false">
      <c r="A151" s="32"/>
      <c r="B151" s="29"/>
      <c r="C151" s="29"/>
      <c r="D151" s="28" t="str">
        <f aca="false">IF($C151="","",IFERROR(INDEX(المنتجات!$C$5:$C$24,MATCH($C151,المنتجات!$A$5:$A$24,0)),"كود غير موجود"))</f>
        <v/>
      </c>
      <c r="E151" s="24"/>
      <c r="F151" s="27" t="str">
        <f aca="false">IF($C151="","",N(E151)*IFERROR(INDEX(المنتجات!$G$5:$G$24,MATCH($C151,المنتجات!$A$5:$A$24,0)),0))</f>
        <v/>
      </c>
      <c r="G151" s="24"/>
      <c r="H151" s="27" t="str">
        <f aca="false">IF(OR($C151="",G151=""),"",G151-F151)</f>
        <v/>
      </c>
      <c r="I151" s="32"/>
      <c r="J151" s="29"/>
      <c r="K151" s="29"/>
    </row>
    <row r="152" customFormat="false" ht="15" hidden="false" customHeight="false" outlineLevel="0" collapsed="false">
      <c r="A152" s="32"/>
      <c r="B152" s="29"/>
      <c r="C152" s="29"/>
      <c r="D152" s="28" t="str">
        <f aca="false">IF($C152="","",IFERROR(INDEX(المنتجات!$C$5:$C$24,MATCH($C152,المنتجات!$A$5:$A$24,0)),"كود غير موجود"))</f>
        <v/>
      </c>
      <c r="E152" s="24"/>
      <c r="F152" s="27" t="str">
        <f aca="false">IF($C152="","",N(E152)*IFERROR(INDEX(المنتجات!$G$5:$G$24,MATCH($C152,المنتجات!$A$5:$A$24,0)),0))</f>
        <v/>
      </c>
      <c r="G152" s="24"/>
      <c r="H152" s="27" t="str">
        <f aca="false">IF(OR($C152="",G152=""),"",G152-F152)</f>
        <v/>
      </c>
      <c r="I152" s="32"/>
      <c r="J152" s="29"/>
      <c r="K152" s="29"/>
    </row>
    <row r="153" customFormat="false" ht="15" hidden="false" customHeight="false" outlineLevel="0" collapsed="false">
      <c r="A153" s="32"/>
      <c r="B153" s="29"/>
      <c r="C153" s="29"/>
      <c r="D153" s="28" t="str">
        <f aca="false">IF($C153="","",IFERROR(INDEX(المنتجات!$C$5:$C$24,MATCH($C153,المنتجات!$A$5:$A$24,0)),"كود غير موجود"))</f>
        <v/>
      </c>
      <c r="E153" s="24"/>
      <c r="F153" s="27" t="str">
        <f aca="false">IF($C153="","",N(E153)*IFERROR(INDEX(المنتجات!$G$5:$G$24,MATCH($C153,المنتجات!$A$5:$A$24,0)),0))</f>
        <v/>
      </c>
      <c r="G153" s="24"/>
      <c r="H153" s="27" t="str">
        <f aca="false">IF(OR($C153="",G153=""),"",G153-F153)</f>
        <v/>
      </c>
      <c r="I153" s="32"/>
      <c r="J153" s="29"/>
      <c r="K153" s="29"/>
    </row>
    <row r="154" customFormat="false" ht="15" hidden="false" customHeight="false" outlineLevel="0" collapsed="false">
      <c r="A154" s="32"/>
      <c r="B154" s="29"/>
      <c r="C154" s="29"/>
      <c r="D154" s="28" t="str">
        <f aca="false">IF($C154="","",IFERROR(INDEX(المنتجات!$C$5:$C$24,MATCH($C154,المنتجات!$A$5:$A$24,0)),"كود غير موجود"))</f>
        <v/>
      </c>
      <c r="E154" s="24"/>
      <c r="F154" s="27" t="str">
        <f aca="false">IF($C154="","",N(E154)*IFERROR(INDEX(المنتجات!$G$5:$G$24,MATCH($C154,المنتجات!$A$5:$A$24,0)),0))</f>
        <v/>
      </c>
      <c r="G154" s="24"/>
      <c r="H154" s="27" t="str">
        <f aca="false">IF(OR($C154="",G154=""),"",G154-F154)</f>
        <v/>
      </c>
      <c r="I154" s="32"/>
      <c r="J154" s="29"/>
      <c r="K154" s="29"/>
    </row>
    <row r="155" customFormat="false" ht="15" hidden="false" customHeight="false" outlineLevel="0" collapsed="false">
      <c r="A155" s="32"/>
      <c r="B155" s="29"/>
      <c r="C155" s="29"/>
      <c r="D155" s="28" t="str">
        <f aca="false">IF($C155="","",IFERROR(INDEX(المنتجات!$C$5:$C$24,MATCH($C155,المنتجات!$A$5:$A$24,0)),"كود غير موجود"))</f>
        <v/>
      </c>
      <c r="E155" s="24"/>
      <c r="F155" s="27" t="str">
        <f aca="false">IF($C155="","",N(E155)*IFERROR(INDEX(المنتجات!$G$5:$G$24,MATCH($C155,المنتجات!$A$5:$A$24,0)),0))</f>
        <v/>
      </c>
      <c r="G155" s="24"/>
      <c r="H155" s="27" t="str">
        <f aca="false">IF(OR($C155="",G155=""),"",G155-F155)</f>
        <v/>
      </c>
      <c r="I155" s="32"/>
      <c r="J155" s="29"/>
      <c r="K155" s="29"/>
    </row>
    <row r="156" customFormat="false" ht="15" hidden="false" customHeight="false" outlineLevel="0" collapsed="false">
      <c r="A156" s="32"/>
      <c r="B156" s="29"/>
      <c r="C156" s="29"/>
      <c r="D156" s="28" t="str">
        <f aca="false">IF($C156="","",IFERROR(INDEX(المنتجات!$C$5:$C$24,MATCH($C156,المنتجات!$A$5:$A$24,0)),"كود غير موجود"))</f>
        <v/>
      </c>
      <c r="E156" s="24"/>
      <c r="F156" s="27" t="str">
        <f aca="false">IF($C156="","",N(E156)*IFERROR(INDEX(المنتجات!$G$5:$G$24,MATCH($C156,المنتجات!$A$5:$A$24,0)),0))</f>
        <v/>
      </c>
      <c r="G156" s="24"/>
      <c r="H156" s="27" t="str">
        <f aca="false">IF(OR($C156="",G156=""),"",G156-F156)</f>
        <v/>
      </c>
      <c r="I156" s="32"/>
      <c r="J156" s="29"/>
      <c r="K156" s="29"/>
    </row>
    <row r="157" customFormat="false" ht="15" hidden="false" customHeight="false" outlineLevel="0" collapsed="false">
      <c r="A157" s="32"/>
      <c r="B157" s="29"/>
      <c r="C157" s="29"/>
      <c r="D157" s="28" t="str">
        <f aca="false">IF($C157="","",IFERROR(INDEX(المنتجات!$C$5:$C$24,MATCH($C157,المنتجات!$A$5:$A$24,0)),"كود غير موجود"))</f>
        <v/>
      </c>
      <c r="E157" s="24"/>
      <c r="F157" s="27" t="str">
        <f aca="false">IF($C157="","",N(E157)*IFERROR(INDEX(المنتجات!$G$5:$G$24,MATCH($C157,المنتجات!$A$5:$A$24,0)),0))</f>
        <v/>
      </c>
      <c r="G157" s="24"/>
      <c r="H157" s="27" t="str">
        <f aca="false">IF(OR($C157="",G157=""),"",G157-F157)</f>
        <v/>
      </c>
      <c r="I157" s="32"/>
      <c r="J157" s="29"/>
      <c r="K157" s="29"/>
    </row>
    <row r="158" customFormat="false" ht="15" hidden="false" customHeight="false" outlineLevel="0" collapsed="false">
      <c r="A158" s="32"/>
      <c r="B158" s="29"/>
      <c r="C158" s="29"/>
      <c r="D158" s="28" t="str">
        <f aca="false">IF($C158="","",IFERROR(INDEX(المنتجات!$C$5:$C$24,MATCH($C158,المنتجات!$A$5:$A$24,0)),"كود غير موجود"))</f>
        <v/>
      </c>
      <c r="E158" s="24"/>
      <c r="F158" s="27" t="str">
        <f aca="false">IF($C158="","",N(E158)*IFERROR(INDEX(المنتجات!$G$5:$G$24,MATCH($C158,المنتجات!$A$5:$A$24,0)),0))</f>
        <v/>
      </c>
      <c r="G158" s="24"/>
      <c r="H158" s="27" t="str">
        <f aca="false">IF(OR($C158="",G158=""),"",G158-F158)</f>
        <v/>
      </c>
      <c r="I158" s="32"/>
      <c r="J158" s="29"/>
      <c r="K158" s="29"/>
    </row>
    <row r="159" customFormat="false" ht="15" hidden="false" customHeight="false" outlineLevel="0" collapsed="false">
      <c r="A159" s="32"/>
      <c r="B159" s="29"/>
      <c r="C159" s="29"/>
      <c r="D159" s="28" t="str">
        <f aca="false">IF($C159="","",IFERROR(INDEX(المنتجات!$C$5:$C$24,MATCH($C159,المنتجات!$A$5:$A$24,0)),"كود غير موجود"))</f>
        <v/>
      </c>
      <c r="E159" s="24"/>
      <c r="F159" s="27" t="str">
        <f aca="false">IF($C159="","",N(E159)*IFERROR(INDEX(المنتجات!$G$5:$G$24,MATCH($C159,المنتجات!$A$5:$A$24,0)),0))</f>
        <v/>
      </c>
      <c r="G159" s="24"/>
      <c r="H159" s="27" t="str">
        <f aca="false">IF(OR($C159="",G159=""),"",G159-F159)</f>
        <v/>
      </c>
      <c r="I159" s="32"/>
      <c r="J159" s="29"/>
      <c r="K159" s="29"/>
    </row>
    <row r="160" customFormat="false" ht="15" hidden="false" customHeight="false" outlineLevel="0" collapsed="false">
      <c r="A160" s="32"/>
      <c r="B160" s="29"/>
      <c r="C160" s="29"/>
      <c r="D160" s="28" t="str">
        <f aca="false">IF($C160="","",IFERROR(INDEX(المنتجات!$C$5:$C$24,MATCH($C160,المنتجات!$A$5:$A$24,0)),"كود غير موجود"))</f>
        <v/>
      </c>
      <c r="E160" s="24"/>
      <c r="F160" s="27" t="str">
        <f aca="false">IF($C160="","",N(E160)*IFERROR(INDEX(المنتجات!$G$5:$G$24,MATCH($C160,المنتجات!$A$5:$A$24,0)),0))</f>
        <v/>
      </c>
      <c r="G160" s="24"/>
      <c r="H160" s="27" t="str">
        <f aca="false">IF(OR($C160="",G160=""),"",G160-F160)</f>
        <v/>
      </c>
      <c r="I160" s="32"/>
      <c r="J160" s="29"/>
      <c r="K160" s="29"/>
    </row>
    <row r="161" customFormat="false" ht="15" hidden="false" customHeight="false" outlineLevel="0" collapsed="false">
      <c r="A161" s="32"/>
      <c r="B161" s="29"/>
      <c r="C161" s="29"/>
      <c r="D161" s="28" t="str">
        <f aca="false">IF($C161="","",IFERROR(INDEX(المنتجات!$C$5:$C$24,MATCH($C161,المنتجات!$A$5:$A$24,0)),"كود غير موجود"))</f>
        <v/>
      </c>
      <c r="E161" s="24"/>
      <c r="F161" s="27" t="str">
        <f aca="false">IF($C161="","",N(E161)*IFERROR(INDEX(المنتجات!$G$5:$G$24,MATCH($C161,المنتجات!$A$5:$A$24,0)),0))</f>
        <v/>
      </c>
      <c r="G161" s="24"/>
      <c r="H161" s="27" t="str">
        <f aca="false">IF(OR($C161="",G161=""),"",G161-F161)</f>
        <v/>
      </c>
      <c r="I161" s="32"/>
      <c r="J161" s="29"/>
      <c r="K161" s="29"/>
    </row>
    <row r="162" customFormat="false" ht="15" hidden="false" customHeight="false" outlineLevel="0" collapsed="false">
      <c r="A162" s="32"/>
      <c r="B162" s="29"/>
      <c r="C162" s="29"/>
      <c r="D162" s="28" t="str">
        <f aca="false">IF($C162="","",IFERROR(INDEX(المنتجات!$C$5:$C$24,MATCH($C162,المنتجات!$A$5:$A$24,0)),"كود غير موجود"))</f>
        <v/>
      </c>
      <c r="E162" s="24"/>
      <c r="F162" s="27" t="str">
        <f aca="false">IF($C162="","",N(E162)*IFERROR(INDEX(المنتجات!$G$5:$G$24,MATCH($C162,المنتجات!$A$5:$A$24,0)),0))</f>
        <v/>
      </c>
      <c r="G162" s="24"/>
      <c r="H162" s="27" t="str">
        <f aca="false">IF(OR($C162="",G162=""),"",G162-F162)</f>
        <v/>
      </c>
      <c r="I162" s="32"/>
      <c r="J162" s="29"/>
      <c r="K162" s="29"/>
    </row>
    <row r="163" customFormat="false" ht="15" hidden="false" customHeight="false" outlineLevel="0" collapsed="false">
      <c r="A163" s="32"/>
      <c r="B163" s="29"/>
      <c r="C163" s="29"/>
      <c r="D163" s="28" t="str">
        <f aca="false">IF($C163="","",IFERROR(INDEX(المنتجات!$C$5:$C$24,MATCH($C163,المنتجات!$A$5:$A$24,0)),"كود غير موجود"))</f>
        <v/>
      </c>
      <c r="E163" s="24"/>
      <c r="F163" s="27" t="str">
        <f aca="false">IF($C163="","",N(E163)*IFERROR(INDEX(المنتجات!$G$5:$G$24,MATCH($C163,المنتجات!$A$5:$A$24,0)),0))</f>
        <v/>
      </c>
      <c r="G163" s="24"/>
      <c r="H163" s="27" t="str">
        <f aca="false">IF(OR($C163="",G163=""),"",G163-F163)</f>
        <v/>
      </c>
      <c r="I163" s="32"/>
      <c r="J163" s="29"/>
      <c r="K163" s="29"/>
    </row>
    <row r="164" customFormat="false" ht="15" hidden="false" customHeight="false" outlineLevel="0" collapsed="false">
      <c r="A164" s="32"/>
      <c r="B164" s="29"/>
      <c r="C164" s="29"/>
      <c r="D164" s="28" t="str">
        <f aca="false">IF($C164="","",IFERROR(INDEX(المنتجات!$C$5:$C$24,MATCH($C164,المنتجات!$A$5:$A$24,0)),"كود غير موجود"))</f>
        <v/>
      </c>
      <c r="E164" s="24"/>
      <c r="F164" s="27" t="str">
        <f aca="false">IF($C164="","",N(E164)*IFERROR(INDEX(المنتجات!$G$5:$G$24,MATCH($C164,المنتجات!$A$5:$A$24,0)),0))</f>
        <v/>
      </c>
      <c r="G164" s="24"/>
      <c r="H164" s="27" t="str">
        <f aca="false">IF(OR($C164="",G164=""),"",G164-F164)</f>
        <v/>
      </c>
      <c r="I164" s="32"/>
      <c r="J164" s="29"/>
      <c r="K164" s="29"/>
    </row>
    <row r="165" customFormat="false" ht="15" hidden="false" customHeight="false" outlineLevel="0" collapsed="false">
      <c r="A165" s="32"/>
      <c r="B165" s="29"/>
      <c r="C165" s="29"/>
      <c r="D165" s="28" t="str">
        <f aca="false">IF($C165="","",IFERROR(INDEX(المنتجات!$C$5:$C$24,MATCH($C165,المنتجات!$A$5:$A$24,0)),"كود غير موجود"))</f>
        <v/>
      </c>
      <c r="E165" s="24"/>
      <c r="F165" s="27" t="str">
        <f aca="false">IF($C165="","",N(E165)*IFERROR(INDEX(المنتجات!$G$5:$G$24,MATCH($C165,المنتجات!$A$5:$A$24,0)),0))</f>
        <v/>
      </c>
      <c r="G165" s="24"/>
      <c r="H165" s="27" t="str">
        <f aca="false">IF(OR($C165="",G165=""),"",G165-F165)</f>
        <v/>
      </c>
      <c r="I165" s="32"/>
      <c r="J165" s="29"/>
      <c r="K165" s="29"/>
    </row>
    <row r="166" customFormat="false" ht="15" hidden="false" customHeight="false" outlineLevel="0" collapsed="false">
      <c r="A166" s="32"/>
      <c r="B166" s="29"/>
      <c r="C166" s="29"/>
      <c r="D166" s="28" t="str">
        <f aca="false">IF($C166="","",IFERROR(INDEX(المنتجات!$C$5:$C$24,MATCH($C166,المنتجات!$A$5:$A$24,0)),"كود غير موجود"))</f>
        <v/>
      </c>
      <c r="E166" s="24"/>
      <c r="F166" s="27" t="str">
        <f aca="false">IF($C166="","",N(E166)*IFERROR(INDEX(المنتجات!$G$5:$G$24,MATCH($C166,المنتجات!$A$5:$A$24,0)),0))</f>
        <v/>
      </c>
      <c r="G166" s="24"/>
      <c r="H166" s="27" t="str">
        <f aca="false">IF(OR($C166="",G166=""),"",G166-F166)</f>
        <v/>
      </c>
      <c r="I166" s="32"/>
      <c r="J166" s="29"/>
      <c r="K166" s="29"/>
    </row>
    <row r="167" customFormat="false" ht="15" hidden="false" customHeight="false" outlineLevel="0" collapsed="false">
      <c r="A167" s="32"/>
      <c r="B167" s="29"/>
      <c r="C167" s="29"/>
      <c r="D167" s="28" t="str">
        <f aca="false">IF($C167="","",IFERROR(INDEX(المنتجات!$C$5:$C$24,MATCH($C167,المنتجات!$A$5:$A$24,0)),"كود غير موجود"))</f>
        <v/>
      </c>
      <c r="E167" s="24"/>
      <c r="F167" s="27" t="str">
        <f aca="false">IF($C167="","",N(E167)*IFERROR(INDEX(المنتجات!$G$5:$G$24,MATCH($C167,المنتجات!$A$5:$A$24,0)),0))</f>
        <v/>
      </c>
      <c r="G167" s="24"/>
      <c r="H167" s="27" t="str">
        <f aca="false">IF(OR($C167="",G167=""),"",G167-F167)</f>
        <v/>
      </c>
      <c r="I167" s="32"/>
      <c r="J167" s="29"/>
      <c r="K167" s="29"/>
    </row>
    <row r="168" customFormat="false" ht="15" hidden="false" customHeight="false" outlineLevel="0" collapsed="false">
      <c r="A168" s="32"/>
      <c r="B168" s="29"/>
      <c r="C168" s="29"/>
      <c r="D168" s="28" t="str">
        <f aca="false">IF($C168="","",IFERROR(INDEX(المنتجات!$C$5:$C$24,MATCH($C168,المنتجات!$A$5:$A$24,0)),"كود غير موجود"))</f>
        <v/>
      </c>
      <c r="E168" s="24"/>
      <c r="F168" s="27" t="str">
        <f aca="false">IF($C168="","",N(E168)*IFERROR(INDEX(المنتجات!$G$5:$G$24,MATCH($C168,المنتجات!$A$5:$A$24,0)),0))</f>
        <v/>
      </c>
      <c r="G168" s="24"/>
      <c r="H168" s="27" t="str">
        <f aca="false">IF(OR($C168="",G168=""),"",G168-F168)</f>
        <v/>
      </c>
      <c r="I168" s="32"/>
      <c r="J168" s="29"/>
      <c r="K168" s="29"/>
    </row>
    <row r="169" customFormat="false" ht="15" hidden="false" customHeight="false" outlineLevel="0" collapsed="false">
      <c r="A169" s="32"/>
      <c r="B169" s="29"/>
      <c r="C169" s="29"/>
      <c r="D169" s="28" t="str">
        <f aca="false">IF($C169="","",IFERROR(INDEX(المنتجات!$C$5:$C$24,MATCH($C169,المنتجات!$A$5:$A$24,0)),"كود غير موجود"))</f>
        <v/>
      </c>
      <c r="E169" s="24"/>
      <c r="F169" s="27" t="str">
        <f aca="false">IF($C169="","",N(E169)*IFERROR(INDEX(المنتجات!$G$5:$G$24,MATCH($C169,المنتجات!$A$5:$A$24,0)),0))</f>
        <v/>
      </c>
      <c r="G169" s="24"/>
      <c r="H169" s="27" t="str">
        <f aca="false">IF(OR($C169="",G169=""),"",G169-F169)</f>
        <v/>
      </c>
      <c r="I169" s="32"/>
      <c r="J169" s="29"/>
      <c r="K169" s="29"/>
    </row>
    <row r="170" customFormat="false" ht="15" hidden="false" customHeight="false" outlineLevel="0" collapsed="false">
      <c r="A170" s="32"/>
      <c r="B170" s="29"/>
      <c r="C170" s="29"/>
      <c r="D170" s="28" t="str">
        <f aca="false">IF($C170="","",IFERROR(INDEX(المنتجات!$C$5:$C$24,MATCH($C170,المنتجات!$A$5:$A$24,0)),"كود غير موجود"))</f>
        <v/>
      </c>
      <c r="E170" s="24"/>
      <c r="F170" s="27" t="str">
        <f aca="false">IF($C170="","",N(E170)*IFERROR(INDEX(المنتجات!$G$5:$G$24,MATCH($C170,المنتجات!$A$5:$A$24,0)),0))</f>
        <v/>
      </c>
      <c r="G170" s="24"/>
      <c r="H170" s="27" t="str">
        <f aca="false">IF(OR($C170="",G170=""),"",G170-F170)</f>
        <v/>
      </c>
      <c r="I170" s="32"/>
      <c r="J170" s="29"/>
      <c r="K170" s="29"/>
    </row>
    <row r="171" customFormat="false" ht="15" hidden="false" customHeight="false" outlineLevel="0" collapsed="false">
      <c r="A171" s="32"/>
      <c r="B171" s="29"/>
      <c r="C171" s="29"/>
      <c r="D171" s="28" t="str">
        <f aca="false">IF($C171="","",IFERROR(INDEX(المنتجات!$C$5:$C$24,MATCH($C171,المنتجات!$A$5:$A$24,0)),"كود غير موجود"))</f>
        <v/>
      </c>
      <c r="E171" s="24"/>
      <c r="F171" s="27" t="str">
        <f aca="false">IF($C171="","",N(E171)*IFERROR(INDEX(المنتجات!$G$5:$G$24,MATCH($C171,المنتجات!$A$5:$A$24,0)),0))</f>
        <v/>
      </c>
      <c r="G171" s="24"/>
      <c r="H171" s="27" t="str">
        <f aca="false">IF(OR($C171="",G171=""),"",G171-F171)</f>
        <v/>
      </c>
      <c r="I171" s="32"/>
      <c r="J171" s="29"/>
      <c r="K171" s="29"/>
    </row>
    <row r="172" customFormat="false" ht="15" hidden="false" customHeight="false" outlineLevel="0" collapsed="false">
      <c r="A172" s="32"/>
      <c r="B172" s="29"/>
      <c r="C172" s="29"/>
      <c r="D172" s="28" t="str">
        <f aca="false">IF($C172="","",IFERROR(INDEX(المنتجات!$C$5:$C$24,MATCH($C172,المنتجات!$A$5:$A$24,0)),"كود غير موجود"))</f>
        <v/>
      </c>
      <c r="E172" s="24"/>
      <c r="F172" s="27" t="str">
        <f aca="false">IF($C172="","",N(E172)*IFERROR(INDEX(المنتجات!$G$5:$G$24,MATCH($C172,المنتجات!$A$5:$A$24,0)),0))</f>
        <v/>
      </c>
      <c r="G172" s="24"/>
      <c r="H172" s="27" t="str">
        <f aca="false">IF(OR($C172="",G172=""),"",G172-F172)</f>
        <v/>
      </c>
      <c r="I172" s="32"/>
      <c r="J172" s="29"/>
      <c r="K172" s="29"/>
    </row>
    <row r="173" customFormat="false" ht="15" hidden="false" customHeight="false" outlineLevel="0" collapsed="false">
      <c r="A173" s="32"/>
      <c r="B173" s="29"/>
      <c r="C173" s="29"/>
      <c r="D173" s="28" t="str">
        <f aca="false">IF($C173="","",IFERROR(INDEX(المنتجات!$C$5:$C$24,MATCH($C173,المنتجات!$A$5:$A$24,0)),"كود غير موجود"))</f>
        <v/>
      </c>
      <c r="E173" s="24"/>
      <c r="F173" s="27" t="str">
        <f aca="false">IF($C173="","",N(E173)*IFERROR(INDEX(المنتجات!$G$5:$G$24,MATCH($C173,المنتجات!$A$5:$A$24,0)),0))</f>
        <v/>
      </c>
      <c r="G173" s="24"/>
      <c r="H173" s="27" t="str">
        <f aca="false">IF(OR($C173="",G173=""),"",G173-F173)</f>
        <v/>
      </c>
      <c r="I173" s="32"/>
      <c r="J173" s="29"/>
      <c r="K173" s="29"/>
    </row>
    <row r="174" customFormat="false" ht="15" hidden="false" customHeight="false" outlineLevel="0" collapsed="false">
      <c r="A174" s="32"/>
      <c r="B174" s="29"/>
      <c r="C174" s="29"/>
      <c r="D174" s="28" t="str">
        <f aca="false">IF($C174="","",IFERROR(INDEX(المنتجات!$C$5:$C$24,MATCH($C174,المنتجات!$A$5:$A$24,0)),"كود غير موجود"))</f>
        <v/>
      </c>
      <c r="E174" s="24"/>
      <c r="F174" s="27" t="str">
        <f aca="false">IF($C174="","",N(E174)*IFERROR(INDEX(المنتجات!$G$5:$G$24,MATCH($C174,المنتجات!$A$5:$A$24,0)),0))</f>
        <v/>
      </c>
      <c r="G174" s="24"/>
      <c r="H174" s="27" t="str">
        <f aca="false">IF(OR($C174="",G174=""),"",G174-F174)</f>
        <v/>
      </c>
      <c r="I174" s="32"/>
      <c r="J174" s="29"/>
      <c r="K174" s="29"/>
    </row>
    <row r="175" customFormat="false" ht="15" hidden="false" customHeight="false" outlineLevel="0" collapsed="false">
      <c r="A175" s="32"/>
      <c r="B175" s="29"/>
      <c r="C175" s="29"/>
      <c r="D175" s="28" t="str">
        <f aca="false">IF($C175="","",IFERROR(INDEX(المنتجات!$C$5:$C$24,MATCH($C175,المنتجات!$A$5:$A$24,0)),"كود غير موجود"))</f>
        <v/>
      </c>
      <c r="E175" s="24"/>
      <c r="F175" s="27" t="str">
        <f aca="false">IF($C175="","",N(E175)*IFERROR(INDEX(المنتجات!$G$5:$G$24,MATCH($C175,المنتجات!$A$5:$A$24,0)),0))</f>
        <v/>
      </c>
      <c r="G175" s="24"/>
      <c r="H175" s="27" t="str">
        <f aca="false">IF(OR($C175="",G175=""),"",G175-F175)</f>
        <v/>
      </c>
      <c r="I175" s="32"/>
      <c r="J175" s="29"/>
      <c r="K175" s="29"/>
    </row>
    <row r="176" customFormat="false" ht="15" hidden="false" customHeight="false" outlineLevel="0" collapsed="false">
      <c r="A176" s="32"/>
      <c r="B176" s="29"/>
      <c r="C176" s="29"/>
      <c r="D176" s="28" t="str">
        <f aca="false">IF($C176="","",IFERROR(INDEX(المنتجات!$C$5:$C$24,MATCH($C176,المنتجات!$A$5:$A$24,0)),"كود غير موجود"))</f>
        <v/>
      </c>
      <c r="E176" s="24"/>
      <c r="F176" s="27" t="str">
        <f aca="false">IF($C176="","",N(E176)*IFERROR(INDEX(المنتجات!$G$5:$G$24,MATCH($C176,المنتجات!$A$5:$A$24,0)),0))</f>
        <v/>
      </c>
      <c r="G176" s="24"/>
      <c r="H176" s="27" t="str">
        <f aca="false">IF(OR($C176="",G176=""),"",G176-F176)</f>
        <v/>
      </c>
      <c r="I176" s="32"/>
      <c r="J176" s="29"/>
      <c r="K176" s="29"/>
    </row>
    <row r="177" customFormat="false" ht="15" hidden="false" customHeight="false" outlineLevel="0" collapsed="false">
      <c r="A177" s="32"/>
      <c r="B177" s="29"/>
      <c r="C177" s="29"/>
      <c r="D177" s="28" t="str">
        <f aca="false">IF($C177="","",IFERROR(INDEX(المنتجات!$C$5:$C$24,MATCH($C177,المنتجات!$A$5:$A$24,0)),"كود غير موجود"))</f>
        <v/>
      </c>
      <c r="E177" s="24"/>
      <c r="F177" s="27" t="str">
        <f aca="false">IF($C177="","",N(E177)*IFERROR(INDEX(المنتجات!$G$5:$G$24,MATCH($C177,المنتجات!$A$5:$A$24,0)),0))</f>
        <v/>
      </c>
      <c r="G177" s="24"/>
      <c r="H177" s="27" t="str">
        <f aca="false">IF(OR($C177="",G177=""),"",G177-F177)</f>
        <v/>
      </c>
      <c r="I177" s="32"/>
      <c r="J177" s="29"/>
      <c r="K177" s="29"/>
    </row>
    <row r="178" customFormat="false" ht="15" hidden="false" customHeight="false" outlineLevel="0" collapsed="false">
      <c r="A178" s="32"/>
      <c r="B178" s="29"/>
      <c r="C178" s="29"/>
      <c r="D178" s="28" t="str">
        <f aca="false">IF($C178="","",IFERROR(INDEX(المنتجات!$C$5:$C$24,MATCH($C178,المنتجات!$A$5:$A$24,0)),"كود غير موجود"))</f>
        <v/>
      </c>
      <c r="E178" s="24"/>
      <c r="F178" s="27" t="str">
        <f aca="false">IF($C178="","",N(E178)*IFERROR(INDEX(المنتجات!$G$5:$G$24,MATCH($C178,المنتجات!$A$5:$A$24,0)),0))</f>
        <v/>
      </c>
      <c r="G178" s="24"/>
      <c r="H178" s="27" t="str">
        <f aca="false">IF(OR($C178="",G178=""),"",G178-F178)</f>
        <v/>
      </c>
      <c r="I178" s="32"/>
      <c r="J178" s="29"/>
      <c r="K178" s="29"/>
    </row>
    <row r="179" customFormat="false" ht="15" hidden="false" customHeight="false" outlineLevel="0" collapsed="false">
      <c r="A179" s="32"/>
      <c r="B179" s="29"/>
      <c r="C179" s="29"/>
      <c r="D179" s="28" t="str">
        <f aca="false">IF($C179="","",IFERROR(INDEX(المنتجات!$C$5:$C$24,MATCH($C179,المنتجات!$A$5:$A$24,0)),"كود غير موجود"))</f>
        <v/>
      </c>
      <c r="E179" s="24"/>
      <c r="F179" s="27" t="str">
        <f aca="false">IF($C179="","",N(E179)*IFERROR(INDEX(المنتجات!$G$5:$G$24,MATCH($C179,المنتجات!$A$5:$A$24,0)),0))</f>
        <v/>
      </c>
      <c r="G179" s="24"/>
      <c r="H179" s="27" t="str">
        <f aca="false">IF(OR($C179="",G179=""),"",G179-F179)</f>
        <v/>
      </c>
      <c r="I179" s="32"/>
      <c r="J179" s="29"/>
      <c r="K179" s="29"/>
    </row>
    <row r="180" customFormat="false" ht="15" hidden="false" customHeight="false" outlineLevel="0" collapsed="false">
      <c r="A180" s="32"/>
      <c r="B180" s="29"/>
      <c r="C180" s="29"/>
      <c r="D180" s="28" t="str">
        <f aca="false">IF($C180="","",IFERROR(INDEX(المنتجات!$C$5:$C$24,MATCH($C180,المنتجات!$A$5:$A$24,0)),"كود غير موجود"))</f>
        <v/>
      </c>
      <c r="E180" s="24"/>
      <c r="F180" s="27" t="str">
        <f aca="false">IF($C180="","",N(E180)*IFERROR(INDEX(المنتجات!$G$5:$G$24,MATCH($C180,المنتجات!$A$5:$A$24,0)),0))</f>
        <v/>
      </c>
      <c r="G180" s="24"/>
      <c r="H180" s="27" t="str">
        <f aca="false">IF(OR($C180="",G180=""),"",G180-F180)</f>
        <v/>
      </c>
      <c r="I180" s="32"/>
      <c r="J180" s="29"/>
      <c r="K180" s="29"/>
    </row>
    <row r="181" customFormat="false" ht="15" hidden="false" customHeight="false" outlineLevel="0" collapsed="false">
      <c r="A181" s="32"/>
      <c r="B181" s="29"/>
      <c r="C181" s="29"/>
      <c r="D181" s="28" t="str">
        <f aca="false">IF($C181="","",IFERROR(INDEX(المنتجات!$C$5:$C$24,MATCH($C181,المنتجات!$A$5:$A$24,0)),"كود غير موجود"))</f>
        <v/>
      </c>
      <c r="E181" s="24"/>
      <c r="F181" s="27" t="str">
        <f aca="false">IF($C181="","",N(E181)*IFERROR(INDEX(المنتجات!$G$5:$G$24,MATCH($C181,المنتجات!$A$5:$A$24,0)),0))</f>
        <v/>
      </c>
      <c r="G181" s="24"/>
      <c r="H181" s="27" t="str">
        <f aca="false">IF(OR($C181="",G181=""),"",G181-F181)</f>
        <v/>
      </c>
      <c r="I181" s="32"/>
      <c r="J181" s="29"/>
      <c r="K181" s="29"/>
    </row>
    <row r="182" customFormat="false" ht="15" hidden="false" customHeight="false" outlineLevel="0" collapsed="false">
      <c r="A182" s="32"/>
      <c r="B182" s="29"/>
      <c r="C182" s="29"/>
      <c r="D182" s="28" t="str">
        <f aca="false">IF($C182="","",IFERROR(INDEX(المنتجات!$C$5:$C$24,MATCH($C182,المنتجات!$A$5:$A$24,0)),"كود غير موجود"))</f>
        <v/>
      </c>
      <c r="E182" s="24"/>
      <c r="F182" s="27" t="str">
        <f aca="false">IF($C182="","",N(E182)*IFERROR(INDEX(المنتجات!$G$5:$G$24,MATCH($C182,المنتجات!$A$5:$A$24,0)),0))</f>
        <v/>
      </c>
      <c r="G182" s="24"/>
      <c r="H182" s="27" t="str">
        <f aca="false">IF(OR($C182="",G182=""),"",G182-F182)</f>
        <v/>
      </c>
      <c r="I182" s="32"/>
      <c r="J182" s="29"/>
      <c r="K182" s="29"/>
    </row>
    <row r="183" customFormat="false" ht="15" hidden="false" customHeight="false" outlineLevel="0" collapsed="false">
      <c r="A183" s="32"/>
      <c r="B183" s="29"/>
      <c r="C183" s="29"/>
      <c r="D183" s="28" t="str">
        <f aca="false">IF($C183="","",IFERROR(INDEX(المنتجات!$C$5:$C$24,MATCH($C183,المنتجات!$A$5:$A$24,0)),"كود غير موجود"))</f>
        <v/>
      </c>
      <c r="E183" s="24"/>
      <c r="F183" s="27" t="str">
        <f aca="false">IF($C183="","",N(E183)*IFERROR(INDEX(المنتجات!$G$5:$G$24,MATCH($C183,المنتجات!$A$5:$A$24,0)),0))</f>
        <v/>
      </c>
      <c r="G183" s="24"/>
      <c r="H183" s="27" t="str">
        <f aca="false">IF(OR($C183="",G183=""),"",G183-F183)</f>
        <v/>
      </c>
      <c r="I183" s="32"/>
      <c r="J183" s="29"/>
      <c r="K183" s="29"/>
    </row>
    <row r="184" customFormat="false" ht="15" hidden="false" customHeight="false" outlineLevel="0" collapsed="false">
      <c r="A184" s="32"/>
      <c r="B184" s="29"/>
      <c r="C184" s="29"/>
      <c r="D184" s="28" t="str">
        <f aca="false">IF($C184="","",IFERROR(INDEX(المنتجات!$C$5:$C$24,MATCH($C184,المنتجات!$A$5:$A$24,0)),"كود غير موجود"))</f>
        <v/>
      </c>
      <c r="E184" s="24"/>
      <c r="F184" s="27" t="str">
        <f aca="false">IF($C184="","",N(E184)*IFERROR(INDEX(المنتجات!$G$5:$G$24,MATCH($C184,المنتجات!$A$5:$A$24,0)),0))</f>
        <v/>
      </c>
      <c r="G184" s="24"/>
      <c r="H184" s="27" t="str">
        <f aca="false">IF(OR($C184="",G184=""),"",G184-F184)</f>
        <v/>
      </c>
      <c r="I184" s="32"/>
      <c r="J184" s="29"/>
      <c r="K184" s="29"/>
    </row>
    <row r="185" customFormat="false" ht="15" hidden="false" customHeight="false" outlineLevel="0" collapsed="false">
      <c r="A185" s="32"/>
      <c r="B185" s="29"/>
      <c r="C185" s="29"/>
      <c r="D185" s="28" t="str">
        <f aca="false">IF($C185="","",IFERROR(INDEX(المنتجات!$C$5:$C$24,MATCH($C185,المنتجات!$A$5:$A$24,0)),"كود غير موجود"))</f>
        <v/>
      </c>
      <c r="E185" s="24"/>
      <c r="F185" s="27" t="str">
        <f aca="false">IF($C185="","",N(E185)*IFERROR(INDEX(المنتجات!$G$5:$G$24,MATCH($C185,المنتجات!$A$5:$A$24,0)),0))</f>
        <v/>
      </c>
      <c r="G185" s="24"/>
      <c r="H185" s="27" t="str">
        <f aca="false">IF(OR($C185="",G185=""),"",G185-F185)</f>
        <v/>
      </c>
      <c r="I185" s="32"/>
      <c r="J185" s="29"/>
      <c r="K185" s="29"/>
    </row>
    <row r="186" customFormat="false" ht="15" hidden="false" customHeight="false" outlineLevel="0" collapsed="false">
      <c r="A186" s="32"/>
      <c r="B186" s="29"/>
      <c r="C186" s="29"/>
      <c r="D186" s="28" t="str">
        <f aca="false">IF($C186="","",IFERROR(INDEX(المنتجات!$C$5:$C$24,MATCH($C186,المنتجات!$A$5:$A$24,0)),"كود غير موجود"))</f>
        <v/>
      </c>
      <c r="E186" s="24"/>
      <c r="F186" s="27" t="str">
        <f aca="false">IF($C186="","",N(E186)*IFERROR(INDEX(المنتجات!$G$5:$G$24,MATCH($C186,المنتجات!$A$5:$A$24,0)),0))</f>
        <v/>
      </c>
      <c r="G186" s="24"/>
      <c r="H186" s="27" t="str">
        <f aca="false">IF(OR($C186="",G186=""),"",G186-F186)</f>
        <v/>
      </c>
      <c r="I186" s="32"/>
      <c r="J186" s="29"/>
      <c r="K186" s="29"/>
    </row>
    <row r="187" customFormat="false" ht="15" hidden="false" customHeight="false" outlineLevel="0" collapsed="false">
      <c r="A187" s="32"/>
      <c r="B187" s="29"/>
      <c r="C187" s="29"/>
      <c r="D187" s="28" t="str">
        <f aca="false">IF($C187="","",IFERROR(INDEX(المنتجات!$C$5:$C$24,MATCH($C187,المنتجات!$A$5:$A$24,0)),"كود غير موجود"))</f>
        <v/>
      </c>
      <c r="E187" s="24"/>
      <c r="F187" s="27" t="str">
        <f aca="false">IF($C187="","",N(E187)*IFERROR(INDEX(المنتجات!$G$5:$G$24,MATCH($C187,المنتجات!$A$5:$A$24,0)),0))</f>
        <v/>
      </c>
      <c r="G187" s="24"/>
      <c r="H187" s="27" t="str">
        <f aca="false">IF(OR($C187="",G187=""),"",G187-F187)</f>
        <v/>
      </c>
      <c r="I187" s="32"/>
      <c r="J187" s="29"/>
      <c r="K187" s="29"/>
    </row>
    <row r="188" customFormat="false" ht="15" hidden="false" customHeight="false" outlineLevel="0" collapsed="false">
      <c r="A188" s="32"/>
      <c r="B188" s="29"/>
      <c r="C188" s="29"/>
      <c r="D188" s="28" t="str">
        <f aca="false">IF($C188="","",IFERROR(INDEX(المنتجات!$C$5:$C$24,MATCH($C188,المنتجات!$A$5:$A$24,0)),"كود غير موجود"))</f>
        <v/>
      </c>
      <c r="E188" s="24"/>
      <c r="F188" s="27" t="str">
        <f aca="false">IF($C188="","",N(E188)*IFERROR(INDEX(المنتجات!$G$5:$G$24,MATCH($C188,المنتجات!$A$5:$A$24,0)),0))</f>
        <v/>
      </c>
      <c r="G188" s="24"/>
      <c r="H188" s="27" t="str">
        <f aca="false">IF(OR($C188="",G188=""),"",G188-F188)</f>
        <v/>
      </c>
      <c r="I188" s="32"/>
      <c r="J188" s="29"/>
      <c r="K188" s="29"/>
    </row>
    <row r="189" customFormat="false" ht="15" hidden="false" customHeight="false" outlineLevel="0" collapsed="false">
      <c r="A189" s="32"/>
      <c r="B189" s="29"/>
      <c r="C189" s="29"/>
      <c r="D189" s="28" t="str">
        <f aca="false">IF($C189="","",IFERROR(INDEX(المنتجات!$C$5:$C$24,MATCH($C189,المنتجات!$A$5:$A$24,0)),"كود غير موجود"))</f>
        <v/>
      </c>
      <c r="E189" s="24"/>
      <c r="F189" s="27" t="str">
        <f aca="false">IF($C189="","",N(E189)*IFERROR(INDEX(المنتجات!$G$5:$G$24,MATCH($C189,المنتجات!$A$5:$A$24,0)),0))</f>
        <v/>
      </c>
      <c r="G189" s="24"/>
      <c r="H189" s="27" t="str">
        <f aca="false">IF(OR($C189="",G189=""),"",G189-F189)</f>
        <v/>
      </c>
      <c r="I189" s="32"/>
      <c r="J189" s="29"/>
      <c r="K189" s="29"/>
    </row>
    <row r="190" customFormat="false" ht="15" hidden="false" customHeight="false" outlineLevel="0" collapsed="false">
      <c r="A190" s="32"/>
      <c r="B190" s="29"/>
      <c r="C190" s="29"/>
      <c r="D190" s="28" t="str">
        <f aca="false">IF($C190="","",IFERROR(INDEX(المنتجات!$C$5:$C$24,MATCH($C190,المنتجات!$A$5:$A$24,0)),"كود غير موجود"))</f>
        <v/>
      </c>
      <c r="E190" s="24"/>
      <c r="F190" s="27" t="str">
        <f aca="false">IF($C190="","",N(E190)*IFERROR(INDEX(المنتجات!$G$5:$G$24,MATCH($C190,المنتجات!$A$5:$A$24,0)),0))</f>
        <v/>
      </c>
      <c r="G190" s="24"/>
      <c r="H190" s="27" t="str">
        <f aca="false">IF(OR($C190="",G190=""),"",G190-F190)</f>
        <v/>
      </c>
      <c r="I190" s="32"/>
      <c r="J190" s="29"/>
      <c r="K190" s="29"/>
    </row>
    <row r="191" customFormat="false" ht="15" hidden="false" customHeight="false" outlineLevel="0" collapsed="false">
      <c r="A191" s="32"/>
      <c r="B191" s="29"/>
      <c r="C191" s="29"/>
      <c r="D191" s="28" t="str">
        <f aca="false">IF($C191="","",IFERROR(INDEX(المنتجات!$C$5:$C$24,MATCH($C191,المنتجات!$A$5:$A$24,0)),"كود غير موجود"))</f>
        <v/>
      </c>
      <c r="E191" s="24"/>
      <c r="F191" s="27" t="str">
        <f aca="false">IF($C191="","",N(E191)*IFERROR(INDEX(المنتجات!$G$5:$G$24,MATCH($C191,المنتجات!$A$5:$A$24,0)),0))</f>
        <v/>
      </c>
      <c r="G191" s="24"/>
      <c r="H191" s="27" t="str">
        <f aca="false">IF(OR($C191="",G191=""),"",G191-F191)</f>
        <v/>
      </c>
      <c r="I191" s="32"/>
      <c r="J191" s="29"/>
      <c r="K191" s="29"/>
    </row>
    <row r="192" customFormat="false" ht="15" hidden="false" customHeight="false" outlineLevel="0" collapsed="false">
      <c r="A192" s="32"/>
      <c r="B192" s="29"/>
      <c r="C192" s="29"/>
      <c r="D192" s="28" t="str">
        <f aca="false">IF($C192="","",IFERROR(INDEX(المنتجات!$C$5:$C$24,MATCH($C192,المنتجات!$A$5:$A$24,0)),"كود غير موجود"))</f>
        <v/>
      </c>
      <c r="E192" s="24"/>
      <c r="F192" s="27" t="str">
        <f aca="false">IF($C192="","",N(E192)*IFERROR(INDEX(المنتجات!$G$5:$G$24,MATCH($C192,المنتجات!$A$5:$A$24,0)),0))</f>
        <v/>
      </c>
      <c r="G192" s="24"/>
      <c r="H192" s="27" t="str">
        <f aca="false">IF(OR($C192="",G192=""),"",G192-F192)</f>
        <v/>
      </c>
      <c r="I192" s="32"/>
      <c r="J192" s="29"/>
      <c r="K192" s="29"/>
    </row>
    <row r="193" customFormat="false" ht="15" hidden="false" customHeight="false" outlineLevel="0" collapsed="false">
      <c r="A193" s="32"/>
      <c r="B193" s="29"/>
      <c r="C193" s="29"/>
      <c r="D193" s="28" t="str">
        <f aca="false">IF($C193="","",IFERROR(INDEX(المنتجات!$C$5:$C$24,MATCH($C193,المنتجات!$A$5:$A$24,0)),"كود غير موجود"))</f>
        <v/>
      </c>
      <c r="E193" s="24"/>
      <c r="F193" s="27" t="str">
        <f aca="false">IF($C193="","",N(E193)*IFERROR(INDEX(المنتجات!$G$5:$G$24,MATCH($C193,المنتجات!$A$5:$A$24,0)),0))</f>
        <v/>
      </c>
      <c r="G193" s="24"/>
      <c r="H193" s="27" t="str">
        <f aca="false">IF(OR($C193="",G193=""),"",G193-F193)</f>
        <v/>
      </c>
      <c r="I193" s="32"/>
      <c r="J193" s="29"/>
      <c r="K193" s="29"/>
    </row>
    <row r="194" customFormat="false" ht="15" hidden="false" customHeight="false" outlineLevel="0" collapsed="false">
      <c r="A194" s="32"/>
      <c r="B194" s="29"/>
      <c r="C194" s="29"/>
      <c r="D194" s="28" t="str">
        <f aca="false">IF($C194="","",IFERROR(INDEX(المنتجات!$C$5:$C$24,MATCH($C194,المنتجات!$A$5:$A$24,0)),"كود غير موجود"))</f>
        <v/>
      </c>
      <c r="E194" s="24"/>
      <c r="F194" s="27" t="str">
        <f aca="false">IF($C194="","",N(E194)*IFERROR(INDEX(المنتجات!$G$5:$G$24,MATCH($C194,المنتجات!$A$5:$A$24,0)),0))</f>
        <v/>
      </c>
      <c r="G194" s="24"/>
      <c r="H194" s="27" t="str">
        <f aca="false">IF(OR($C194="",G194=""),"",G194-F194)</f>
        <v/>
      </c>
      <c r="I194" s="32"/>
      <c r="J194" s="29"/>
      <c r="K194" s="29"/>
    </row>
    <row r="195" customFormat="false" ht="15" hidden="false" customHeight="false" outlineLevel="0" collapsed="false">
      <c r="A195" s="32"/>
      <c r="B195" s="29"/>
      <c r="C195" s="29"/>
      <c r="D195" s="28" t="str">
        <f aca="false">IF($C195="","",IFERROR(INDEX(المنتجات!$C$5:$C$24,MATCH($C195,المنتجات!$A$5:$A$24,0)),"كود غير موجود"))</f>
        <v/>
      </c>
      <c r="E195" s="24"/>
      <c r="F195" s="27" t="str">
        <f aca="false">IF($C195="","",N(E195)*IFERROR(INDEX(المنتجات!$G$5:$G$24,MATCH($C195,المنتجات!$A$5:$A$24,0)),0))</f>
        <v/>
      </c>
      <c r="G195" s="24"/>
      <c r="H195" s="27" t="str">
        <f aca="false">IF(OR($C195="",G195=""),"",G195-F195)</f>
        <v/>
      </c>
      <c r="I195" s="32"/>
      <c r="J195" s="29"/>
      <c r="K195" s="29"/>
    </row>
    <row r="196" customFormat="false" ht="15" hidden="false" customHeight="false" outlineLevel="0" collapsed="false">
      <c r="A196" s="32"/>
      <c r="B196" s="29"/>
      <c r="C196" s="29"/>
      <c r="D196" s="28" t="str">
        <f aca="false">IF($C196="","",IFERROR(INDEX(المنتجات!$C$5:$C$24,MATCH($C196,المنتجات!$A$5:$A$24,0)),"كود غير موجود"))</f>
        <v/>
      </c>
      <c r="E196" s="24"/>
      <c r="F196" s="27" t="str">
        <f aca="false">IF($C196="","",N(E196)*IFERROR(INDEX(المنتجات!$G$5:$G$24,MATCH($C196,المنتجات!$A$5:$A$24,0)),0))</f>
        <v/>
      </c>
      <c r="G196" s="24"/>
      <c r="H196" s="27" t="str">
        <f aca="false">IF(OR($C196="",G196=""),"",G196-F196)</f>
        <v/>
      </c>
      <c r="I196" s="32"/>
      <c r="J196" s="29"/>
      <c r="K196" s="29"/>
    </row>
    <row r="197" customFormat="false" ht="15" hidden="false" customHeight="false" outlineLevel="0" collapsed="false">
      <c r="A197" s="32"/>
      <c r="B197" s="29"/>
      <c r="C197" s="29"/>
      <c r="D197" s="28" t="str">
        <f aca="false">IF($C197="","",IFERROR(INDEX(المنتجات!$C$5:$C$24,MATCH($C197,المنتجات!$A$5:$A$24,0)),"كود غير موجود"))</f>
        <v/>
      </c>
      <c r="E197" s="24"/>
      <c r="F197" s="27" t="str">
        <f aca="false">IF($C197="","",N(E197)*IFERROR(INDEX(المنتجات!$G$5:$G$24,MATCH($C197,المنتجات!$A$5:$A$24,0)),0))</f>
        <v/>
      </c>
      <c r="G197" s="24"/>
      <c r="H197" s="27" t="str">
        <f aca="false">IF(OR($C197="",G197=""),"",G197-F197)</f>
        <v/>
      </c>
      <c r="I197" s="32"/>
      <c r="J197" s="29"/>
      <c r="K197" s="29"/>
    </row>
    <row r="198" customFormat="false" ht="15" hidden="false" customHeight="false" outlineLevel="0" collapsed="false">
      <c r="A198" s="32"/>
      <c r="B198" s="29"/>
      <c r="C198" s="29"/>
      <c r="D198" s="28" t="str">
        <f aca="false">IF($C198="","",IFERROR(INDEX(المنتجات!$C$5:$C$24,MATCH($C198,المنتجات!$A$5:$A$24,0)),"كود غير موجود"))</f>
        <v/>
      </c>
      <c r="E198" s="24"/>
      <c r="F198" s="27" t="str">
        <f aca="false">IF($C198="","",N(E198)*IFERROR(INDEX(المنتجات!$G$5:$G$24,MATCH($C198,المنتجات!$A$5:$A$24,0)),0))</f>
        <v/>
      </c>
      <c r="G198" s="24"/>
      <c r="H198" s="27" t="str">
        <f aca="false">IF(OR($C198="",G198=""),"",G198-F198)</f>
        <v/>
      </c>
      <c r="I198" s="32"/>
      <c r="J198" s="29"/>
      <c r="K198" s="29"/>
    </row>
    <row r="199" customFormat="false" ht="15" hidden="false" customHeight="false" outlineLevel="0" collapsed="false">
      <c r="A199" s="32"/>
      <c r="B199" s="29"/>
      <c r="C199" s="29"/>
      <c r="D199" s="28" t="str">
        <f aca="false">IF($C199="","",IFERROR(INDEX(المنتجات!$C$5:$C$24,MATCH($C199,المنتجات!$A$5:$A$24,0)),"كود غير موجود"))</f>
        <v/>
      </c>
      <c r="E199" s="24"/>
      <c r="F199" s="27" t="str">
        <f aca="false">IF($C199="","",N(E199)*IFERROR(INDEX(المنتجات!$G$5:$G$24,MATCH($C199,المنتجات!$A$5:$A$24,0)),0))</f>
        <v/>
      </c>
      <c r="G199" s="24"/>
      <c r="H199" s="27" t="str">
        <f aca="false">IF(OR($C199="",G199=""),"",G199-F199)</f>
        <v/>
      </c>
      <c r="I199" s="32"/>
      <c r="J199" s="29"/>
      <c r="K199" s="29"/>
    </row>
    <row r="200" customFormat="false" ht="15" hidden="false" customHeight="false" outlineLevel="0" collapsed="false">
      <c r="A200" s="32"/>
      <c r="B200" s="29"/>
      <c r="C200" s="29"/>
      <c r="D200" s="28" t="str">
        <f aca="false">IF($C200="","",IFERROR(INDEX(المنتجات!$C$5:$C$24,MATCH($C200,المنتجات!$A$5:$A$24,0)),"كود غير موجود"))</f>
        <v/>
      </c>
      <c r="E200" s="24"/>
      <c r="F200" s="27" t="str">
        <f aca="false">IF($C200="","",N(E200)*IFERROR(INDEX(المنتجات!$G$5:$G$24,MATCH($C200,المنتجات!$A$5:$A$24,0)),0))</f>
        <v/>
      </c>
      <c r="G200" s="24"/>
      <c r="H200" s="27" t="str">
        <f aca="false">IF(OR($C200="",G200=""),"",G200-F200)</f>
        <v/>
      </c>
      <c r="I200" s="32"/>
      <c r="J200" s="29"/>
      <c r="K200" s="29"/>
    </row>
    <row r="201" customFormat="false" ht="15" hidden="false" customHeight="false" outlineLevel="0" collapsed="false">
      <c r="A201" s="32"/>
      <c r="B201" s="29"/>
      <c r="C201" s="29"/>
      <c r="D201" s="28" t="str">
        <f aca="false">IF($C201="","",IFERROR(INDEX(المنتجات!$C$5:$C$24,MATCH($C201,المنتجات!$A$5:$A$24,0)),"كود غير موجود"))</f>
        <v/>
      </c>
      <c r="E201" s="24"/>
      <c r="F201" s="27" t="str">
        <f aca="false">IF($C201="","",N(E201)*IFERROR(INDEX(المنتجات!$G$5:$G$24,MATCH($C201,المنتجات!$A$5:$A$24,0)),0))</f>
        <v/>
      </c>
      <c r="G201" s="24"/>
      <c r="H201" s="27" t="str">
        <f aca="false">IF(OR($C201="",G201=""),"",G201-F201)</f>
        <v/>
      </c>
      <c r="I201" s="32"/>
      <c r="J201" s="29"/>
      <c r="K201" s="29"/>
    </row>
    <row r="202" customFormat="false" ht="15" hidden="false" customHeight="false" outlineLevel="0" collapsed="false">
      <c r="A202" s="32"/>
      <c r="B202" s="29"/>
      <c r="C202" s="29"/>
      <c r="D202" s="28" t="str">
        <f aca="false">IF($C202="","",IFERROR(INDEX(المنتجات!$C$5:$C$24,MATCH($C202,المنتجات!$A$5:$A$24,0)),"كود غير موجود"))</f>
        <v/>
      </c>
      <c r="E202" s="24"/>
      <c r="F202" s="27" t="str">
        <f aca="false">IF($C202="","",N(E202)*IFERROR(INDEX(المنتجات!$G$5:$G$24,MATCH($C202,المنتجات!$A$5:$A$24,0)),0))</f>
        <v/>
      </c>
      <c r="G202" s="24"/>
      <c r="H202" s="27" t="str">
        <f aca="false">IF(OR($C202="",G202=""),"",G202-F202)</f>
        <v/>
      </c>
      <c r="I202" s="32"/>
      <c r="J202" s="29"/>
      <c r="K202" s="29"/>
    </row>
    <row r="203" customFormat="false" ht="15" hidden="false" customHeight="false" outlineLevel="0" collapsed="false">
      <c r="A203" s="32"/>
      <c r="B203" s="29"/>
      <c r="C203" s="29"/>
      <c r="D203" s="28" t="str">
        <f aca="false">IF($C203="","",IFERROR(INDEX(المنتجات!$C$5:$C$24,MATCH($C203,المنتجات!$A$5:$A$24,0)),"كود غير موجود"))</f>
        <v/>
      </c>
      <c r="E203" s="24"/>
      <c r="F203" s="27" t="str">
        <f aca="false">IF($C203="","",N(E203)*IFERROR(INDEX(المنتجات!$G$5:$G$24,MATCH($C203,المنتجات!$A$5:$A$24,0)),0))</f>
        <v/>
      </c>
      <c r="G203" s="24"/>
      <c r="H203" s="27" t="str">
        <f aca="false">IF(OR($C203="",G203=""),"",G203-F203)</f>
        <v/>
      </c>
      <c r="I203" s="32"/>
      <c r="J203" s="29"/>
      <c r="K203" s="29"/>
    </row>
    <row r="204" customFormat="false" ht="15" hidden="false" customHeight="false" outlineLevel="0" collapsed="false">
      <c r="A204" s="32"/>
      <c r="B204" s="29"/>
      <c r="C204" s="29"/>
      <c r="D204" s="28" t="str">
        <f aca="false">IF($C204="","",IFERROR(INDEX(المنتجات!$C$5:$C$24,MATCH($C204,المنتجات!$A$5:$A$24,0)),"كود غير موجود"))</f>
        <v/>
      </c>
      <c r="E204" s="24"/>
      <c r="F204" s="27" t="str">
        <f aca="false">IF($C204="","",N(E204)*IFERROR(INDEX(المنتجات!$G$5:$G$24,MATCH($C204,المنتجات!$A$5:$A$24,0)),0))</f>
        <v/>
      </c>
      <c r="G204" s="24"/>
      <c r="H204" s="27" t="str">
        <f aca="false">IF(OR($C204="",G204=""),"",G204-F204)</f>
        <v/>
      </c>
      <c r="I204" s="32"/>
      <c r="J204" s="29"/>
      <c r="K204" s="29"/>
    </row>
    <row r="205" customFormat="false" ht="15" hidden="false" customHeight="false" outlineLevel="0" collapsed="false">
      <c r="A205" s="32"/>
      <c r="B205" s="29"/>
      <c r="C205" s="29"/>
      <c r="D205" s="28" t="str">
        <f aca="false">IF($C205="","",IFERROR(INDEX(المنتجات!$C$5:$C$24,MATCH($C205,المنتجات!$A$5:$A$24,0)),"كود غير موجود"))</f>
        <v/>
      </c>
      <c r="E205" s="24"/>
      <c r="F205" s="27" t="str">
        <f aca="false">IF($C205="","",N(E205)*IFERROR(INDEX(المنتجات!$G$5:$G$24,MATCH($C205,المنتجات!$A$5:$A$24,0)),0))</f>
        <v/>
      </c>
      <c r="G205" s="24"/>
      <c r="H205" s="27" t="str">
        <f aca="false">IF(OR($C205="",G205=""),"",G205-F205)</f>
        <v/>
      </c>
      <c r="I205" s="32"/>
      <c r="J205" s="29"/>
      <c r="K205" s="29"/>
    </row>
    <row r="206" customFormat="false" ht="15" hidden="false" customHeight="false" outlineLevel="0" collapsed="false">
      <c r="A206" s="32"/>
      <c r="B206" s="29"/>
      <c r="C206" s="29"/>
      <c r="D206" s="28" t="str">
        <f aca="false">IF($C206="","",IFERROR(INDEX(المنتجات!$C$5:$C$24,MATCH($C206,المنتجات!$A$5:$A$24,0)),"كود غير موجود"))</f>
        <v/>
      </c>
      <c r="E206" s="24"/>
      <c r="F206" s="27" t="str">
        <f aca="false">IF($C206="","",N(E206)*IFERROR(INDEX(المنتجات!$G$5:$G$24,MATCH($C206,المنتجات!$A$5:$A$24,0)),0))</f>
        <v/>
      </c>
      <c r="G206" s="24"/>
      <c r="H206" s="27" t="str">
        <f aca="false">IF(OR($C206="",G206=""),"",G206-F206)</f>
        <v/>
      </c>
      <c r="I206" s="32"/>
      <c r="J206" s="29"/>
      <c r="K206" s="29"/>
    </row>
    <row r="207" customFormat="false" ht="15" hidden="false" customHeight="false" outlineLevel="0" collapsed="false">
      <c r="A207" s="32"/>
      <c r="B207" s="29"/>
      <c r="C207" s="29"/>
      <c r="D207" s="28" t="str">
        <f aca="false">IF($C207="","",IFERROR(INDEX(المنتجات!$C$5:$C$24,MATCH($C207,المنتجات!$A$5:$A$24,0)),"كود غير موجود"))</f>
        <v/>
      </c>
      <c r="E207" s="24"/>
      <c r="F207" s="27" t="str">
        <f aca="false">IF($C207="","",N(E207)*IFERROR(INDEX(المنتجات!$G$5:$G$24,MATCH($C207,المنتجات!$A$5:$A$24,0)),0))</f>
        <v/>
      </c>
      <c r="G207" s="24"/>
      <c r="H207" s="27" t="str">
        <f aca="false">IF(OR($C207="",G207=""),"",G207-F207)</f>
        <v/>
      </c>
      <c r="I207" s="32"/>
      <c r="J207" s="29"/>
      <c r="K207" s="29"/>
    </row>
    <row r="208" customFormat="false" ht="15" hidden="false" customHeight="false" outlineLevel="0" collapsed="false">
      <c r="A208" s="32"/>
      <c r="B208" s="29"/>
      <c r="C208" s="29"/>
      <c r="D208" s="28" t="str">
        <f aca="false">IF($C208="","",IFERROR(INDEX(المنتجات!$C$5:$C$24,MATCH($C208,المنتجات!$A$5:$A$24,0)),"كود غير موجود"))</f>
        <v/>
      </c>
      <c r="E208" s="24"/>
      <c r="F208" s="27" t="str">
        <f aca="false">IF($C208="","",N(E208)*IFERROR(INDEX(المنتجات!$G$5:$G$24,MATCH($C208,المنتجات!$A$5:$A$24,0)),0))</f>
        <v/>
      </c>
      <c r="G208" s="24"/>
      <c r="H208" s="27" t="str">
        <f aca="false">IF(OR($C208="",G208=""),"",G208-F208)</f>
        <v/>
      </c>
      <c r="I208" s="32"/>
      <c r="J208" s="29"/>
      <c r="K208" s="29"/>
    </row>
    <row r="209" customFormat="false" ht="15" hidden="false" customHeight="false" outlineLevel="0" collapsed="false">
      <c r="A209" s="32"/>
      <c r="B209" s="29"/>
      <c r="C209" s="29"/>
      <c r="D209" s="28" t="str">
        <f aca="false">IF($C209="","",IFERROR(INDEX(المنتجات!$C$5:$C$24,MATCH($C209,المنتجات!$A$5:$A$24,0)),"كود غير موجود"))</f>
        <v/>
      </c>
      <c r="E209" s="24"/>
      <c r="F209" s="27" t="str">
        <f aca="false">IF($C209="","",N(E209)*IFERROR(INDEX(المنتجات!$G$5:$G$24,MATCH($C209,المنتجات!$A$5:$A$24,0)),0))</f>
        <v/>
      </c>
      <c r="G209" s="24"/>
      <c r="H209" s="27" t="str">
        <f aca="false">IF(OR($C209="",G209=""),"",G209-F209)</f>
        <v/>
      </c>
      <c r="I209" s="32"/>
      <c r="J209" s="29"/>
      <c r="K209" s="29"/>
    </row>
    <row r="210" customFormat="false" ht="15" hidden="false" customHeight="false" outlineLevel="0" collapsed="false">
      <c r="A210" s="32"/>
      <c r="B210" s="29"/>
      <c r="C210" s="29"/>
      <c r="D210" s="28" t="str">
        <f aca="false">IF($C210="","",IFERROR(INDEX(المنتجات!$C$5:$C$24,MATCH($C210,المنتجات!$A$5:$A$24,0)),"كود غير موجود"))</f>
        <v/>
      </c>
      <c r="E210" s="24"/>
      <c r="F210" s="27" t="str">
        <f aca="false">IF($C210="","",N(E210)*IFERROR(INDEX(المنتجات!$G$5:$G$24,MATCH($C210,المنتجات!$A$5:$A$24,0)),0))</f>
        <v/>
      </c>
      <c r="G210" s="24"/>
      <c r="H210" s="27" t="str">
        <f aca="false">IF(OR($C210="",G210=""),"",G210-F210)</f>
        <v/>
      </c>
      <c r="I210" s="32"/>
      <c r="J210" s="29"/>
      <c r="K210" s="29"/>
    </row>
    <row r="211" customFormat="false" ht="15" hidden="false" customHeight="false" outlineLevel="0" collapsed="false">
      <c r="A211" s="32"/>
      <c r="B211" s="29"/>
      <c r="C211" s="29"/>
      <c r="D211" s="28" t="str">
        <f aca="false">IF($C211="","",IFERROR(INDEX(المنتجات!$C$5:$C$24,MATCH($C211,المنتجات!$A$5:$A$24,0)),"كود غير موجود"))</f>
        <v/>
      </c>
      <c r="E211" s="24"/>
      <c r="F211" s="27" t="str">
        <f aca="false">IF($C211="","",N(E211)*IFERROR(INDEX(المنتجات!$G$5:$G$24,MATCH($C211,المنتجات!$A$5:$A$24,0)),0))</f>
        <v/>
      </c>
      <c r="G211" s="24"/>
      <c r="H211" s="27" t="str">
        <f aca="false">IF(OR($C211="",G211=""),"",G211-F211)</f>
        <v/>
      </c>
      <c r="I211" s="32"/>
      <c r="J211" s="29"/>
      <c r="K211" s="29"/>
    </row>
    <row r="212" customFormat="false" ht="15" hidden="false" customHeight="false" outlineLevel="0" collapsed="false">
      <c r="A212" s="32"/>
      <c r="B212" s="29"/>
      <c r="C212" s="29"/>
      <c r="D212" s="28" t="str">
        <f aca="false">IF($C212="","",IFERROR(INDEX(المنتجات!$C$5:$C$24,MATCH($C212,المنتجات!$A$5:$A$24,0)),"كود غير موجود"))</f>
        <v/>
      </c>
      <c r="E212" s="24"/>
      <c r="F212" s="27" t="str">
        <f aca="false">IF($C212="","",N(E212)*IFERROR(INDEX(المنتجات!$G$5:$G$24,MATCH($C212,المنتجات!$A$5:$A$24,0)),0))</f>
        <v/>
      </c>
      <c r="G212" s="24"/>
      <c r="H212" s="27" t="str">
        <f aca="false">IF(OR($C212="",G212=""),"",G212-F212)</f>
        <v/>
      </c>
      <c r="I212" s="32"/>
      <c r="J212" s="29"/>
      <c r="K212" s="29"/>
    </row>
    <row r="213" customFormat="false" ht="15" hidden="false" customHeight="false" outlineLevel="0" collapsed="false">
      <c r="A213" s="32"/>
      <c r="B213" s="29"/>
      <c r="C213" s="29"/>
      <c r="D213" s="28" t="str">
        <f aca="false">IF($C213="","",IFERROR(INDEX(المنتجات!$C$5:$C$24,MATCH($C213,المنتجات!$A$5:$A$24,0)),"كود غير موجود"))</f>
        <v/>
      </c>
      <c r="E213" s="24"/>
      <c r="F213" s="27" t="str">
        <f aca="false">IF($C213="","",N(E213)*IFERROR(INDEX(المنتجات!$G$5:$G$24,MATCH($C213,المنتجات!$A$5:$A$24,0)),0))</f>
        <v/>
      </c>
      <c r="G213" s="24"/>
      <c r="H213" s="27" t="str">
        <f aca="false">IF(OR($C213="",G213=""),"",G213-F213)</f>
        <v/>
      </c>
      <c r="I213" s="32"/>
      <c r="J213" s="29"/>
      <c r="K213" s="29"/>
    </row>
    <row r="214" customFormat="false" ht="15" hidden="false" customHeight="false" outlineLevel="0" collapsed="false">
      <c r="A214" s="32"/>
      <c r="B214" s="29"/>
      <c r="C214" s="29"/>
      <c r="D214" s="28" t="str">
        <f aca="false">IF($C214="","",IFERROR(INDEX(المنتجات!$C$5:$C$24,MATCH($C214,المنتجات!$A$5:$A$24,0)),"كود غير موجود"))</f>
        <v/>
      </c>
      <c r="E214" s="24"/>
      <c r="F214" s="27" t="str">
        <f aca="false">IF($C214="","",N(E214)*IFERROR(INDEX(المنتجات!$G$5:$G$24,MATCH($C214,المنتجات!$A$5:$A$24,0)),0))</f>
        <v/>
      </c>
      <c r="G214" s="24"/>
      <c r="H214" s="27" t="str">
        <f aca="false">IF(OR($C214="",G214=""),"",G214-F214)</f>
        <v/>
      </c>
      <c r="I214" s="32"/>
      <c r="J214" s="29"/>
      <c r="K214" s="29"/>
    </row>
    <row r="215" customFormat="false" ht="15" hidden="false" customHeight="false" outlineLevel="0" collapsed="false">
      <c r="A215" s="32"/>
      <c r="B215" s="29"/>
      <c r="C215" s="29"/>
      <c r="D215" s="28" t="str">
        <f aca="false">IF($C215="","",IFERROR(INDEX(المنتجات!$C$5:$C$24,MATCH($C215,المنتجات!$A$5:$A$24,0)),"كود غير موجود"))</f>
        <v/>
      </c>
      <c r="E215" s="24"/>
      <c r="F215" s="27" t="str">
        <f aca="false">IF($C215="","",N(E215)*IFERROR(INDEX(المنتجات!$G$5:$G$24,MATCH($C215,المنتجات!$A$5:$A$24,0)),0))</f>
        <v/>
      </c>
      <c r="G215" s="24"/>
      <c r="H215" s="27" t="str">
        <f aca="false">IF(OR($C215="",G215=""),"",G215-F215)</f>
        <v/>
      </c>
      <c r="I215" s="32"/>
      <c r="J215" s="29"/>
      <c r="K215" s="29"/>
    </row>
    <row r="216" customFormat="false" ht="15" hidden="false" customHeight="false" outlineLevel="0" collapsed="false">
      <c r="A216" s="32"/>
      <c r="B216" s="29"/>
      <c r="C216" s="29"/>
      <c r="D216" s="28" t="str">
        <f aca="false">IF($C216="","",IFERROR(INDEX(المنتجات!$C$5:$C$24,MATCH($C216,المنتجات!$A$5:$A$24,0)),"كود غير موجود"))</f>
        <v/>
      </c>
      <c r="E216" s="24"/>
      <c r="F216" s="27" t="str">
        <f aca="false">IF($C216="","",N(E216)*IFERROR(INDEX(المنتجات!$G$5:$G$24,MATCH($C216,المنتجات!$A$5:$A$24,0)),0))</f>
        <v/>
      </c>
      <c r="G216" s="24"/>
      <c r="H216" s="27" t="str">
        <f aca="false">IF(OR($C216="",G216=""),"",G216-F216)</f>
        <v/>
      </c>
      <c r="I216" s="32"/>
      <c r="J216" s="29"/>
      <c r="K216" s="29"/>
    </row>
    <row r="217" customFormat="false" ht="15" hidden="false" customHeight="false" outlineLevel="0" collapsed="false">
      <c r="A217" s="32"/>
      <c r="B217" s="29"/>
      <c r="C217" s="29"/>
      <c r="D217" s="28" t="str">
        <f aca="false">IF($C217="","",IFERROR(INDEX(المنتجات!$C$5:$C$24,MATCH($C217,المنتجات!$A$5:$A$24,0)),"كود غير موجود"))</f>
        <v/>
      </c>
      <c r="E217" s="24"/>
      <c r="F217" s="27" t="str">
        <f aca="false">IF($C217="","",N(E217)*IFERROR(INDEX(المنتجات!$G$5:$G$24,MATCH($C217,المنتجات!$A$5:$A$24,0)),0))</f>
        <v/>
      </c>
      <c r="G217" s="24"/>
      <c r="H217" s="27" t="str">
        <f aca="false">IF(OR($C217="",G217=""),"",G217-F217)</f>
        <v/>
      </c>
      <c r="I217" s="32"/>
      <c r="J217" s="29"/>
      <c r="K217" s="29"/>
    </row>
    <row r="218" customFormat="false" ht="15" hidden="false" customHeight="false" outlineLevel="0" collapsed="false">
      <c r="A218" s="32"/>
      <c r="B218" s="29"/>
      <c r="C218" s="29"/>
      <c r="D218" s="28" t="str">
        <f aca="false">IF($C218="","",IFERROR(INDEX(المنتجات!$C$5:$C$24,MATCH($C218,المنتجات!$A$5:$A$24,0)),"كود غير موجود"))</f>
        <v/>
      </c>
      <c r="E218" s="24"/>
      <c r="F218" s="27" t="str">
        <f aca="false">IF($C218="","",N(E218)*IFERROR(INDEX(المنتجات!$G$5:$G$24,MATCH($C218,المنتجات!$A$5:$A$24,0)),0))</f>
        <v/>
      </c>
      <c r="G218" s="24"/>
      <c r="H218" s="27" t="str">
        <f aca="false">IF(OR($C218="",G218=""),"",G218-F218)</f>
        <v/>
      </c>
      <c r="I218" s="32"/>
      <c r="J218" s="29"/>
      <c r="K218" s="29"/>
    </row>
    <row r="219" customFormat="false" ht="15" hidden="false" customHeight="false" outlineLevel="0" collapsed="false">
      <c r="A219" s="32"/>
      <c r="B219" s="29"/>
      <c r="C219" s="29"/>
      <c r="D219" s="28" t="str">
        <f aca="false">IF($C219="","",IFERROR(INDEX(المنتجات!$C$5:$C$24,MATCH($C219,المنتجات!$A$5:$A$24,0)),"كود غير موجود"))</f>
        <v/>
      </c>
      <c r="E219" s="24"/>
      <c r="F219" s="27" t="str">
        <f aca="false">IF($C219="","",N(E219)*IFERROR(INDEX(المنتجات!$G$5:$G$24,MATCH($C219,المنتجات!$A$5:$A$24,0)),0))</f>
        <v/>
      </c>
      <c r="G219" s="24"/>
      <c r="H219" s="27" t="str">
        <f aca="false">IF(OR($C219="",G219=""),"",G219-F219)</f>
        <v/>
      </c>
      <c r="I219" s="32"/>
      <c r="J219" s="29"/>
      <c r="K219" s="29"/>
    </row>
    <row r="220" customFormat="false" ht="15" hidden="false" customHeight="false" outlineLevel="0" collapsed="false">
      <c r="A220" s="32"/>
      <c r="B220" s="29"/>
      <c r="C220" s="29"/>
      <c r="D220" s="28" t="str">
        <f aca="false">IF($C220="","",IFERROR(INDEX(المنتجات!$C$5:$C$24,MATCH($C220,المنتجات!$A$5:$A$24,0)),"كود غير موجود"))</f>
        <v/>
      </c>
      <c r="E220" s="24"/>
      <c r="F220" s="27" t="str">
        <f aca="false">IF($C220="","",N(E220)*IFERROR(INDEX(المنتجات!$G$5:$G$24,MATCH($C220,المنتجات!$A$5:$A$24,0)),0))</f>
        <v/>
      </c>
      <c r="G220" s="24"/>
      <c r="H220" s="27" t="str">
        <f aca="false">IF(OR($C220="",G220=""),"",G220-F220)</f>
        <v/>
      </c>
      <c r="I220" s="32"/>
      <c r="J220" s="29"/>
      <c r="K220" s="29"/>
    </row>
    <row r="221" customFormat="false" ht="15" hidden="false" customHeight="false" outlineLevel="0" collapsed="false">
      <c r="A221" s="32"/>
      <c r="B221" s="29"/>
      <c r="C221" s="29"/>
      <c r="D221" s="28" t="str">
        <f aca="false">IF($C221="","",IFERROR(INDEX(المنتجات!$C$5:$C$24,MATCH($C221,المنتجات!$A$5:$A$24,0)),"كود غير موجود"))</f>
        <v/>
      </c>
      <c r="E221" s="24"/>
      <c r="F221" s="27" t="str">
        <f aca="false">IF($C221="","",N(E221)*IFERROR(INDEX(المنتجات!$G$5:$G$24,MATCH($C221,المنتجات!$A$5:$A$24,0)),0))</f>
        <v/>
      </c>
      <c r="G221" s="24"/>
      <c r="H221" s="27" t="str">
        <f aca="false">IF(OR($C221="",G221=""),"",G221-F221)</f>
        <v/>
      </c>
      <c r="I221" s="32"/>
      <c r="J221" s="29"/>
      <c r="K221" s="29"/>
    </row>
    <row r="222" customFormat="false" ht="15" hidden="false" customHeight="false" outlineLevel="0" collapsed="false">
      <c r="A222" s="32"/>
      <c r="B222" s="29"/>
      <c r="C222" s="29"/>
      <c r="D222" s="28" t="str">
        <f aca="false">IF($C222="","",IFERROR(INDEX(المنتجات!$C$5:$C$24,MATCH($C222,المنتجات!$A$5:$A$24,0)),"كود غير موجود"))</f>
        <v/>
      </c>
      <c r="E222" s="24"/>
      <c r="F222" s="27" t="str">
        <f aca="false">IF($C222="","",N(E222)*IFERROR(INDEX(المنتجات!$G$5:$G$24,MATCH($C222,المنتجات!$A$5:$A$24,0)),0))</f>
        <v/>
      </c>
      <c r="G222" s="24"/>
      <c r="H222" s="27" t="str">
        <f aca="false">IF(OR($C222="",G222=""),"",G222-F222)</f>
        <v/>
      </c>
      <c r="I222" s="32"/>
      <c r="J222" s="29"/>
      <c r="K222" s="29"/>
    </row>
    <row r="223" customFormat="false" ht="15" hidden="false" customHeight="false" outlineLevel="0" collapsed="false">
      <c r="A223" s="32"/>
      <c r="B223" s="29"/>
      <c r="C223" s="29"/>
      <c r="D223" s="28" t="str">
        <f aca="false">IF($C223="","",IFERROR(INDEX(المنتجات!$C$5:$C$24,MATCH($C223,المنتجات!$A$5:$A$24,0)),"كود غير موجود"))</f>
        <v/>
      </c>
      <c r="E223" s="24"/>
      <c r="F223" s="27" t="str">
        <f aca="false">IF($C223="","",N(E223)*IFERROR(INDEX(المنتجات!$G$5:$G$24,MATCH($C223,المنتجات!$A$5:$A$24,0)),0))</f>
        <v/>
      </c>
      <c r="G223" s="24"/>
      <c r="H223" s="27" t="str">
        <f aca="false">IF(OR($C223="",G223=""),"",G223-F223)</f>
        <v/>
      </c>
      <c r="I223" s="32"/>
      <c r="J223" s="29"/>
      <c r="K223" s="29"/>
    </row>
    <row r="224" customFormat="false" ht="15" hidden="false" customHeight="false" outlineLevel="0" collapsed="false">
      <c r="A224" s="32"/>
      <c r="B224" s="29"/>
      <c r="C224" s="29"/>
      <c r="D224" s="28" t="str">
        <f aca="false">IF($C224="","",IFERROR(INDEX(المنتجات!$C$5:$C$24,MATCH($C224,المنتجات!$A$5:$A$24,0)),"كود غير موجود"))</f>
        <v/>
      </c>
      <c r="E224" s="24"/>
      <c r="F224" s="27" t="str">
        <f aca="false">IF($C224="","",N(E224)*IFERROR(INDEX(المنتجات!$G$5:$G$24,MATCH($C224,المنتجات!$A$5:$A$24,0)),0))</f>
        <v/>
      </c>
      <c r="G224" s="24"/>
      <c r="H224" s="27" t="str">
        <f aca="false">IF(OR($C224="",G224=""),"",G224-F224)</f>
        <v/>
      </c>
      <c r="I224" s="32"/>
      <c r="J224" s="29"/>
      <c r="K224" s="29"/>
    </row>
    <row r="225" customFormat="false" ht="15" hidden="false" customHeight="false" outlineLevel="0" collapsed="false">
      <c r="A225" s="32"/>
      <c r="B225" s="29"/>
      <c r="C225" s="29"/>
      <c r="D225" s="28" t="str">
        <f aca="false">IF($C225="","",IFERROR(INDEX(المنتجات!$C$5:$C$24,MATCH($C225,المنتجات!$A$5:$A$24,0)),"كود غير موجود"))</f>
        <v/>
      </c>
      <c r="E225" s="24"/>
      <c r="F225" s="27" t="str">
        <f aca="false">IF($C225="","",N(E225)*IFERROR(INDEX(المنتجات!$G$5:$G$24,MATCH($C225,المنتجات!$A$5:$A$24,0)),0))</f>
        <v/>
      </c>
      <c r="G225" s="24"/>
      <c r="H225" s="27" t="str">
        <f aca="false">IF(OR($C225="",G225=""),"",G225-F225)</f>
        <v/>
      </c>
      <c r="I225" s="32"/>
      <c r="J225" s="29"/>
      <c r="K225" s="29"/>
    </row>
    <row r="226" customFormat="false" ht="15" hidden="false" customHeight="false" outlineLevel="0" collapsed="false">
      <c r="A226" s="32"/>
      <c r="B226" s="29"/>
      <c r="C226" s="29"/>
      <c r="D226" s="28" t="str">
        <f aca="false">IF($C226="","",IFERROR(INDEX(المنتجات!$C$5:$C$24,MATCH($C226,المنتجات!$A$5:$A$24,0)),"كود غير موجود"))</f>
        <v/>
      </c>
      <c r="E226" s="24"/>
      <c r="F226" s="27" t="str">
        <f aca="false">IF($C226="","",N(E226)*IFERROR(INDEX(المنتجات!$G$5:$G$24,MATCH($C226,المنتجات!$A$5:$A$24,0)),0))</f>
        <v/>
      </c>
      <c r="G226" s="24"/>
      <c r="H226" s="27" t="str">
        <f aca="false">IF(OR($C226="",G226=""),"",G226-F226)</f>
        <v/>
      </c>
      <c r="I226" s="32"/>
      <c r="J226" s="29"/>
      <c r="K226" s="29"/>
    </row>
    <row r="227" customFormat="false" ht="15" hidden="false" customHeight="false" outlineLevel="0" collapsed="false">
      <c r="A227" s="32"/>
      <c r="B227" s="29"/>
      <c r="C227" s="29"/>
      <c r="D227" s="28" t="str">
        <f aca="false">IF($C227="","",IFERROR(INDEX(المنتجات!$C$5:$C$24,MATCH($C227,المنتجات!$A$5:$A$24,0)),"كود غير موجود"))</f>
        <v/>
      </c>
      <c r="E227" s="24"/>
      <c r="F227" s="27" t="str">
        <f aca="false">IF($C227="","",N(E227)*IFERROR(INDEX(المنتجات!$G$5:$G$24,MATCH($C227,المنتجات!$A$5:$A$24,0)),0))</f>
        <v/>
      </c>
      <c r="G227" s="24"/>
      <c r="H227" s="27" t="str">
        <f aca="false">IF(OR($C227="",G227=""),"",G227-F227)</f>
        <v/>
      </c>
      <c r="I227" s="32"/>
      <c r="J227" s="29"/>
      <c r="K227" s="29"/>
    </row>
    <row r="228" customFormat="false" ht="15" hidden="false" customHeight="false" outlineLevel="0" collapsed="false">
      <c r="A228" s="32"/>
      <c r="B228" s="29"/>
      <c r="C228" s="29"/>
      <c r="D228" s="28" t="str">
        <f aca="false">IF($C228="","",IFERROR(INDEX(المنتجات!$C$5:$C$24,MATCH($C228,المنتجات!$A$5:$A$24,0)),"كود غير موجود"))</f>
        <v/>
      </c>
      <c r="E228" s="24"/>
      <c r="F228" s="27" t="str">
        <f aca="false">IF($C228="","",N(E228)*IFERROR(INDEX(المنتجات!$G$5:$G$24,MATCH($C228,المنتجات!$A$5:$A$24,0)),0))</f>
        <v/>
      </c>
      <c r="G228" s="24"/>
      <c r="H228" s="27" t="str">
        <f aca="false">IF(OR($C228="",G228=""),"",G228-F228)</f>
        <v/>
      </c>
      <c r="I228" s="32"/>
      <c r="J228" s="29"/>
      <c r="K228" s="29"/>
    </row>
    <row r="229" customFormat="false" ht="15" hidden="false" customHeight="false" outlineLevel="0" collapsed="false">
      <c r="A229" s="32"/>
      <c r="B229" s="29"/>
      <c r="C229" s="29"/>
      <c r="D229" s="28" t="str">
        <f aca="false">IF($C229="","",IFERROR(INDEX(المنتجات!$C$5:$C$24,MATCH($C229,المنتجات!$A$5:$A$24,0)),"كود غير موجود"))</f>
        <v/>
      </c>
      <c r="E229" s="24"/>
      <c r="F229" s="27" t="str">
        <f aca="false">IF($C229="","",N(E229)*IFERROR(INDEX(المنتجات!$G$5:$G$24,MATCH($C229,المنتجات!$A$5:$A$24,0)),0))</f>
        <v/>
      </c>
      <c r="G229" s="24"/>
      <c r="H229" s="27" t="str">
        <f aca="false">IF(OR($C229="",G229=""),"",G229-F229)</f>
        <v/>
      </c>
      <c r="I229" s="32"/>
      <c r="J229" s="29"/>
      <c r="K229" s="29"/>
    </row>
    <row r="230" customFormat="false" ht="15" hidden="false" customHeight="false" outlineLevel="0" collapsed="false">
      <c r="A230" s="32"/>
      <c r="B230" s="29"/>
      <c r="C230" s="29"/>
      <c r="D230" s="28" t="str">
        <f aca="false">IF($C230="","",IFERROR(INDEX(المنتجات!$C$5:$C$24,MATCH($C230,المنتجات!$A$5:$A$24,0)),"كود غير موجود"))</f>
        <v/>
      </c>
      <c r="E230" s="24"/>
      <c r="F230" s="27" t="str">
        <f aca="false">IF($C230="","",N(E230)*IFERROR(INDEX(المنتجات!$G$5:$G$24,MATCH($C230,المنتجات!$A$5:$A$24,0)),0))</f>
        <v/>
      </c>
      <c r="G230" s="24"/>
      <c r="H230" s="27" t="str">
        <f aca="false">IF(OR($C230="",G230=""),"",G230-F230)</f>
        <v/>
      </c>
      <c r="I230" s="32"/>
      <c r="J230" s="29"/>
      <c r="K230" s="29"/>
    </row>
    <row r="231" customFormat="false" ht="15" hidden="false" customHeight="false" outlineLevel="0" collapsed="false">
      <c r="A231" s="32"/>
      <c r="B231" s="29"/>
      <c r="C231" s="29"/>
      <c r="D231" s="28" t="str">
        <f aca="false">IF($C231="","",IFERROR(INDEX(المنتجات!$C$5:$C$24,MATCH($C231,المنتجات!$A$5:$A$24,0)),"كود غير موجود"))</f>
        <v/>
      </c>
      <c r="E231" s="24"/>
      <c r="F231" s="27" t="str">
        <f aca="false">IF($C231="","",N(E231)*IFERROR(INDEX(المنتجات!$G$5:$G$24,MATCH($C231,المنتجات!$A$5:$A$24,0)),0))</f>
        <v/>
      </c>
      <c r="G231" s="24"/>
      <c r="H231" s="27" t="str">
        <f aca="false">IF(OR($C231="",G231=""),"",G231-F231)</f>
        <v/>
      </c>
      <c r="I231" s="32"/>
      <c r="J231" s="29"/>
      <c r="K231" s="29"/>
    </row>
    <row r="232" customFormat="false" ht="15" hidden="false" customHeight="false" outlineLevel="0" collapsed="false">
      <c r="A232" s="32"/>
      <c r="B232" s="29"/>
      <c r="C232" s="29"/>
      <c r="D232" s="28" t="str">
        <f aca="false">IF($C232="","",IFERROR(INDEX(المنتجات!$C$5:$C$24,MATCH($C232,المنتجات!$A$5:$A$24,0)),"كود غير موجود"))</f>
        <v/>
      </c>
      <c r="E232" s="24"/>
      <c r="F232" s="27" t="str">
        <f aca="false">IF($C232="","",N(E232)*IFERROR(INDEX(المنتجات!$G$5:$G$24,MATCH($C232,المنتجات!$A$5:$A$24,0)),0))</f>
        <v/>
      </c>
      <c r="G232" s="24"/>
      <c r="H232" s="27" t="str">
        <f aca="false">IF(OR($C232="",G232=""),"",G232-F232)</f>
        <v/>
      </c>
      <c r="I232" s="32"/>
      <c r="J232" s="29"/>
      <c r="K232" s="29"/>
    </row>
    <row r="233" customFormat="false" ht="15" hidden="false" customHeight="false" outlineLevel="0" collapsed="false">
      <c r="A233" s="32"/>
      <c r="B233" s="29"/>
      <c r="C233" s="29"/>
      <c r="D233" s="28" t="str">
        <f aca="false">IF($C233="","",IFERROR(INDEX(المنتجات!$C$5:$C$24,MATCH($C233,المنتجات!$A$5:$A$24,0)),"كود غير موجود"))</f>
        <v/>
      </c>
      <c r="E233" s="24"/>
      <c r="F233" s="27" t="str">
        <f aca="false">IF($C233="","",N(E233)*IFERROR(INDEX(المنتجات!$G$5:$G$24,MATCH($C233,المنتجات!$A$5:$A$24,0)),0))</f>
        <v/>
      </c>
      <c r="G233" s="24"/>
      <c r="H233" s="27" t="str">
        <f aca="false">IF(OR($C233="",G233=""),"",G233-F233)</f>
        <v/>
      </c>
      <c r="I233" s="32"/>
      <c r="J233" s="29"/>
      <c r="K233" s="29"/>
    </row>
    <row r="234" customFormat="false" ht="15" hidden="false" customHeight="false" outlineLevel="0" collapsed="false">
      <c r="A234" s="32"/>
      <c r="B234" s="29"/>
      <c r="C234" s="29"/>
      <c r="D234" s="28" t="str">
        <f aca="false">IF($C234="","",IFERROR(INDEX(المنتجات!$C$5:$C$24,MATCH($C234,المنتجات!$A$5:$A$24,0)),"كود غير موجود"))</f>
        <v/>
      </c>
      <c r="E234" s="24"/>
      <c r="F234" s="27" t="str">
        <f aca="false">IF($C234="","",N(E234)*IFERROR(INDEX(المنتجات!$G$5:$G$24,MATCH($C234,المنتجات!$A$5:$A$24,0)),0))</f>
        <v/>
      </c>
      <c r="G234" s="24"/>
      <c r="H234" s="27" t="str">
        <f aca="false">IF(OR($C234="",G234=""),"",G234-F234)</f>
        <v/>
      </c>
      <c r="I234" s="32"/>
      <c r="J234" s="29"/>
      <c r="K234" s="29"/>
    </row>
    <row r="235" customFormat="false" ht="15" hidden="false" customHeight="false" outlineLevel="0" collapsed="false">
      <c r="A235" s="32"/>
      <c r="B235" s="29"/>
      <c r="C235" s="29"/>
      <c r="D235" s="28" t="str">
        <f aca="false">IF($C235="","",IFERROR(INDEX(المنتجات!$C$5:$C$24,MATCH($C235,المنتجات!$A$5:$A$24,0)),"كود غير موجود"))</f>
        <v/>
      </c>
      <c r="E235" s="24"/>
      <c r="F235" s="27" t="str">
        <f aca="false">IF($C235="","",N(E235)*IFERROR(INDEX(المنتجات!$G$5:$G$24,MATCH($C235,المنتجات!$A$5:$A$24,0)),0))</f>
        <v/>
      </c>
      <c r="G235" s="24"/>
      <c r="H235" s="27" t="str">
        <f aca="false">IF(OR($C235="",G235=""),"",G235-F235)</f>
        <v/>
      </c>
      <c r="I235" s="32"/>
      <c r="J235" s="29"/>
      <c r="K235" s="29"/>
    </row>
    <row r="236" customFormat="false" ht="15" hidden="false" customHeight="false" outlineLevel="0" collapsed="false">
      <c r="A236" s="32"/>
      <c r="B236" s="29"/>
      <c r="C236" s="29"/>
      <c r="D236" s="28" t="str">
        <f aca="false">IF($C236="","",IFERROR(INDEX(المنتجات!$C$5:$C$24,MATCH($C236,المنتجات!$A$5:$A$24,0)),"كود غير موجود"))</f>
        <v/>
      </c>
      <c r="E236" s="24"/>
      <c r="F236" s="27" t="str">
        <f aca="false">IF($C236="","",N(E236)*IFERROR(INDEX(المنتجات!$G$5:$G$24,MATCH($C236,المنتجات!$A$5:$A$24,0)),0))</f>
        <v/>
      </c>
      <c r="G236" s="24"/>
      <c r="H236" s="27" t="str">
        <f aca="false">IF(OR($C236="",G236=""),"",G236-F236)</f>
        <v/>
      </c>
      <c r="I236" s="32"/>
      <c r="J236" s="29"/>
      <c r="K236" s="29"/>
    </row>
    <row r="237" customFormat="false" ht="15" hidden="false" customHeight="false" outlineLevel="0" collapsed="false">
      <c r="A237" s="32"/>
      <c r="B237" s="29"/>
      <c r="C237" s="29"/>
      <c r="D237" s="28" t="str">
        <f aca="false">IF($C237="","",IFERROR(INDEX(المنتجات!$C$5:$C$24,MATCH($C237,المنتجات!$A$5:$A$24,0)),"كود غير موجود"))</f>
        <v/>
      </c>
      <c r="E237" s="24"/>
      <c r="F237" s="27" t="str">
        <f aca="false">IF($C237="","",N(E237)*IFERROR(INDEX(المنتجات!$G$5:$G$24,MATCH($C237,المنتجات!$A$5:$A$24,0)),0))</f>
        <v/>
      </c>
      <c r="G237" s="24"/>
      <c r="H237" s="27" t="str">
        <f aca="false">IF(OR($C237="",G237=""),"",G237-F237)</f>
        <v/>
      </c>
      <c r="I237" s="32"/>
      <c r="J237" s="29"/>
      <c r="K237" s="29"/>
    </row>
    <row r="238" customFormat="false" ht="15" hidden="false" customHeight="false" outlineLevel="0" collapsed="false">
      <c r="A238" s="32"/>
      <c r="B238" s="29"/>
      <c r="C238" s="29"/>
      <c r="D238" s="28" t="str">
        <f aca="false">IF($C238="","",IFERROR(INDEX(المنتجات!$C$5:$C$24,MATCH($C238,المنتجات!$A$5:$A$24,0)),"كود غير موجود"))</f>
        <v/>
      </c>
      <c r="E238" s="24"/>
      <c r="F238" s="27" t="str">
        <f aca="false">IF($C238="","",N(E238)*IFERROR(INDEX(المنتجات!$G$5:$G$24,MATCH($C238,المنتجات!$A$5:$A$24,0)),0))</f>
        <v/>
      </c>
      <c r="G238" s="24"/>
      <c r="H238" s="27" t="str">
        <f aca="false">IF(OR($C238="",G238=""),"",G238-F238)</f>
        <v/>
      </c>
      <c r="I238" s="32"/>
      <c r="J238" s="29"/>
      <c r="K238" s="29"/>
    </row>
    <row r="239" customFormat="false" ht="15" hidden="false" customHeight="false" outlineLevel="0" collapsed="false">
      <c r="A239" s="32"/>
      <c r="B239" s="29"/>
      <c r="C239" s="29"/>
      <c r="D239" s="28" t="str">
        <f aca="false">IF($C239="","",IFERROR(INDEX(المنتجات!$C$5:$C$24,MATCH($C239,المنتجات!$A$5:$A$24,0)),"كود غير موجود"))</f>
        <v/>
      </c>
      <c r="E239" s="24"/>
      <c r="F239" s="27" t="str">
        <f aca="false">IF($C239="","",N(E239)*IFERROR(INDEX(المنتجات!$G$5:$G$24,MATCH($C239,المنتجات!$A$5:$A$24,0)),0))</f>
        <v/>
      </c>
      <c r="G239" s="24"/>
      <c r="H239" s="27" t="str">
        <f aca="false">IF(OR($C239="",G239=""),"",G239-F239)</f>
        <v/>
      </c>
      <c r="I239" s="32"/>
      <c r="J239" s="29"/>
      <c r="K239" s="29"/>
    </row>
    <row r="240" customFormat="false" ht="15" hidden="false" customHeight="false" outlineLevel="0" collapsed="false">
      <c r="A240" s="32"/>
      <c r="B240" s="29"/>
      <c r="C240" s="29"/>
      <c r="D240" s="28" t="str">
        <f aca="false">IF($C240="","",IFERROR(INDEX(المنتجات!$C$5:$C$24,MATCH($C240,المنتجات!$A$5:$A$24,0)),"كود غير موجود"))</f>
        <v/>
      </c>
      <c r="E240" s="24"/>
      <c r="F240" s="27" t="str">
        <f aca="false">IF($C240="","",N(E240)*IFERROR(INDEX(المنتجات!$G$5:$G$24,MATCH($C240,المنتجات!$A$5:$A$24,0)),0))</f>
        <v/>
      </c>
      <c r="G240" s="24"/>
      <c r="H240" s="27" t="str">
        <f aca="false">IF(OR($C240="",G240=""),"",G240-F240)</f>
        <v/>
      </c>
      <c r="I240" s="32"/>
      <c r="J240" s="29"/>
      <c r="K240" s="29"/>
    </row>
    <row r="241" customFormat="false" ht="15" hidden="false" customHeight="false" outlineLevel="0" collapsed="false">
      <c r="A241" s="32"/>
      <c r="B241" s="29"/>
      <c r="C241" s="29"/>
      <c r="D241" s="28" t="str">
        <f aca="false">IF($C241="","",IFERROR(INDEX(المنتجات!$C$5:$C$24,MATCH($C241,المنتجات!$A$5:$A$24,0)),"كود غير موجود"))</f>
        <v/>
      </c>
      <c r="E241" s="24"/>
      <c r="F241" s="27" t="str">
        <f aca="false">IF($C241="","",N(E241)*IFERROR(INDEX(المنتجات!$G$5:$G$24,MATCH($C241,المنتجات!$A$5:$A$24,0)),0))</f>
        <v/>
      </c>
      <c r="G241" s="24"/>
      <c r="H241" s="27" t="str">
        <f aca="false">IF(OR($C241="",G241=""),"",G241-F241)</f>
        <v/>
      </c>
      <c r="I241" s="32"/>
      <c r="J241" s="29"/>
      <c r="K241" s="29"/>
    </row>
    <row r="242" customFormat="false" ht="15" hidden="false" customHeight="false" outlineLevel="0" collapsed="false">
      <c r="A242" s="32"/>
      <c r="B242" s="29"/>
      <c r="C242" s="29"/>
      <c r="D242" s="28" t="str">
        <f aca="false">IF($C242="","",IFERROR(INDEX(المنتجات!$C$5:$C$24,MATCH($C242,المنتجات!$A$5:$A$24,0)),"كود غير موجود"))</f>
        <v/>
      </c>
      <c r="E242" s="24"/>
      <c r="F242" s="27" t="str">
        <f aca="false">IF($C242="","",N(E242)*IFERROR(INDEX(المنتجات!$G$5:$G$24,MATCH($C242,المنتجات!$A$5:$A$24,0)),0))</f>
        <v/>
      </c>
      <c r="G242" s="24"/>
      <c r="H242" s="27" t="str">
        <f aca="false">IF(OR($C242="",G242=""),"",G242-F242)</f>
        <v/>
      </c>
      <c r="I242" s="32"/>
      <c r="J242" s="29"/>
      <c r="K242" s="29"/>
    </row>
    <row r="243" customFormat="false" ht="15" hidden="false" customHeight="false" outlineLevel="0" collapsed="false">
      <c r="A243" s="32"/>
      <c r="B243" s="29"/>
      <c r="C243" s="29"/>
      <c r="D243" s="28" t="str">
        <f aca="false">IF($C243="","",IFERROR(INDEX(المنتجات!$C$5:$C$24,MATCH($C243,المنتجات!$A$5:$A$24,0)),"كود غير موجود"))</f>
        <v/>
      </c>
      <c r="E243" s="24"/>
      <c r="F243" s="27" t="str">
        <f aca="false">IF($C243="","",N(E243)*IFERROR(INDEX(المنتجات!$G$5:$G$24,MATCH($C243,المنتجات!$A$5:$A$24,0)),0))</f>
        <v/>
      </c>
      <c r="G243" s="24"/>
      <c r="H243" s="27" t="str">
        <f aca="false">IF(OR($C243="",G243=""),"",G243-F243)</f>
        <v/>
      </c>
      <c r="I243" s="32"/>
      <c r="J243" s="29"/>
      <c r="K243" s="29"/>
    </row>
    <row r="244" customFormat="false" ht="15" hidden="false" customHeight="false" outlineLevel="0" collapsed="false">
      <c r="A244" s="32"/>
      <c r="B244" s="29"/>
      <c r="C244" s="29"/>
      <c r="D244" s="28" t="str">
        <f aca="false">IF($C244="","",IFERROR(INDEX(المنتجات!$C$5:$C$24,MATCH($C244,المنتجات!$A$5:$A$24,0)),"كود غير موجود"))</f>
        <v/>
      </c>
      <c r="E244" s="24"/>
      <c r="F244" s="27" t="str">
        <f aca="false">IF($C244="","",N(E244)*IFERROR(INDEX(المنتجات!$G$5:$G$24,MATCH($C244,المنتجات!$A$5:$A$24,0)),0))</f>
        <v/>
      </c>
      <c r="G244" s="24"/>
      <c r="H244" s="27" t="str">
        <f aca="false">IF(OR($C244="",G244=""),"",G244-F244)</f>
        <v/>
      </c>
      <c r="I244" s="32"/>
      <c r="J244" s="29"/>
      <c r="K244" s="29"/>
    </row>
    <row r="245" customFormat="false" ht="15" hidden="false" customHeight="false" outlineLevel="0" collapsed="false">
      <c r="A245" s="32"/>
      <c r="B245" s="29"/>
      <c r="C245" s="29"/>
      <c r="D245" s="28" t="str">
        <f aca="false">IF($C245="","",IFERROR(INDEX(المنتجات!$C$5:$C$24,MATCH($C245,المنتجات!$A$5:$A$24,0)),"كود غير موجود"))</f>
        <v/>
      </c>
      <c r="E245" s="24"/>
      <c r="F245" s="27" t="str">
        <f aca="false">IF($C245="","",N(E245)*IFERROR(INDEX(المنتجات!$G$5:$G$24,MATCH($C245,المنتجات!$A$5:$A$24,0)),0))</f>
        <v/>
      </c>
      <c r="G245" s="24"/>
      <c r="H245" s="27" t="str">
        <f aca="false">IF(OR($C245="",G245=""),"",G245-F245)</f>
        <v/>
      </c>
      <c r="I245" s="32"/>
      <c r="J245" s="29"/>
      <c r="K245" s="29"/>
    </row>
    <row r="246" customFormat="false" ht="15" hidden="false" customHeight="false" outlineLevel="0" collapsed="false">
      <c r="A246" s="32"/>
      <c r="B246" s="29"/>
      <c r="C246" s="29"/>
      <c r="D246" s="28" t="str">
        <f aca="false">IF($C246="","",IFERROR(INDEX(المنتجات!$C$5:$C$24,MATCH($C246,المنتجات!$A$5:$A$24,0)),"كود غير موجود"))</f>
        <v/>
      </c>
      <c r="E246" s="24"/>
      <c r="F246" s="27" t="str">
        <f aca="false">IF($C246="","",N(E246)*IFERROR(INDEX(المنتجات!$G$5:$G$24,MATCH($C246,المنتجات!$A$5:$A$24,0)),0))</f>
        <v/>
      </c>
      <c r="G246" s="24"/>
      <c r="H246" s="27" t="str">
        <f aca="false">IF(OR($C246="",G246=""),"",G246-F246)</f>
        <v/>
      </c>
      <c r="I246" s="32"/>
      <c r="J246" s="29"/>
      <c r="K246" s="29"/>
    </row>
    <row r="247" customFormat="false" ht="15" hidden="false" customHeight="false" outlineLevel="0" collapsed="false">
      <c r="A247" s="32"/>
      <c r="B247" s="29"/>
      <c r="C247" s="29"/>
      <c r="D247" s="28" t="str">
        <f aca="false">IF($C247="","",IFERROR(INDEX(المنتجات!$C$5:$C$24,MATCH($C247,المنتجات!$A$5:$A$24,0)),"كود غير موجود"))</f>
        <v/>
      </c>
      <c r="E247" s="24"/>
      <c r="F247" s="27" t="str">
        <f aca="false">IF($C247="","",N(E247)*IFERROR(INDEX(المنتجات!$G$5:$G$24,MATCH($C247,المنتجات!$A$5:$A$24,0)),0))</f>
        <v/>
      </c>
      <c r="G247" s="24"/>
      <c r="H247" s="27" t="str">
        <f aca="false">IF(OR($C247="",G247=""),"",G247-F247)</f>
        <v/>
      </c>
      <c r="I247" s="32"/>
      <c r="J247" s="29"/>
      <c r="K247" s="29"/>
    </row>
    <row r="248" customFormat="false" ht="15" hidden="false" customHeight="false" outlineLevel="0" collapsed="false">
      <c r="A248" s="32"/>
      <c r="B248" s="29"/>
      <c r="C248" s="29"/>
      <c r="D248" s="28" t="str">
        <f aca="false">IF($C248="","",IFERROR(INDEX(المنتجات!$C$5:$C$24,MATCH($C248,المنتجات!$A$5:$A$24,0)),"كود غير موجود"))</f>
        <v/>
      </c>
      <c r="E248" s="24"/>
      <c r="F248" s="27" t="str">
        <f aca="false">IF($C248="","",N(E248)*IFERROR(INDEX(المنتجات!$G$5:$G$24,MATCH($C248,المنتجات!$A$5:$A$24,0)),0))</f>
        <v/>
      </c>
      <c r="G248" s="24"/>
      <c r="H248" s="27" t="str">
        <f aca="false">IF(OR($C248="",G248=""),"",G248-F248)</f>
        <v/>
      </c>
      <c r="I248" s="32"/>
      <c r="J248" s="29"/>
      <c r="K248" s="29"/>
    </row>
    <row r="249" customFormat="false" ht="15" hidden="false" customHeight="false" outlineLevel="0" collapsed="false">
      <c r="A249" s="32"/>
      <c r="B249" s="29"/>
      <c r="C249" s="29"/>
      <c r="D249" s="28" t="str">
        <f aca="false">IF($C249="","",IFERROR(INDEX(المنتجات!$C$5:$C$24,MATCH($C249,المنتجات!$A$5:$A$24,0)),"كود غير موجود"))</f>
        <v/>
      </c>
      <c r="E249" s="24"/>
      <c r="F249" s="27" t="str">
        <f aca="false">IF($C249="","",N(E249)*IFERROR(INDEX(المنتجات!$G$5:$G$24,MATCH($C249,المنتجات!$A$5:$A$24,0)),0))</f>
        <v/>
      </c>
      <c r="G249" s="24"/>
      <c r="H249" s="27" t="str">
        <f aca="false">IF(OR($C249="",G249=""),"",G249-F249)</f>
        <v/>
      </c>
      <c r="I249" s="32"/>
      <c r="J249" s="29"/>
      <c r="K249" s="29"/>
    </row>
    <row r="250" customFormat="false" ht="15" hidden="false" customHeight="false" outlineLevel="0" collapsed="false">
      <c r="A250" s="32"/>
      <c r="B250" s="29"/>
      <c r="C250" s="29"/>
      <c r="D250" s="28" t="str">
        <f aca="false">IF($C250="","",IFERROR(INDEX(المنتجات!$C$5:$C$24,MATCH($C250,المنتجات!$A$5:$A$24,0)),"كود غير موجود"))</f>
        <v/>
      </c>
      <c r="E250" s="24"/>
      <c r="F250" s="27" t="str">
        <f aca="false">IF($C250="","",N(E250)*IFERROR(INDEX(المنتجات!$G$5:$G$24,MATCH($C250,المنتجات!$A$5:$A$24,0)),0))</f>
        <v/>
      </c>
      <c r="G250" s="24"/>
      <c r="H250" s="27" t="str">
        <f aca="false">IF(OR($C250="",G250=""),"",G250-F250)</f>
        <v/>
      </c>
      <c r="I250" s="32"/>
      <c r="J250" s="29"/>
      <c r="K250" s="29"/>
    </row>
    <row r="251" customFormat="false" ht="15" hidden="false" customHeight="false" outlineLevel="0" collapsed="false">
      <c r="A251" s="32"/>
      <c r="B251" s="29"/>
      <c r="C251" s="29"/>
      <c r="D251" s="28" t="str">
        <f aca="false">IF($C251="","",IFERROR(INDEX(المنتجات!$C$5:$C$24,MATCH($C251,المنتجات!$A$5:$A$24,0)),"كود غير موجود"))</f>
        <v/>
      </c>
      <c r="E251" s="24"/>
      <c r="F251" s="27" t="str">
        <f aca="false">IF($C251="","",N(E251)*IFERROR(INDEX(المنتجات!$G$5:$G$24,MATCH($C251,المنتجات!$A$5:$A$24,0)),0))</f>
        <v/>
      </c>
      <c r="G251" s="24"/>
      <c r="H251" s="27" t="str">
        <f aca="false">IF(OR($C251="",G251=""),"",G251-F251)</f>
        <v/>
      </c>
      <c r="I251" s="32"/>
      <c r="J251" s="29"/>
      <c r="K251" s="29"/>
    </row>
    <row r="252" customFormat="false" ht="15" hidden="false" customHeight="false" outlineLevel="0" collapsed="false">
      <c r="A252" s="32"/>
      <c r="B252" s="29"/>
      <c r="C252" s="29"/>
      <c r="D252" s="28" t="str">
        <f aca="false">IF($C252="","",IFERROR(INDEX(المنتجات!$C$5:$C$24,MATCH($C252,المنتجات!$A$5:$A$24,0)),"كود غير موجود"))</f>
        <v/>
      </c>
      <c r="E252" s="24"/>
      <c r="F252" s="27" t="str">
        <f aca="false">IF($C252="","",N(E252)*IFERROR(INDEX(المنتجات!$G$5:$G$24,MATCH($C252,المنتجات!$A$5:$A$24,0)),0))</f>
        <v/>
      </c>
      <c r="G252" s="24"/>
      <c r="H252" s="27" t="str">
        <f aca="false">IF(OR($C252="",G252=""),"",G252-F252)</f>
        <v/>
      </c>
      <c r="I252" s="32"/>
      <c r="J252" s="29"/>
      <c r="K252" s="29"/>
    </row>
    <row r="253" customFormat="false" ht="15" hidden="false" customHeight="false" outlineLevel="0" collapsed="false">
      <c r="A253" s="32"/>
      <c r="B253" s="29"/>
      <c r="C253" s="29"/>
      <c r="D253" s="28" t="str">
        <f aca="false">IF($C253="","",IFERROR(INDEX(المنتجات!$C$5:$C$24,MATCH($C253,المنتجات!$A$5:$A$24,0)),"كود غير موجود"))</f>
        <v/>
      </c>
      <c r="E253" s="24"/>
      <c r="F253" s="27" t="str">
        <f aca="false">IF($C253="","",N(E253)*IFERROR(INDEX(المنتجات!$G$5:$G$24,MATCH($C253,المنتجات!$A$5:$A$24,0)),0))</f>
        <v/>
      </c>
      <c r="G253" s="24"/>
      <c r="H253" s="27" t="str">
        <f aca="false">IF(OR($C253="",G253=""),"",G253-F253)</f>
        <v/>
      </c>
      <c r="I253" s="32"/>
      <c r="J253" s="29"/>
      <c r="K253" s="29"/>
    </row>
    <row r="254" customFormat="false" ht="15" hidden="false" customHeight="false" outlineLevel="0" collapsed="false">
      <c r="A254" s="32"/>
      <c r="B254" s="29"/>
      <c r="C254" s="29"/>
      <c r="D254" s="28" t="str">
        <f aca="false">IF($C254="","",IFERROR(INDEX(المنتجات!$C$5:$C$24,MATCH($C254,المنتجات!$A$5:$A$24,0)),"كود غير موجود"))</f>
        <v/>
      </c>
      <c r="E254" s="24"/>
      <c r="F254" s="27" t="str">
        <f aca="false">IF($C254="","",N(E254)*IFERROR(INDEX(المنتجات!$G$5:$G$24,MATCH($C254,المنتجات!$A$5:$A$24,0)),0))</f>
        <v/>
      </c>
      <c r="G254" s="24"/>
      <c r="H254" s="27" t="str">
        <f aca="false">IF(OR($C254="",G254=""),"",G254-F254)</f>
        <v/>
      </c>
      <c r="I254" s="32"/>
      <c r="J254" s="29"/>
      <c r="K254" s="29"/>
    </row>
    <row r="255" customFormat="false" ht="15" hidden="false" customHeight="false" outlineLevel="0" collapsed="false">
      <c r="A255" s="32"/>
      <c r="B255" s="29"/>
      <c r="C255" s="29"/>
      <c r="D255" s="28" t="str">
        <f aca="false">IF($C255="","",IFERROR(INDEX(المنتجات!$C$5:$C$24,MATCH($C255,المنتجات!$A$5:$A$24,0)),"كود غير موجود"))</f>
        <v/>
      </c>
      <c r="E255" s="24"/>
      <c r="F255" s="27" t="str">
        <f aca="false">IF($C255="","",N(E255)*IFERROR(INDEX(المنتجات!$G$5:$G$24,MATCH($C255,المنتجات!$A$5:$A$24,0)),0))</f>
        <v/>
      </c>
      <c r="G255" s="24"/>
      <c r="H255" s="27" t="str">
        <f aca="false">IF(OR($C255="",G255=""),"",G255-F255)</f>
        <v/>
      </c>
      <c r="I255" s="32"/>
      <c r="J255" s="29"/>
      <c r="K255" s="29"/>
    </row>
    <row r="256" customFormat="false" ht="15" hidden="false" customHeight="false" outlineLevel="0" collapsed="false">
      <c r="A256" s="32"/>
      <c r="B256" s="29"/>
      <c r="C256" s="29"/>
      <c r="D256" s="28" t="str">
        <f aca="false">IF($C256="","",IFERROR(INDEX(المنتجات!$C$5:$C$24,MATCH($C256,المنتجات!$A$5:$A$24,0)),"كود غير موجود"))</f>
        <v/>
      </c>
      <c r="E256" s="24"/>
      <c r="F256" s="27" t="str">
        <f aca="false">IF($C256="","",N(E256)*IFERROR(INDEX(المنتجات!$G$5:$G$24,MATCH($C256,المنتجات!$A$5:$A$24,0)),0))</f>
        <v/>
      </c>
      <c r="G256" s="24"/>
      <c r="H256" s="27" t="str">
        <f aca="false">IF(OR($C256="",G256=""),"",G256-F256)</f>
        <v/>
      </c>
      <c r="I256" s="32"/>
      <c r="J256" s="29"/>
      <c r="K256" s="29"/>
    </row>
    <row r="257" customFormat="false" ht="15" hidden="false" customHeight="false" outlineLevel="0" collapsed="false">
      <c r="A257" s="32"/>
      <c r="B257" s="29"/>
      <c r="C257" s="29"/>
      <c r="D257" s="28" t="str">
        <f aca="false">IF($C257="","",IFERROR(INDEX(المنتجات!$C$5:$C$24,MATCH($C257,المنتجات!$A$5:$A$24,0)),"كود غير موجود"))</f>
        <v/>
      </c>
      <c r="E257" s="24"/>
      <c r="F257" s="27" t="str">
        <f aca="false">IF($C257="","",N(E257)*IFERROR(INDEX(المنتجات!$G$5:$G$24,MATCH($C257,المنتجات!$A$5:$A$24,0)),0))</f>
        <v/>
      </c>
      <c r="G257" s="24"/>
      <c r="H257" s="27" t="str">
        <f aca="false">IF(OR($C257="",G257=""),"",G257-F257)</f>
        <v/>
      </c>
      <c r="I257" s="32"/>
      <c r="J257" s="29"/>
      <c r="K257" s="29"/>
    </row>
    <row r="258" customFormat="false" ht="15" hidden="false" customHeight="false" outlineLevel="0" collapsed="false">
      <c r="A258" s="32"/>
      <c r="B258" s="29"/>
      <c r="C258" s="29"/>
      <c r="D258" s="28" t="str">
        <f aca="false">IF($C258="","",IFERROR(INDEX(المنتجات!$C$5:$C$24,MATCH($C258,المنتجات!$A$5:$A$24,0)),"كود غير موجود"))</f>
        <v/>
      </c>
      <c r="E258" s="24"/>
      <c r="F258" s="27" t="str">
        <f aca="false">IF($C258="","",N(E258)*IFERROR(INDEX(المنتجات!$G$5:$G$24,MATCH($C258,المنتجات!$A$5:$A$24,0)),0))</f>
        <v/>
      </c>
      <c r="G258" s="24"/>
      <c r="H258" s="27" t="str">
        <f aca="false">IF(OR($C258="",G258=""),"",G258-F258)</f>
        <v/>
      </c>
      <c r="I258" s="32"/>
      <c r="J258" s="29"/>
      <c r="K258" s="29"/>
    </row>
    <row r="259" customFormat="false" ht="15" hidden="false" customHeight="false" outlineLevel="0" collapsed="false">
      <c r="A259" s="32"/>
      <c r="B259" s="29"/>
      <c r="C259" s="29"/>
      <c r="D259" s="28" t="str">
        <f aca="false">IF($C259="","",IFERROR(INDEX(المنتجات!$C$5:$C$24,MATCH($C259,المنتجات!$A$5:$A$24,0)),"كود غير موجود"))</f>
        <v/>
      </c>
      <c r="E259" s="24"/>
      <c r="F259" s="27" t="str">
        <f aca="false">IF($C259="","",N(E259)*IFERROR(INDEX(المنتجات!$G$5:$G$24,MATCH($C259,المنتجات!$A$5:$A$24,0)),0))</f>
        <v/>
      </c>
      <c r="G259" s="24"/>
      <c r="H259" s="27" t="str">
        <f aca="false">IF(OR($C259="",G259=""),"",G259-F259)</f>
        <v/>
      </c>
      <c r="I259" s="32"/>
      <c r="J259" s="29"/>
      <c r="K259" s="29"/>
    </row>
    <row r="260" customFormat="false" ht="15" hidden="false" customHeight="false" outlineLevel="0" collapsed="false">
      <c r="A260" s="32"/>
      <c r="B260" s="29"/>
      <c r="C260" s="29"/>
      <c r="D260" s="28" t="str">
        <f aca="false">IF($C260="","",IFERROR(INDEX(المنتجات!$C$5:$C$24,MATCH($C260,المنتجات!$A$5:$A$24,0)),"كود غير موجود"))</f>
        <v/>
      </c>
      <c r="E260" s="24"/>
      <c r="F260" s="27" t="str">
        <f aca="false">IF($C260="","",N(E260)*IFERROR(INDEX(المنتجات!$G$5:$G$24,MATCH($C260,المنتجات!$A$5:$A$24,0)),0))</f>
        <v/>
      </c>
      <c r="G260" s="24"/>
      <c r="H260" s="27" t="str">
        <f aca="false">IF(OR($C260="",G260=""),"",G260-F260)</f>
        <v/>
      </c>
      <c r="I260" s="32"/>
      <c r="J260" s="29"/>
      <c r="K260" s="29"/>
    </row>
    <row r="261" customFormat="false" ht="15" hidden="false" customHeight="false" outlineLevel="0" collapsed="false">
      <c r="A261" s="32"/>
      <c r="B261" s="29"/>
      <c r="C261" s="29"/>
      <c r="D261" s="28" t="str">
        <f aca="false">IF($C261="","",IFERROR(INDEX(المنتجات!$C$5:$C$24,MATCH($C261,المنتجات!$A$5:$A$24,0)),"كود غير موجود"))</f>
        <v/>
      </c>
      <c r="E261" s="24"/>
      <c r="F261" s="27" t="str">
        <f aca="false">IF($C261="","",N(E261)*IFERROR(INDEX(المنتجات!$G$5:$G$24,MATCH($C261,المنتجات!$A$5:$A$24,0)),0))</f>
        <v/>
      </c>
      <c r="G261" s="24"/>
      <c r="H261" s="27" t="str">
        <f aca="false">IF(OR($C261="",G261=""),"",G261-F261)</f>
        <v/>
      </c>
      <c r="I261" s="32"/>
      <c r="J261" s="29"/>
      <c r="K261" s="29"/>
    </row>
    <row r="262" customFormat="false" ht="15" hidden="false" customHeight="false" outlineLevel="0" collapsed="false">
      <c r="A262" s="32"/>
      <c r="B262" s="29"/>
      <c r="C262" s="29"/>
      <c r="D262" s="28" t="str">
        <f aca="false">IF($C262="","",IFERROR(INDEX(المنتجات!$C$5:$C$24,MATCH($C262,المنتجات!$A$5:$A$24,0)),"كود غير موجود"))</f>
        <v/>
      </c>
      <c r="E262" s="24"/>
      <c r="F262" s="27" t="str">
        <f aca="false">IF($C262="","",N(E262)*IFERROR(INDEX(المنتجات!$G$5:$G$24,MATCH($C262,المنتجات!$A$5:$A$24,0)),0))</f>
        <v/>
      </c>
      <c r="G262" s="24"/>
      <c r="H262" s="27" t="str">
        <f aca="false">IF(OR($C262="",G262=""),"",G262-F262)</f>
        <v/>
      </c>
      <c r="I262" s="32"/>
      <c r="J262" s="29"/>
      <c r="K262" s="29"/>
    </row>
    <row r="263" customFormat="false" ht="15" hidden="false" customHeight="false" outlineLevel="0" collapsed="false">
      <c r="A263" s="32"/>
      <c r="B263" s="29"/>
      <c r="C263" s="29"/>
      <c r="D263" s="28" t="str">
        <f aca="false">IF($C263="","",IFERROR(INDEX(المنتجات!$C$5:$C$24,MATCH($C263,المنتجات!$A$5:$A$24,0)),"كود غير موجود"))</f>
        <v/>
      </c>
      <c r="E263" s="24"/>
      <c r="F263" s="27" t="str">
        <f aca="false">IF($C263="","",N(E263)*IFERROR(INDEX(المنتجات!$G$5:$G$24,MATCH($C263,المنتجات!$A$5:$A$24,0)),0))</f>
        <v/>
      </c>
      <c r="G263" s="24"/>
      <c r="H263" s="27" t="str">
        <f aca="false">IF(OR($C263="",G263=""),"",G263-F263)</f>
        <v/>
      </c>
      <c r="I263" s="32"/>
      <c r="J263" s="29"/>
      <c r="K263" s="29"/>
    </row>
    <row r="264" customFormat="false" ht="15" hidden="false" customHeight="false" outlineLevel="0" collapsed="false">
      <c r="A264" s="32"/>
      <c r="B264" s="29"/>
      <c r="C264" s="29"/>
      <c r="D264" s="28" t="str">
        <f aca="false">IF($C264="","",IFERROR(INDEX(المنتجات!$C$5:$C$24,MATCH($C264,المنتجات!$A$5:$A$24,0)),"كود غير موجود"))</f>
        <v/>
      </c>
      <c r="E264" s="24"/>
      <c r="F264" s="27" t="str">
        <f aca="false">IF($C264="","",N(E264)*IFERROR(INDEX(المنتجات!$G$5:$G$24,MATCH($C264,المنتجات!$A$5:$A$24,0)),0))</f>
        <v/>
      </c>
      <c r="G264" s="24"/>
      <c r="H264" s="27" t="str">
        <f aca="false">IF(OR($C264="",G264=""),"",G264-F264)</f>
        <v/>
      </c>
      <c r="I264" s="32"/>
      <c r="J264" s="29"/>
      <c r="K264" s="29"/>
    </row>
    <row r="265" customFormat="false" ht="15" hidden="false" customHeight="false" outlineLevel="0" collapsed="false">
      <c r="A265" s="32"/>
      <c r="B265" s="29"/>
      <c r="C265" s="29"/>
      <c r="D265" s="28" t="str">
        <f aca="false">IF($C265="","",IFERROR(INDEX(المنتجات!$C$5:$C$24,MATCH($C265,المنتجات!$A$5:$A$24,0)),"كود غير موجود"))</f>
        <v/>
      </c>
      <c r="E265" s="24"/>
      <c r="F265" s="27" t="str">
        <f aca="false">IF($C265="","",N(E265)*IFERROR(INDEX(المنتجات!$G$5:$G$24,MATCH($C265,المنتجات!$A$5:$A$24,0)),0))</f>
        <v/>
      </c>
      <c r="G265" s="24"/>
      <c r="H265" s="27" t="str">
        <f aca="false">IF(OR($C265="",G265=""),"",G265-F265)</f>
        <v/>
      </c>
      <c r="I265" s="32"/>
      <c r="J265" s="29"/>
      <c r="K265" s="29"/>
    </row>
    <row r="266" customFormat="false" ht="15" hidden="false" customHeight="false" outlineLevel="0" collapsed="false">
      <c r="A266" s="32"/>
      <c r="B266" s="29"/>
      <c r="C266" s="29"/>
      <c r="D266" s="28" t="str">
        <f aca="false">IF($C266="","",IFERROR(INDEX(المنتجات!$C$5:$C$24,MATCH($C266,المنتجات!$A$5:$A$24,0)),"كود غير موجود"))</f>
        <v/>
      </c>
      <c r="E266" s="24"/>
      <c r="F266" s="27" t="str">
        <f aca="false">IF($C266="","",N(E266)*IFERROR(INDEX(المنتجات!$G$5:$G$24,MATCH($C266,المنتجات!$A$5:$A$24,0)),0))</f>
        <v/>
      </c>
      <c r="G266" s="24"/>
      <c r="H266" s="27" t="str">
        <f aca="false">IF(OR($C266="",G266=""),"",G266-F266)</f>
        <v/>
      </c>
      <c r="I266" s="32"/>
      <c r="J266" s="29"/>
      <c r="K266" s="29"/>
    </row>
    <row r="267" customFormat="false" ht="15" hidden="false" customHeight="false" outlineLevel="0" collapsed="false">
      <c r="A267" s="32"/>
      <c r="B267" s="29"/>
      <c r="C267" s="29"/>
      <c r="D267" s="28" t="str">
        <f aca="false">IF($C267="","",IFERROR(INDEX(المنتجات!$C$5:$C$24,MATCH($C267,المنتجات!$A$5:$A$24,0)),"كود غير موجود"))</f>
        <v/>
      </c>
      <c r="E267" s="24"/>
      <c r="F267" s="27" t="str">
        <f aca="false">IF($C267="","",N(E267)*IFERROR(INDEX(المنتجات!$G$5:$G$24,MATCH($C267,المنتجات!$A$5:$A$24,0)),0))</f>
        <v/>
      </c>
      <c r="G267" s="24"/>
      <c r="H267" s="27" t="str">
        <f aca="false">IF(OR($C267="",G267=""),"",G267-F267)</f>
        <v/>
      </c>
      <c r="I267" s="32"/>
      <c r="J267" s="29"/>
      <c r="K267" s="29"/>
    </row>
    <row r="268" customFormat="false" ht="15" hidden="false" customHeight="false" outlineLevel="0" collapsed="false">
      <c r="A268" s="32"/>
      <c r="B268" s="29"/>
      <c r="C268" s="29"/>
      <c r="D268" s="28" t="str">
        <f aca="false">IF($C268="","",IFERROR(INDEX(المنتجات!$C$5:$C$24,MATCH($C268,المنتجات!$A$5:$A$24,0)),"كود غير موجود"))</f>
        <v/>
      </c>
      <c r="E268" s="24"/>
      <c r="F268" s="27" t="str">
        <f aca="false">IF($C268="","",N(E268)*IFERROR(INDEX(المنتجات!$G$5:$G$24,MATCH($C268,المنتجات!$A$5:$A$24,0)),0))</f>
        <v/>
      </c>
      <c r="G268" s="24"/>
      <c r="H268" s="27" t="str">
        <f aca="false">IF(OR($C268="",G268=""),"",G268-F268)</f>
        <v/>
      </c>
      <c r="I268" s="32"/>
      <c r="J268" s="29"/>
      <c r="K268" s="29"/>
    </row>
    <row r="269" customFormat="false" ht="15" hidden="false" customHeight="false" outlineLevel="0" collapsed="false">
      <c r="A269" s="32"/>
      <c r="B269" s="29"/>
      <c r="C269" s="29"/>
      <c r="D269" s="28" t="str">
        <f aca="false">IF($C269="","",IFERROR(INDEX(المنتجات!$C$5:$C$24,MATCH($C269,المنتجات!$A$5:$A$24,0)),"كود غير موجود"))</f>
        <v/>
      </c>
      <c r="E269" s="24"/>
      <c r="F269" s="27" t="str">
        <f aca="false">IF($C269="","",N(E269)*IFERROR(INDEX(المنتجات!$G$5:$G$24,MATCH($C269,المنتجات!$A$5:$A$24,0)),0))</f>
        <v/>
      </c>
      <c r="G269" s="24"/>
      <c r="H269" s="27" t="str">
        <f aca="false">IF(OR($C269="",G269=""),"",G269-F269)</f>
        <v/>
      </c>
      <c r="I269" s="32"/>
      <c r="J269" s="29"/>
      <c r="K269" s="29"/>
    </row>
    <row r="270" customFormat="false" ht="15" hidden="false" customHeight="false" outlineLevel="0" collapsed="false">
      <c r="A270" s="32"/>
      <c r="B270" s="29"/>
      <c r="C270" s="29"/>
      <c r="D270" s="28" t="str">
        <f aca="false">IF($C270="","",IFERROR(INDEX(المنتجات!$C$5:$C$24,MATCH($C270,المنتجات!$A$5:$A$24,0)),"كود غير موجود"))</f>
        <v/>
      </c>
      <c r="E270" s="24"/>
      <c r="F270" s="27" t="str">
        <f aca="false">IF($C270="","",N(E270)*IFERROR(INDEX(المنتجات!$G$5:$G$24,MATCH($C270,المنتجات!$A$5:$A$24,0)),0))</f>
        <v/>
      </c>
      <c r="G270" s="24"/>
      <c r="H270" s="27" t="str">
        <f aca="false">IF(OR($C270="",G270=""),"",G270-F270)</f>
        <v/>
      </c>
      <c r="I270" s="32"/>
      <c r="J270" s="29"/>
      <c r="K270" s="29"/>
    </row>
    <row r="271" customFormat="false" ht="15" hidden="false" customHeight="false" outlineLevel="0" collapsed="false">
      <c r="A271" s="32"/>
      <c r="B271" s="29"/>
      <c r="C271" s="29"/>
      <c r="D271" s="28" t="str">
        <f aca="false">IF($C271="","",IFERROR(INDEX(المنتجات!$C$5:$C$24,MATCH($C271,المنتجات!$A$5:$A$24,0)),"كود غير موجود"))</f>
        <v/>
      </c>
      <c r="E271" s="24"/>
      <c r="F271" s="27" t="str">
        <f aca="false">IF($C271="","",N(E271)*IFERROR(INDEX(المنتجات!$G$5:$G$24,MATCH($C271,المنتجات!$A$5:$A$24,0)),0))</f>
        <v/>
      </c>
      <c r="G271" s="24"/>
      <c r="H271" s="27" t="str">
        <f aca="false">IF(OR($C271="",G271=""),"",G271-F271)</f>
        <v/>
      </c>
      <c r="I271" s="32"/>
      <c r="J271" s="29"/>
      <c r="K271" s="29"/>
    </row>
    <row r="272" customFormat="false" ht="15" hidden="false" customHeight="false" outlineLevel="0" collapsed="false">
      <c r="A272" s="32"/>
      <c r="B272" s="29"/>
      <c r="C272" s="29"/>
      <c r="D272" s="28" t="str">
        <f aca="false">IF($C272="","",IFERROR(INDEX(المنتجات!$C$5:$C$24,MATCH($C272,المنتجات!$A$5:$A$24,0)),"كود غير موجود"))</f>
        <v/>
      </c>
      <c r="E272" s="24"/>
      <c r="F272" s="27" t="str">
        <f aca="false">IF($C272="","",N(E272)*IFERROR(INDEX(المنتجات!$G$5:$G$24,MATCH($C272,المنتجات!$A$5:$A$24,0)),0))</f>
        <v/>
      </c>
      <c r="G272" s="24"/>
      <c r="H272" s="27" t="str">
        <f aca="false">IF(OR($C272="",G272=""),"",G272-F272)</f>
        <v/>
      </c>
      <c r="I272" s="32"/>
      <c r="J272" s="29"/>
      <c r="K272" s="29"/>
    </row>
    <row r="273" customFormat="false" ht="15" hidden="false" customHeight="false" outlineLevel="0" collapsed="false">
      <c r="A273" s="32"/>
      <c r="B273" s="29"/>
      <c r="C273" s="29"/>
      <c r="D273" s="28" t="str">
        <f aca="false">IF($C273="","",IFERROR(INDEX(المنتجات!$C$5:$C$24,MATCH($C273,المنتجات!$A$5:$A$24,0)),"كود غير موجود"))</f>
        <v/>
      </c>
      <c r="E273" s="24"/>
      <c r="F273" s="27" t="str">
        <f aca="false">IF($C273="","",N(E273)*IFERROR(INDEX(المنتجات!$G$5:$G$24,MATCH($C273,المنتجات!$A$5:$A$24,0)),0))</f>
        <v/>
      </c>
      <c r="G273" s="24"/>
      <c r="H273" s="27" t="str">
        <f aca="false">IF(OR($C273="",G273=""),"",G273-F273)</f>
        <v/>
      </c>
      <c r="I273" s="32"/>
      <c r="J273" s="29"/>
      <c r="K273" s="29"/>
    </row>
    <row r="274" customFormat="false" ht="15" hidden="false" customHeight="false" outlineLevel="0" collapsed="false">
      <c r="A274" s="32"/>
      <c r="B274" s="29"/>
      <c r="C274" s="29"/>
      <c r="D274" s="28" t="str">
        <f aca="false">IF($C274="","",IFERROR(INDEX(المنتجات!$C$5:$C$24,MATCH($C274,المنتجات!$A$5:$A$24,0)),"كود غير موجود"))</f>
        <v/>
      </c>
      <c r="E274" s="24"/>
      <c r="F274" s="27" t="str">
        <f aca="false">IF($C274="","",N(E274)*IFERROR(INDEX(المنتجات!$G$5:$G$24,MATCH($C274,المنتجات!$A$5:$A$24,0)),0))</f>
        <v/>
      </c>
      <c r="G274" s="24"/>
      <c r="H274" s="27" t="str">
        <f aca="false">IF(OR($C274="",G274=""),"",G274-F274)</f>
        <v/>
      </c>
      <c r="I274" s="32"/>
      <c r="J274" s="29"/>
      <c r="K274" s="29"/>
    </row>
    <row r="275" customFormat="false" ht="15" hidden="false" customHeight="false" outlineLevel="0" collapsed="false">
      <c r="A275" s="32"/>
      <c r="B275" s="29"/>
      <c r="C275" s="29"/>
      <c r="D275" s="28" t="str">
        <f aca="false">IF($C275="","",IFERROR(INDEX(المنتجات!$C$5:$C$24,MATCH($C275,المنتجات!$A$5:$A$24,0)),"كود غير موجود"))</f>
        <v/>
      </c>
      <c r="E275" s="24"/>
      <c r="F275" s="27" t="str">
        <f aca="false">IF($C275="","",N(E275)*IFERROR(INDEX(المنتجات!$G$5:$G$24,MATCH($C275,المنتجات!$A$5:$A$24,0)),0))</f>
        <v/>
      </c>
      <c r="G275" s="24"/>
      <c r="H275" s="27" t="str">
        <f aca="false">IF(OR($C275="",G275=""),"",G275-F275)</f>
        <v/>
      </c>
      <c r="I275" s="32"/>
      <c r="J275" s="29"/>
      <c r="K275" s="29"/>
    </row>
    <row r="276" customFormat="false" ht="15" hidden="false" customHeight="false" outlineLevel="0" collapsed="false">
      <c r="A276" s="32"/>
      <c r="B276" s="29"/>
      <c r="C276" s="29"/>
      <c r="D276" s="28" t="str">
        <f aca="false">IF($C276="","",IFERROR(INDEX(المنتجات!$C$5:$C$24,MATCH($C276,المنتجات!$A$5:$A$24,0)),"كود غير موجود"))</f>
        <v/>
      </c>
      <c r="E276" s="24"/>
      <c r="F276" s="27" t="str">
        <f aca="false">IF($C276="","",N(E276)*IFERROR(INDEX(المنتجات!$G$5:$G$24,MATCH($C276,المنتجات!$A$5:$A$24,0)),0))</f>
        <v/>
      </c>
      <c r="G276" s="24"/>
      <c r="H276" s="27" t="str">
        <f aca="false">IF(OR($C276="",G276=""),"",G276-F276)</f>
        <v/>
      </c>
      <c r="I276" s="32"/>
      <c r="J276" s="29"/>
      <c r="K276" s="29"/>
    </row>
    <row r="277" customFormat="false" ht="15" hidden="false" customHeight="false" outlineLevel="0" collapsed="false">
      <c r="A277" s="32"/>
      <c r="B277" s="29"/>
      <c r="C277" s="29"/>
      <c r="D277" s="28" t="str">
        <f aca="false">IF($C277="","",IFERROR(INDEX(المنتجات!$C$5:$C$24,MATCH($C277,المنتجات!$A$5:$A$24,0)),"كود غير موجود"))</f>
        <v/>
      </c>
      <c r="E277" s="24"/>
      <c r="F277" s="27" t="str">
        <f aca="false">IF($C277="","",N(E277)*IFERROR(INDEX(المنتجات!$G$5:$G$24,MATCH($C277,المنتجات!$A$5:$A$24,0)),0))</f>
        <v/>
      </c>
      <c r="G277" s="24"/>
      <c r="H277" s="27" t="str">
        <f aca="false">IF(OR($C277="",G277=""),"",G277-F277)</f>
        <v/>
      </c>
      <c r="I277" s="32"/>
      <c r="J277" s="29"/>
      <c r="K277" s="29"/>
    </row>
    <row r="278" customFormat="false" ht="15" hidden="false" customHeight="false" outlineLevel="0" collapsed="false">
      <c r="A278" s="32"/>
      <c r="B278" s="29"/>
      <c r="C278" s="29"/>
      <c r="D278" s="28" t="str">
        <f aca="false">IF($C278="","",IFERROR(INDEX(المنتجات!$C$5:$C$24,MATCH($C278,المنتجات!$A$5:$A$24,0)),"كود غير موجود"))</f>
        <v/>
      </c>
      <c r="E278" s="24"/>
      <c r="F278" s="27" t="str">
        <f aca="false">IF($C278="","",N(E278)*IFERROR(INDEX(المنتجات!$G$5:$G$24,MATCH($C278,المنتجات!$A$5:$A$24,0)),0))</f>
        <v/>
      </c>
      <c r="G278" s="24"/>
      <c r="H278" s="27" t="str">
        <f aca="false">IF(OR($C278="",G278=""),"",G278-F278)</f>
        <v/>
      </c>
      <c r="I278" s="32"/>
      <c r="J278" s="29"/>
      <c r="K278" s="29"/>
    </row>
    <row r="279" customFormat="false" ht="15" hidden="false" customHeight="false" outlineLevel="0" collapsed="false">
      <c r="A279" s="32"/>
      <c r="B279" s="29"/>
      <c r="C279" s="29"/>
      <c r="D279" s="28" t="str">
        <f aca="false">IF($C279="","",IFERROR(INDEX(المنتجات!$C$5:$C$24,MATCH($C279,المنتجات!$A$5:$A$24,0)),"كود غير موجود"))</f>
        <v/>
      </c>
      <c r="E279" s="24"/>
      <c r="F279" s="27" t="str">
        <f aca="false">IF($C279="","",N(E279)*IFERROR(INDEX(المنتجات!$G$5:$G$24,MATCH($C279,المنتجات!$A$5:$A$24,0)),0))</f>
        <v/>
      </c>
      <c r="G279" s="24"/>
      <c r="H279" s="27" t="str">
        <f aca="false">IF(OR($C279="",G279=""),"",G279-F279)</f>
        <v/>
      </c>
      <c r="I279" s="32"/>
      <c r="J279" s="29"/>
      <c r="K279" s="29"/>
    </row>
    <row r="280" customFormat="false" ht="15" hidden="false" customHeight="false" outlineLevel="0" collapsed="false">
      <c r="A280" s="32"/>
      <c r="B280" s="29"/>
      <c r="C280" s="29"/>
      <c r="D280" s="28" t="str">
        <f aca="false">IF($C280="","",IFERROR(INDEX(المنتجات!$C$5:$C$24,MATCH($C280,المنتجات!$A$5:$A$24,0)),"كود غير موجود"))</f>
        <v/>
      </c>
      <c r="E280" s="24"/>
      <c r="F280" s="27" t="str">
        <f aca="false">IF($C280="","",N(E280)*IFERROR(INDEX(المنتجات!$G$5:$G$24,MATCH($C280,المنتجات!$A$5:$A$24,0)),0))</f>
        <v/>
      </c>
      <c r="G280" s="24"/>
      <c r="H280" s="27" t="str">
        <f aca="false">IF(OR($C280="",G280=""),"",G280-F280)</f>
        <v/>
      </c>
      <c r="I280" s="32"/>
      <c r="J280" s="29"/>
      <c r="K280" s="29"/>
    </row>
    <row r="281" customFormat="false" ht="15" hidden="false" customHeight="false" outlineLevel="0" collapsed="false">
      <c r="A281" s="32"/>
      <c r="B281" s="29"/>
      <c r="C281" s="29"/>
      <c r="D281" s="28" t="str">
        <f aca="false">IF($C281="","",IFERROR(INDEX(المنتجات!$C$5:$C$24,MATCH($C281,المنتجات!$A$5:$A$24,0)),"كود غير موجود"))</f>
        <v/>
      </c>
      <c r="E281" s="24"/>
      <c r="F281" s="27" t="str">
        <f aca="false">IF($C281="","",N(E281)*IFERROR(INDEX(المنتجات!$G$5:$G$24,MATCH($C281,المنتجات!$A$5:$A$24,0)),0))</f>
        <v/>
      </c>
      <c r="G281" s="24"/>
      <c r="H281" s="27" t="str">
        <f aca="false">IF(OR($C281="",G281=""),"",G281-F281)</f>
        <v/>
      </c>
      <c r="I281" s="32"/>
      <c r="J281" s="29"/>
      <c r="K281" s="29"/>
    </row>
    <row r="282" customFormat="false" ht="15" hidden="false" customHeight="false" outlineLevel="0" collapsed="false">
      <c r="A282" s="32"/>
      <c r="B282" s="29"/>
      <c r="C282" s="29"/>
      <c r="D282" s="28" t="str">
        <f aca="false">IF($C282="","",IFERROR(INDEX(المنتجات!$C$5:$C$24,MATCH($C282,المنتجات!$A$5:$A$24,0)),"كود غير موجود"))</f>
        <v/>
      </c>
      <c r="E282" s="24"/>
      <c r="F282" s="27" t="str">
        <f aca="false">IF($C282="","",N(E282)*IFERROR(INDEX(المنتجات!$G$5:$G$24,MATCH($C282,المنتجات!$A$5:$A$24,0)),0))</f>
        <v/>
      </c>
      <c r="G282" s="24"/>
      <c r="H282" s="27" t="str">
        <f aca="false">IF(OR($C282="",G282=""),"",G282-F282)</f>
        <v/>
      </c>
      <c r="I282" s="32"/>
      <c r="J282" s="29"/>
      <c r="K282" s="29"/>
    </row>
    <row r="283" customFormat="false" ht="15" hidden="false" customHeight="false" outlineLevel="0" collapsed="false">
      <c r="A283" s="32"/>
      <c r="B283" s="29"/>
      <c r="C283" s="29"/>
      <c r="D283" s="28" t="str">
        <f aca="false">IF($C283="","",IFERROR(INDEX(المنتجات!$C$5:$C$24,MATCH($C283,المنتجات!$A$5:$A$24,0)),"كود غير موجود"))</f>
        <v/>
      </c>
      <c r="E283" s="24"/>
      <c r="F283" s="27" t="str">
        <f aca="false">IF($C283="","",N(E283)*IFERROR(INDEX(المنتجات!$G$5:$G$24,MATCH($C283,المنتجات!$A$5:$A$24,0)),0))</f>
        <v/>
      </c>
      <c r="G283" s="24"/>
      <c r="H283" s="27" t="str">
        <f aca="false">IF(OR($C283="",G283=""),"",G283-F283)</f>
        <v/>
      </c>
      <c r="I283" s="32"/>
      <c r="J283" s="29"/>
      <c r="K283" s="29"/>
    </row>
    <row r="284" customFormat="false" ht="15" hidden="false" customHeight="false" outlineLevel="0" collapsed="false">
      <c r="A284" s="32"/>
      <c r="B284" s="29"/>
      <c r="C284" s="29"/>
      <c r="D284" s="28" t="str">
        <f aca="false">IF($C284="","",IFERROR(INDEX(المنتجات!$C$5:$C$24,MATCH($C284,المنتجات!$A$5:$A$24,0)),"كود غير موجود"))</f>
        <v/>
      </c>
      <c r="E284" s="24"/>
      <c r="F284" s="27" t="str">
        <f aca="false">IF($C284="","",N(E284)*IFERROR(INDEX(المنتجات!$G$5:$G$24,MATCH($C284,المنتجات!$A$5:$A$24,0)),0))</f>
        <v/>
      </c>
      <c r="G284" s="24"/>
      <c r="H284" s="27" t="str">
        <f aca="false">IF(OR($C284="",G284=""),"",G284-F284)</f>
        <v/>
      </c>
      <c r="I284" s="32"/>
      <c r="J284" s="29"/>
      <c r="K284" s="29"/>
    </row>
    <row r="285" customFormat="false" ht="15" hidden="false" customHeight="false" outlineLevel="0" collapsed="false">
      <c r="A285" s="32"/>
      <c r="B285" s="29"/>
      <c r="C285" s="29"/>
      <c r="D285" s="28" t="str">
        <f aca="false">IF($C285="","",IFERROR(INDEX(المنتجات!$C$5:$C$24,MATCH($C285,المنتجات!$A$5:$A$24,0)),"كود غير موجود"))</f>
        <v/>
      </c>
      <c r="E285" s="24"/>
      <c r="F285" s="27" t="str">
        <f aca="false">IF($C285="","",N(E285)*IFERROR(INDEX(المنتجات!$G$5:$G$24,MATCH($C285,المنتجات!$A$5:$A$24,0)),0))</f>
        <v/>
      </c>
      <c r="G285" s="24"/>
      <c r="H285" s="27" t="str">
        <f aca="false">IF(OR($C285="",G285=""),"",G285-F285)</f>
        <v/>
      </c>
      <c r="I285" s="32"/>
      <c r="J285" s="29"/>
      <c r="K285" s="29"/>
    </row>
    <row r="286" customFormat="false" ht="15" hidden="false" customHeight="false" outlineLevel="0" collapsed="false">
      <c r="A286" s="32"/>
      <c r="B286" s="29"/>
      <c r="C286" s="29"/>
      <c r="D286" s="28" t="str">
        <f aca="false">IF($C286="","",IFERROR(INDEX(المنتجات!$C$5:$C$24,MATCH($C286,المنتجات!$A$5:$A$24,0)),"كود غير موجود"))</f>
        <v/>
      </c>
      <c r="E286" s="24"/>
      <c r="F286" s="27" t="str">
        <f aca="false">IF($C286="","",N(E286)*IFERROR(INDEX(المنتجات!$G$5:$G$24,MATCH($C286,المنتجات!$A$5:$A$24,0)),0))</f>
        <v/>
      </c>
      <c r="G286" s="24"/>
      <c r="H286" s="27" t="str">
        <f aca="false">IF(OR($C286="",G286=""),"",G286-F286)</f>
        <v/>
      </c>
      <c r="I286" s="32"/>
      <c r="J286" s="29"/>
      <c r="K286" s="29"/>
    </row>
    <row r="287" customFormat="false" ht="15" hidden="false" customHeight="false" outlineLevel="0" collapsed="false">
      <c r="A287" s="32"/>
      <c r="B287" s="29"/>
      <c r="C287" s="29"/>
      <c r="D287" s="28" t="str">
        <f aca="false">IF($C287="","",IFERROR(INDEX(المنتجات!$C$5:$C$24,MATCH($C287,المنتجات!$A$5:$A$24,0)),"كود غير موجود"))</f>
        <v/>
      </c>
      <c r="E287" s="24"/>
      <c r="F287" s="27" t="str">
        <f aca="false">IF($C287="","",N(E287)*IFERROR(INDEX(المنتجات!$G$5:$G$24,MATCH($C287,المنتجات!$A$5:$A$24,0)),0))</f>
        <v/>
      </c>
      <c r="G287" s="24"/>
      <c r="H287" s="27" t="str">
        <f aca="false">IF(OR($C287="",G287=""),"",G287-F287)</f>
        <v/>
      </c>
      <c r="I287" s="32"/>
      <c r="J287" s="29"/>
      <c r="K287" s="29"/>
    </row>
    <row r="288" customFormat="false" ht="15" hidden="false" customHeight="false" outlineLevel="0" collapsed="false">
      <c r="A288" s="32"/>
      <c r="B288" s="29"/>
      <c r="C288" s="29"/>
      <c r="D288" s="28" t="str">
        <f aca="false">IF($C288="","",IFERROR(INDEX(المنتجات!$C$5:$C$24,MATCH($C288,المنتجات!$A$5:$A$24,0)),"كود غير موجود"))</f>
        <v/>
      </c>
      <c r="E288" s="24"/>
      <c r="F288" s="27" t="str">
        <f aca="false">IF($C288="","",N(E288)*IFERROR(INDEX(المنتجات!$G$5:$G$24,MATCH($C288,المنتجات!$A$5:$A$24,0)),0))</f>
        <v/>
      </c>
      <c r="G288" s="24"/>
      <c r="H288" s="27" t="str">
        <f aca="false">IF(OR($C288="",G288=""),"",G288-F288)</f>
        <v/>
      </c>
      <c r="I288" s="32"/>
      <c r="J288" s="29"/>
      <c r="K288" s="29"/>
    </row>
    <row r="289" customFormat="false" ht="15" hidden="false" customHeight="false" outlineLevel="0" collapsed="false">
      <c r="A289" s="32"/>
      <c r="B289" s="29"/>
      <c r="C289" s="29"/>
      <c r="D289" s="28" t="str">
        <f aca="false">IF($C289="","",IFERROR(INDEX(المنتجات!$C$5:$C$24,MATCH($C289,المنتجات!$A$5:$A$24,0)),"كود غير موجود"))</f>
        <v/>
      </c>
      <c r="E289" s="24"/>
      <c r="F289" s="27" t="str">
        <f aca="false">IF($C289="","",N(E289)*IFERROR(INDEX(المنتجات!$G$5:$G$24,MATCH($C289,المنتجات!$A$5:$A$24,0)),0))</f>
        <v/>
      </c>
      <c r="G289" s="24"/>
      <c r="H289" s="27" t="str">
        <f aca="false">IF(OR($C289="",G289=""),"",G289-F289)</f>
        <v/>
      </c>
      <c r="I289" s="32"/>
      <c r="J289" s="29"/>
      <c r="K289" s="29"/>
    </row>
    <row r="290" customFormat="false" ht="15" hidden="false" customHeight="false" outlineLevel="0" collapsed="false">
      <c r="A290" s="32"/>
      <c r="B290" s="29"/>
      <c r="C290" s="29"/>
      <c r="D290" s="28" t="str">
        <f aca="false">IF($C290="","",IFERROR(INDEX(المنتجات!$C$5:$C$24,MATCH($C290,المنتجات!$A$5:$A$24,0)),"كود غير موجود"))</f>
        <v/>
      </c>
      <c r="E290" s="24"/>
      <c r="F290" s="27" t="str">
        <f aca="false">IF($C290="","",N(E290)*IFERROR(INDEX(المنتجات!$G$5:$G$24,MATCH($C290,المنتجات!$A$5:$A$24,0)),0))</f>
        <v/>
      </c>
      <c r="G290" s="24"/>
      <c r="H290" s="27" t="str">
        <f aca="false">IF(OR($C290="",G290=""),"",G290-F290)</f>
        <v/>
      </c>
      <c r="I290" s="32"/>
      <c r="J290" s="29"/>
      <c r="K290" s="29"/>
    </row>
    <row r="291" customFormat="false" ht="15" hidden="false" customHeight="false" outlineLevel="0" collapsed="false">
      <c r="A291" s="32"/>
      <c r="B291" s="29"/>
      <c r="C291" s="29"/>
      <c r="D291" s="28" t="str">
        <f aca="false">IF($C291="","",IFERROR(INDEX(المنتجات!$C$5:$C$24,MATCH($C291,المنتجات!$A$5:$A$24,0)),"كود غير موجود"))</f>
        <v/>
      </c>
      <c r="E291" s="24"/>
      <c r="F291" s="27" t="str">
        <f aca="false">IF($C291="","",N(E291)*IFERROR(INDEX(المنتجات!$G$5:$G$24,MATCH($C291,المنتجات!$A$5:$A$24,0)),0))</f>
        <v/>
      </c>
      <c r="G291" s="24"/>
      <c r="H291" s="27" t="str">
        <f aca="false">IF(OR($C291="",G291=""),"",G291-F291)</f>
        <v/>
      </c>
      <c r="I291" s="32"/>
      <c r="J291" s="29"/>
      <c r="K291" s="29"/>
    </row>
    <row r="292" customFormat="false" ht="15" hidden="false" customHeight="false" outlineLevel="0" collapsed="false">
      <c r="A292" s="32"/>
      <c r="B292" s="29"/>
      <c r="C292" s="29"/>
      <c r="D292" s="28" t="str">
        <f aca="false">IF($C292="","",IFERROR(INDEX(المنتجات!$C$5:$C$24,MATCH($C292,المنتجات!$A$5:$A$24,0)),"كود غير موجود"))</f>
        <v/>
      </c>
      <c r="E292" s="24"/>
      <c r="F292" s="27" t="str">
        <f aca="false">IF($C292="","",N(E292)*IFERROR(INDEX(المنتجات!$G$5:$G$24,MATCH($C292,المنتجات!$A$5:$A$24,0)),0))</f>
        <v/>
      </c>
      <c r="G292" s="24"/>
      <c r="H292" s="27" t="str">
        <f aca="false">IF(OR($C292="",G292=""),"",G292-F292)</f>
        <v/>
      </c>
      <c r="I292" s="32"/>
      <c r="J292" s="29"/>
      <c r="K292" s="29"/>
    </row>
    <row r="293" customFormat="false" ht="15" hidden="false" customHeight="false" outlineLevel="0" collapsed="false">
      <c r="A293" s="32"/>
      <c r="B293" s="29"/>
      <c r="C293" s="29"/>
      <c r="D293" s="28" t="str">
        <f aca="false">IF($C293="","",IFERROR(INDEX(المنتجات!$C$5:$C$24,MATCH($C293,المنتجات!$A$5:$A$24,0)),"كود غير موجود"))</f>
        <v/>
      </c>
      <c r="E293" s="24"/>
      <c r="F293" s="27" t="str">
        <f aca="false">IF($C293="","",N(E293)*IFERROR(INDEX(المنتجات!$G$5:$G$24,MATCH($C293,المنتجات!$A$5:$A$24,0)),0))</f>
        <v/>
      </c>
      <c r="G293" s="24"/>
      <c r="H293" s="27" t="str">
        <f aca="false">IF(OR($C293="",G293=""),"",G293-F293)</f>
        <v/>
      </c>
      <c r="I293" s="32"/>
      <c r="J293" s="29"/>
      <c r="K293" s="29"/>
    </row>
    <row r="294" customFormat="false" ht="15" hidden="false" customHeight="false" outlineLevel="0" collapsed="false">
      <c r="A294" s="32"/>
      <c r="B294" s="29"/>
      <c r="C294" s="29"/>
      <c r="D294" s="28" t="str">
        <f aca="false">IF($C294="","",IFERROR(INDEX(المنتجات!$C$5:$C$24,MATCH($C294,المنتجات!$A$5:$A$24,0)),"كود غير موجود"))</f>
        <v/>
      </c>
      <c r="E294" s="24"/>
      <c r="F294" s="27" t="str">
        <f aca="false">IF($C294="","",N(E294)*IFERROR(INDEX(المنتجات!$G$5:$G$24,MATCH($C294,المنتجات!$A$5:$A$24,0)),0))</f>
        <v/>
      </c>
      <c r="G294" s="24"/>
      <c r="H294" s="27" t="str">
        <f aca="false">IF(OR($C294="",G294=""),"",G294-F294)</f>
        <v/>
      </c>
      <c r="I294" s="32"/>
      <c r="J294" s="29"/>
      <c r="K294" s="29"/>
    </row>
    <row r="295" customFormat="false" ht="15" hidden="false" customHeight="false" outlineLevel="0" collapsed="false">
      <c r="A295" s="32"/>
      <c r="B295" s="29"/>
      <c r="C295" s="29"/>
      <c r="D295" s="28" t="str">
        <f aca="false">IF($C295="","",IFERROR(INDEX(المنتجات!$C$5:$C$24,MATCH($C295,المنتجات!$A$5:$A$24,0)),"كود غير موجود"))</f>
        <v/>
      </c>
      <c r="E295" s="24"/>
      <c r="F295" s="27" t="str">
        <f aca="false">IF($C295="","",N(E295)*IFERROR(INDEX(المنتجات!$G$5:$G$24,MATCH($C295,المنتجات!$A$5:$A$24,0)),0))</f>
        <v/>
      </c>
      <c r="G295" s="24"/>
      <c r="H295" s="27" t="str">
        <f aca="false">IF(OR($C295="",G295=""),"",G295-F295)</f>
        <v/>
      </c>
      <c r="I295" s="32"/>
      <c r="J295" s="29"/>
      <c r="K295" s="29"/>
    </row>
    <row r="296" customFormat="false" ht="15" hidden="false" customHeight="false" outlineLevel="0" collapsed="false">
      <c r="A296" s="32"/>
      <c r="B296" s="29"/>
      <c r="C296" s="29"/>
      <c r="D296" s="28" t="str">
        <f aca="false">IF($C296="","",IFERROR(INDEX(المنتجات!$C$5:$C$24,MATCH($C296,المنتجات!$A$5:$A$24,0)),"كود غير موجود"))</f>
        <v/>
      </c>
      <c r="E296" s="24"/>
      <c r="F296" s="27" t="str">
        <f aca="false">IF($C296="","",N(E296)*IFERROR(INDEX(المنتجات!$G$5:$G$24,MATCH($C296,المنتجات!$A$5:$A$24,0)),0))</f>
        <v/>
      </c>
      <c r="G296" s="24"/>
      <c r="H296" s="27" t="str">
        <f aca="false">IF(OR($C296="",G296=""),"",G296-F296)</f>
        <v/>
      </c>
      <c r="I296" s="32"/>
      <c r="J296" s="29"/>
      <c r="K296" s="29"/>
    </row>
    <row r="297" customFormat="false" ht="15" hidden="false" customHeight="false" outlineLevel="0" collapsed="false">
      <c r="A297" s="32"/>
      <c r="B297" s="29"/>
      <c r="C297" s="29"/>
      <c r="D297" s="28" t="str">
        <f aca="false">IF($C297="","",IFERROR(INDEX(المنتجات!$C$5:$C$24,MATCH($C297,المنتجات!$A$5:$A$24,0)),"كود غير موجود"))</f>
        <v/>
      </c>
      <c r="E297" s="24"/>
      <c r="F297" s="27" t="str">
        <f aca="false">IF($C297="","",N(E297)*IFERROR(INDEX(المنتجات!$G$5:$G$24,MATCH($C297,المنتجات!$A$5:$A$24,0)),0))</f>
        <v/>
      </c>
      <c r="G297" s="24"/>
      <c r="H297" s="27" t="str">
        <f aca="false">IF(OR($C297="",G297=""),"",G297-F297)</f>
        <v/>
      </c>
      <c r="I297" s="32"/>
      <c r="J297" s="29"/>
      <c r="K297" s="29"/>
    </row>
    <row r="298" customFormat="false" ht="15" hidden="false" customHeight="false" outlineLevel="0" collapsed="false">
      <c r="A298" s="32"/>
      <c r="B298" s="29"/>
      <c r="C298" s="29"/>
      <c r="D298" s="28" t="str">
        <f aca="false">IF($C298="","",IFERROR(INDEX(المنتجات!$C$5:$C$24,MATCH($C298,المنتجات!$A$5:$A$24,0)),"كود غير موجود"))</f>
        <v/>
      </c>
      <c r="E298" s="24"/>
      <c r="F298" s="27" t="str">
        <f aca="false">IF($C298="","",N(E298)*IFERROR(INDEX(المنتجات!$G$5:$G$24,MATCH($C298,المنتجات!$A$5:$A$24,0)),0))</f>
        <v/>
      </c>
      <c r="G298" s="24"/>
      <c r="H298" s="27" t="str">
        <f aca="false">IF(OR($C298="",G298=""),"",G298-F298)</f>
        <v/>
      </c>
      <c r="I298" s="32"/>
      <c r="J298" s="29"/>
      <c r="K298" s="29"/>
    </row>
    <row r="299" customFormat="false" ht="15" hidden="false" customHeight="false" outlineLevel="0" collapsed="false">
      <c r="A299" s="32"/>
      <c r="B299" s="29"/>
      <c r="C299" s="29"/>
      <c r="D299" s="28" t="str">
        <f aca="false">IF($C299="","",IFERROR(INDEX(المنتجات!$C$5:$C$24,MATCH($C299,المنتجات!$A$5:$A$24,0)),"كود غير موجود"))</f>
        <v/>
      </c>
      <c r="E299" s="24"/>
      <c r="F299" s="27" t="str">
        <f aca="false">IF($C299="","",N(E299)*IFERROR(INDEX(المنتجات!$G$5:$G$24,MATCH($C299,المنتجات!$A$5:$A$24,0)),0))</f>
        <v/>
      </c>
      <c r="G299" s="24"/>
      <c r="H299" s="27" t="str">
        <f aca="false">IF(OR($C299="",G299=""),"",G299-F299)</f>
        <v/>
      </c>
      <c r="I299" s="32"/>
      <c r="J299" s="29"/>
      <c r="K299" s="29"/>
    </row>
    <row r="300" customFormat="false" ht="15" hidden="false" customHeight="false" outlineLevel="0" collapsed="false">
      <c r="A300" s="32"/>
      <c r="B300" s="29"/>
      <c r="C300" s="29"/>
      <c r="D300" s="28" t="str">
        <f aca="false">IF($C300="","",IFERROR(INDEX(المنتجات!$C$5:$C$24,MATCH($C300,المنتجات!$A$5:$A$24,0)),"كود غير موجود"))</f>
        <v/>
      </c>
      <c r="E300" s="24"/>
      <c r="F300" s="27" t="str">
        <f aca="false">IF($C300="","",N(E300)*IFERROR(INDEX(المنتجات!$G$5:$G$24,MATCH($C300,المنتجات!$A$5:$A$24,0)),0))</f>
        <v/>
      </c>
      <c r="G300" s="24"/>
      <c r="H300" s="27" t="str">
        <f aca="false">IF(OR($C300="",G300=""),"",G300-F300)</f>
        <v/>
      </c>
      <c r="I300" s="32"/>
      <c r="J300" s="29"/>
      <c r="K300" s="29"/>
    </row>
    <row r="301" customFormat="false" ht="15" hidden="false" customHeight="false" outlineLevel="0" collapsed="false">
      <c r="A301" s="32"/>
      <c r="B301" s="29"/>
      <c r="C301" s="29"/>
      <c r="D301" s="28" t="str">
        <f aca="false">IF($C301="","",IFERROR(INDEX(المنتجات!$C$5:$C$24,MATCH($C301,المنتجات!$A$5:$A$24,0)),"كود غير موجود"))</f>
        <v/>
      </c>
      <c r="E301" s="24"/>
      <c r="F301" s="27" t="str">
        <f aca="false">IF($C301="","",N(E301)*IFERROR(INDEX(المنتجات!$G$5:$G$24,MATCH($C301,المنتجات!$A$5:$A$24,0)),0))</f>
        <v/>
      </c>
      <c r="G301" s="24"/>
      <c r="H301" s="27" t="str">
        <f aca="false">IF(OR($C301="",G301=""),"",G301-F301)</f>
        <v/>
      </c>
      <c r="I301" s="32"/>
      <c r="J301" s="29"/>
      <c r="K301" s="29"/>
    </row>
    <row r="302" customFormat="false" ht="15" hidden="false" customHeight="false" outlineLevel="0" collapsed="false">
      <c r="A302" s="32"/>
      <c r="B302" s="29"/>
      <c r="C302" s="29"/>
      <c r="D302" s="28" t="str">
        <f aca="false">IF($C302="","",IFERROR(INDEX(المنتجات!$C$5:$C$24,MATCH($C302,المنتجات!$A$5:$A$24,0)),"كود غير موجود"))</f>
        <v/>
      </c>
      <c r="E302" s="24"/>
      <c r="F302" s="27" t="str">
        <f aca="false">IF($C302="","",N(E302)*IFERROR(INDEX(المنتجات!$G$5:$G$24,MATCH($C302,المنتجات!$A$5:$A$24,0)),0))</f>
        <v/>
      </c>
      <c r="G302" s="24"/>
      <c r="H302" s="27" t="str">
        <f aca="false">IF(OR($C302="",G302=""),"",G302-F302)</f>
        <v/>
      </c>
      <c r="I302" s="32"/>
      <c r="J302" s="29"/>
      <c r="K302" s="29"/>
    </row>
    <row r="303" customFormat="false" ht="15" hidden="false" customHeight="false" outlineLevel="0" collapsed="false">
      <c r="A303" s="32"/>
      <c r="B303" s="29"/>
      <c r="C303" s="29"/>
      <c r="D303" s="28" t="str">
        <f aca="false">IF($C303="","",IFERROR(INDEX(المنتجات!$C$5:$C$24,MATCH($C303,المنتجات!$A$5:$A$24,0)),"كود غير موجود"))</f>
        <v/>
      </c>
      <c r="E303" s="24"/>
      <c r="F303" s="27" t="str">
        <f aca="false">IF($C303="","",N(E303)*IFERROR(INDEX(المنتجات!$G$5:$G$24,MATCH($C303,المنتجات!$A$5:$A$24,0)),0))</f>
        <v/>
      </c>
      <c r="G303" s="24"/>
      <c r="H303" s="27" t="str">
        <f aca="false">IF(OR($C303="",G303=""),"",G303-F303)</f>
        <v/>
      </c>
      <c r="I303" s="32"/>
      <c r="J303" s="29"/>
      <c r="K303" s="29"/>
    </row>
    <row r="304" customFormat="false" ht="15" hidden="false" customHeight="false" outlineLevel="0" collapsed="false">
      <c r="A304" s="32"/>
      <c r="B304" s="29"/>
      <c r="C304" s="29"/>
      <c r="D304" s="28" t="str">
        <f aca="false">IF($C304="","",IFERROR(INDEX(المنتجات!$C$5:$C$24,MATCH($C304,المنتجات!$A$5:$A$24,0)),"كود غير موجود"))</f>
        <v/>
      </c>
      <c r="E304" s="24"/>
      <c r="F304" s="27" t="str">
        <f aca="false">IF($C304="","",N(E304)*IFERROR(INDEX(المنتجات!$G$5:$G$24,MATCH($C304,المنتجات!$A$5:$A$24,0)),0))</f>
        <v/>
      </c>
      <c r="G304" s="24"/>
      <c r="H304" s="27" t="str">
        <f aca="false">IF(OR($C304="",G304=""),"",G304-F304)</f>
        <v/>
      </c>
      <c r="I304" s="32"/>
      <c r="J304" s="29"/>
      <c r="K304" s="29"/>
    </row>
    <row r="305" customFormat="false" ht="15" hidden="false" customHeight="false" outlineLevel="0" collapsed="false">
      <c r="A305" s="32"/>
      <c r="B305" s="29"/>
      <c r="C305" s="29"/>
      <c r="D305" s="28" t="str">
        <f aca="false">IF($C305="","",IFERROR(INDEX(المنتجات!$C$5:$C$24,MATCH($C305,المنتجات!$A$5:$A$24,0)),"كود غير موجود"))</f>
        <v/>
      </c>
      <c r="E305" s="24"/>
      <c r="F305" s="27" t="str">
        <f aca="false">IF($C305="","",N(E305)*IFERROR(INDEX(المنتجات!$G$5:$G$24,MATCH($C305,المنتجات!$A$5:$A$24,0)),0))</f>
        <v/>
      </c>
      <c r="G305" s="24"/>
      <c r="H305" s="27" t="str">
        <f aca="false">IF(OR($C305="",G305=""),"",G305-F305)</f>
        <v/>
      </c>
      <c r="I305" s="32"/>
      <c r="J305" s="29"/>
      <c r="K305" s="29"/>
    </row>
    <row r="306" customFormat="false" ht="15" hidden="false" customHeight="false" outlineLevel="0" collapsed="false">
      <c r="A306" s="32"/>
      <c r="B306" s="29"/>
      <c r="C306" s="29"/>
      <c r="D306" s="28" t="str">
        <f aca="false">IF($C306="","",IFERROR(INDEX(المنتجات!$C$5:$C$24,MATCH($C306,المنتجات!$A$5:$A$24,0)),"كود غير موجود"))</f>
        <v/>
      </c>
      <c r="E306" s="24"/>
      <c r="F306" s="27" t="str">
        <f aca="false">IF($C306="","",N(E306)*IFERROR(INDEX(المنتجات!$G$5:$G$24,MATCH($C306,المنتجات!$A$5:$A$24,0)),0))</f>
        <v/>
      </c>
      <c r="G306" s="24"/>
      <c r="H306" s="27" t="str">
        <f aca="false">IF(OR($C306="",G306=""),"",G306-F306)</f>
        <v/>
      </c>
      <c r="I306" s="32"/>
      <c r="J306" s="29"/>
      <c r="K306" s="29"/>
    </row>
    <row r="307" customFormat="false" ht="15" hidden="false" customHeight="false" outlineLevel="0" collapsed="false">
      <c r="A307" s="32"/>
      <c r="B307" s="29"/>
      <c r="C307" s="29"/>
      <c r="D307" s="28" t="str">
        <f aca="false">IF($C307="","",IFERROR(INDEX(المنتجات!$C$5:$C$24,MATCH($C307,المنتجات!$A$5:$A$24,0)),"كود غير موجود"))</f>
        <v/>
      </c>
      <c r="E307" s="24"/>
      <c r="F307" s="27" t="str">
        <f aca="false">IF($C307="","",N(E307)*IFERROR(INDEX(المنتجات!$G$5:$G$24,MATCH($C307,المنتجات!$A$5:$A$24,0)),0))</f>
        <v/>
      </c>
      <c r="G307" s="24"/>
      <c r="H307" s="27" t="str">
        <f aca="false">IF(OR($C307="",G307=""),"",G307-F307)</f>
        <v/>
      </c>
      <c r="I307" s="32"/>
      <c r="J307" s="29"/>
      <c r="K307" s="29"/>
    </row>
    <row r="308" customFormat="false" ht="15" hidden="false" customHeight="false" outlineLevel="0" collapsed="false">
      <c r="A308" s="32"/>
      <c r="B308" s="29"/>
      <c r="C308" s="29"/>
      <c r="D308" s="28" t="str">
        <f aca="false">IF($C308="","",IFERROR(INDEX(المنتجات!$C$5:$C$24,MATCH($C308,المنتجات!$A$5:$A$24,0)),"كود غير موجود"))</f>
        <v/>
      </c>
      <c r="E308" s="24"/>
      <c r="F308" s="27" t="str">
        <f aca="false">IF($C308="","",N(E308)*IFERROR(INDEX(المنتجات!$G$5:$G$24,MATCH($C308,المنتجات!$A$5:$A$24,0)),0))</f>
        <v/>
      </c>
      <c r="G308" s="24"/>
      <c r="H308" s="27" t="str">
        <f aca="false">IF(OR($C308="",G308=""),"",G308-F308)</f>
        <v/>
      </c>
      <c r="I308" s="32"/>
      <c r="J308" s="29"/>
      <c r="K308" s="29"/>
    </row>
    <row r="309" customFormat="false" ht="15" hidden="false" customHeight="false" outlineLevel="0" collapsed="false">
      <c r="A309" s="32"/>
      <c r="B309" s="29"/>
      <c r="C309" s="29"/>
      <c r="D309" s="28" t="str">
        <f aca="false">IF($C309="","",IFERROR(INDEX(المنتجات!$C$5:$C$24,MATCH($C309,المنتجات!$A$5:$A$24,0)),"كود غير موجود"))</f>
        <v/>
      </c>
      <c r="E309" s="24"/>
      <c r="F309" s="27" t="str">
        <f aca="false">IF($C309="","",N(E309)*IFERROR(INDEX(المنتجات!$G$5:$G$24,MATCH($C309,المنتجات!$A$5:$A$24,0)),0))</f>
        <v/>
      </c>
      <c r="G309" s="24"/>
      <c r="H309" s="27" t="str">
        <f aca="false">IF(OR($C309="",G309=""),"",G309-F309)</f>
        <v/>
      </c>
      <c r="I309" s="32"/>
      <c r="J309" s="29"/>
      <c r="K309" s="29"/>
    </row>
    <row r="310" customFormat="false" ht="15" hidden="false" customHeight="false" outlineLevel="0" collapsed="false">
      <c r="A310" s="32"/>
      <c r="B310" s="29"/>
      <c r="C310" s="29"/>
      <c r="D310" s="28" t="str">
        <f aca="false">IF($C310="","",IFERROR(INDEX(المنتجات!$C$5:$C$24,MATCH($C310,المنتجات!$A$5:$A$24,0)),"كود غير موجود"))</f>
        <v/>
      </c>
      <c r="E310" s="24"/>
      <c r="F310" s="27" t="str">
        <f aca="false">IF($C310="","",N(E310)*IFERROR(INDEX(المنتجات!$G$5:$G$24,MATCH($C310,المنتجات!$A$5:$A$24,0)),0))</f>
        <v/>
      </c>
      <c r="G310" s="24"/>
      <c r="H310" s="27" t="str">
        <f aca="false">IF(OR($C310="",G310=""),"",G310-F310)</f>
        <v/>
      </c>
      <c r="I310" s="32"/>
      <c r="J310" s="29"/>
      <c r="K310" s="29"/>
    </row>
    <row r="311" customFormat="false" ht="15" hidden="false" customHeight="false" outlineLevel="0" collapsed="false">
      <c r="A311" s="32"/>
      <c r="B311" s="29"/>
      <c r="C311" s="29"/>
      <c r="D311" s="28" t="str">
        <f aca="false">IF($C311="","",IFERROR(INDEX(المنتجات!$C$5:$C$24,MATCH($C311,المنتجات!$A$5:$A$24,0)),"كود غير موجود"))</f>
        <v/>
      </c>
      <c r="E311" s="24"/>
      <c r="F311" s="27" t="str">
        <f aca="false">IF($C311="","",N(E311)*IFERROR(INDEX(المنتجات!$G$5:$G$24,MATCH($C311,المنتجات!$A$5:$A$24,0)),0))</f>
        <v/>
      </c>
      <c r="G311" s="24"/>
      <c r="H311" s="27" t="str">
        <f aca="false">IF(OR($C311="",G311=""),"",G311-F311)</f>
        <v/>
      </c>
      <c r="I311" s="32"/>
      <c r="J311" s="29"/>
      <c r="K311" s="29"/>
    </row>
    <row r="312" customFormat="false" ht="15" hidden="false" customHeight="false" outlineLevel="0" collapsed="false">
      <c r="A312" s="32"/>
      <c r="B312" s="29"/>
      <c r="C312" s="29"/>
      <c r="D312" s="28" t="str">
        <f aca="false">IF($C312="","",IFERROR(INDEX(المنتجات!$C$5:$C$24,MATCH($C312,المنتجات!$A$5:$A$24,0)),"كود غير موجود"))</f>
        <v/>
      </c>
      <c r="E312" s="24"/>
      <c r="F312" s="27" t="str">
        <f aca="false">IF($C312="","",N(E312)*IFERROR(INDEX(المنتجات!$G$5:$G$24,MATCH($C312,المنتجات!$A$5:$A$24,0)),0))</f>
        <v/>
      </c>
      <c r="G312" s="24"/>
      <c r="H312" s="27" t="str">
        <f aca="false">IF(OR($C312="",G312=""),"",G312-F312)</f>
        <v/>
      </c>
      <c r="I312" s="32"/>
      <c r="J312" s="29"/>
      <c r="K312" s="29"/>
    </row>
    <row r="313" customFormat="false" ht="15" hidden="false" customHeight="false" outlineLevel="0" collapsed="false">
      <c r="A313" s="32"/>
      <c r="B313" s="29"/>
      <c r="C313" s="29"/>
      <c r="D313" s="28" t="str">
        <f aca="false">IF($C313="","",IFERROR(INDEX(المنتجات!$C$5:$C$24,MATCH($C313,المنتجات!$A$5:$A$24,0)),"كود غير موجود"))</f>
        <v/>
      </c>
      <c r="E313" s="24"/>
      <c r="F313" s="27" t="str">
        <f aca="false">IF($C313="","",N(E313)*IFERROR(INDEX(المنتجات!$G$5:$G$24,MATCH($C313,المنتجات!$A$5:$A$24,0)),0))</f>
        <v/>
      </c>
      <c r="G313" s="24"/>
      <c r="H313" s="27" t="str">
        <f aca="false">IF(OR($C313="",G313=""),"",G313-F313)</f>
        <v/>
      </c>
      <c r="I313" s="32"/>
      <c r="J313" s="29"/>
      <c r="K313" s="29"/>
    </row>
    <row r="314" customFormat="false" ht="15" hidden="false" customHeight="false" outlineLevel="0" collapsed="false">
      <c r="A314" s="32"/>
      <c r="B314" s="29"/>
      <c r="C314" s="29"/>
      <c r="D314" s="28" t="str">
        <f aca="false">IF($C314="","",IFERROR(INDEX(المنتجات!$C$5:$C$24,MATCH($C314,المنتجات!$A$5:$A$24,0)),"كود غير موجود"))</f>
        <v/>
      </c>
      <c r="E314" s="24"/>
      <c r="F314" s="27" t="str">
        <f aca="false">IF($C314="","",N(E314)*IFERROR(INDEX(المنتجات!$G$5:$G$24,MATCH($C314,المنتجات!$A$5:$A$24,0)),0))</f>
        <v/>
      </c>
      <c r="G314" s="24"/>
      <c r="H314" s="27" t="str">
        <f aca="false">IF(OR($C314="",G314=""),"",G314-F314)</f>
        <v/>
      </c>
      <c r="I314" s="32"/>
      <c r="J314" s="29"/>
      <c r="K314" s="29"/>
    </row>
    <row r="315" customFormat="false" ht="15" hidden="false" customHeight="false" outlineLevel="0" collapsed="false">
      <c r="A315" s="32"/>
      <c r="B315" s="29"/>
      <c r="C315" s="29"/>
      <c r="D315" s="28" t="str">
        <f aca="false">IF($C315="","",IFERROR(INDEX(المنتجات!$C$5:$C$24,MATCH($C315,المنتجات!$A$5:$A$24,0)),"كود غير موجود"))</f>
        <v/>
      </c>
      <c r="E315" s="24"/>
      <c r="F315" s="27" t="str">
        <f aca="false">IF($C315="","",N(E315)*IFERROR(INDEX(المنتجات!$G$5:$G$24,MATCH($C315,المنتجات!$A$5:$A$24,0)),0))</f>
        <v/>
      </c>
      <c r="G315" s="24"/>
      <c r="H315" s="27" t="str">
        <f aca="false">IF(OR($C315="",G315=""),"",G315-F315)</f>
        <v/>
      </c>
      <c r="I315" s="32"/>
      <c r="J315" s="29"/>
      <c r="K315" s="29"/>
    </row>
    <row r="316" customFormat="false" ht="15" hidden="false" customHeight="false" outlineLevel="0" collapsed="false">
      <c r="A316" s="32"/>
      <c r="B316" s="29"/>
      <c r="C316" s="29"/>
      <c r="D316" s="28" t="str">
        <f aca="false">IF($C316="","",IFERROR(INDEX(المنتجات!$C$5:$C$24,MATCH($C316,المنتجات!$A$5:$A$24,0)),"كود غير موجود"))</f>
        <v/>
      </c>
      <c r="E316" s="24"/>
      <c r="F316" s="27" t="str">
        <f aca="false">IF($C316="","",N(E316)*IFERROR(INDEX(المنتجات!$G$5:$G$24,MATCH($C316,المنتجات!$A$5:$A$24,0)),0))</f>
        <v/>
      </c>
      <c r="G316" s="24"/>
      <c r="H316" s="27" t="str">
        <f aca="false">IF(OR($C316="",G316=""),"",G316-F316)</f>
        <v/>
      </c>
      <c r="I316" s="32"/>
      <c r="J316" s="29"/>
      <c r="K316" s="29"/>
    </row>
    <row r="317" customFormat="false" ht="15" hidden="false" customHeight="false" outlineLevel="0" collapsed="false">
      <c r="A317" s="32"/>
      <c r="B317" s="29"/>
      <c r="C317" s="29"/>
      <c r="D317" s="28" t="str">
        <f aca="false">IF($C317="","",IFERROR(INDEX(المنتجات!$C$5:$C$24,MATCH($C317,المنتجات!$A$5:$A$24,0)),"كود غير موجود"))</f>
        <v/>
      </c>
      <c r="E317" s="24"/>
      <c r="F317" s="27" t="str">
        <f aca="false">IF($C317="","",N(E317)*IFERROR(INDEX(المنتجات!$G$5:$G$24,MATCH($C317,المنتجات!$A$5:$A$24,0)),0))</f>
        <v/>
      </c>
      <c r="G317" s="24"/>
      <c r="H317" s="27" t="str">
        <f aca="false">IF(OR($C317="",G317=""),"",G317-F317)</f>
        <v/>
      </c>
      <c r="I317" s="32"/>
      <c r="J317" s="29"/>
      <c r="K317" s="29"/>
    </row>
    <row r="318" customFormat="false" ht="15" hidden="false" customHeight="false" outlineLevel="0" collapsed="false">
      <c r="A318" s="32"/>
      <c r="B318" s="29"/>
      <c r="C318" s="29"/>
      <c r="D318" s="28" t="str">
        <f aca="false">IF($C318="","",IFERROR(INDEX(المنتجات!$C$5:$C$24,MATCH($C318,المنتجات!$A$5:$A$24,0)),"كود غير موجود"))</f>
        <v/>
      </c>
      <c r="E318" s="24"/>
      <c r="F318" s="27" t="str">
        <f aca="false">IF($C318="","",N(E318)*IFERROR(INDEX(المنتجات!$G$5:$G$24,MATCH($C318,المنتجات!$A$5:$A$24,0)),0))</f>
        <v/>
      </c>
      <c r="G318" s="24"/>
      <c r="H318" s="27" t="str">
        <f aca="false">IF(OR($C318="",G318=""),"",G318-F318)</f>
        <v/>
      </c>
      <c r="I318" s="32"/>
      <c r="J318" s="29"/>
      <c r="K318" s="29"/>
    </row>
    <row r="319" customFormat="false" ht="15" hidden="false" customHeight="false" outlineLevel="0" collapsed="false">
      <c r="A319" s="32"/>
      <c r="B319" s="29"/>
      <c r="C319" s="29"/>
      <c r="D319" s="28" t="str">
        <f aca="false">IF($C319="","",IFERROR(INDEX(المنتجات!$C$5:$C$24,MATCH($C319,المنتجات!$A$5:$A$24,0)),"كود غير موجود"))</f>
        <v/>
      </c>
      <c r="E319" s="24"/>
      <c r="F319" s="27" t="str">
        <f aca="false">IF($C319="","",N(E319)*IFERROR(INDEX(المنتجات!$G$5:$G$24,MATCH($C319,المنتجات!$A$5:$A$24,0)),0))</f>
        <v/>
      </c>
      <c r="G319" s="24"/>
      <c r="H319" s="27" t="str">
        <f aca="false">IF(OR($C319="",G319=""),"",G319-F319)</f>
        <v/>
      </c>
      <c r="I319" s="32"/>
      <c r="J319" s="29"/>
      <c r="K319" s="29"/>
    </row>
    <row r="320" customFormat="false" ht="15" hidden="false" customHeight="false" outlineLevel="0" collapsed="false">
      <c r="A320" s="32"/>
      <c r="B320" s="29"/>
      <c r="C320" s="29"/>
      <c r="D320" s="28" t="str">
        <f aca="false">IF($C320="","",IFERROR(INDEX(المنتجات!$C$5:$C$24,MATCH($C320,المنتجات!$A$5:$A$24,0)),"كود غير موجود"))</f>
        <v/>
      </c>
      <c r="E320" s="24"/>
      <c r="F320" s="27" t="str">
        <f aca="false">IF($C320="","",N(E320)*IFERROR(INDEX(المنتجات!$G$5:$G$24,MATCH($C320,المنتجات!$A$5:$A$24,0)),0))</f>
        <v/>
      </c>
      <c r="G320" s="24"/>
      <c r="H320" s="27" t="str">
        <f aca="false">IF(OR($C320="",G320=""),"",G320-F320)</f>
        <v/>
      </c>
      <c r="I320" s="32"/>
      <c r="J320" s="29"/>
      <c r="K320" s="29"/>
    </row>
    <row r="321" customFormat="false" ht="15" hidden="false" customHeight="false" outlineLevel="0" collapsed="false">
      <c r="A321" s="32"/>
      <c r="B321" s="29"/>
      <c r="C321" s="29"/>
      <c r="D321" s="28" t="str">
        <f aca="false">IF($C321="","",IFERROR(INDEX(المنتجات!$C$5:$C$24,MATCH($C321,المنتجات!$A$5:$A$24,0)),"كود غير موجود"))</f>
        <v/>
      </c>
      <c r="E321" s="24"/>
      <c r="F321" s="27" t="str">
        <f aca="false">IF($C321="","",N(E321)*IFERROR(INDEX(المنتجات!$G$5:$G$24,MATCH($C321,المنتجات!$A$5:$A$24,0)),0))</f>
        <v/>
      </c>
      <c r="G321" s="24"/>
      <c r="H321" s="27" t="str">
        <f aca="false">IF(OR($C321="",G321=""),"",G321-F321)</f>
        <v/>
      </c>
      <c r="I321" s="32"/>
      <c r="J321" s="29"/>
      <c r="K321" s="29"/>
    </row>
    <row r="322" customFormat="false" ht="15" hidden="false" customHeight="false" outlineLevel="0" collapsed="false">
      <c r="A322" s="32"/>
      <c r="B322" s="29"/>
      <c r="C322" s="29"/>
      <c r="D322" s="28" t="str">
        <f aca="false">IF($C322="","",IFERROR(INDEX(المنتجات!$C$5:$C$24,MATCH($C322,المنتجات!$A$5:$A$24,0)),"كود غير موجود"))</f>
        <v/>
      </c>
      <c r="E322" s="24"/>
      <c r="F322" s="27" t="str">
        <f aca="false">IF($C322="","",N(E322)*IFERROR(INDEX(المنتجات!$G$5:$G$24,MATCH($C322,المنتجات!$A$5:$A$24,0)),0))</f>
        <v/>
      </c>
      <c r="G322" s="24"/>
      <c r="H322" s="27" t="str">
        <f aca="false">IF(OR($C322="",G322=""),"",G322-F322)</f>
        <v/>
      </c>
      <c r="I322" s="32"/>
      <c r="J322" s="29"/>
      <c r="K322" s="29"/>
    </row>
    <row r="323" customFormat="false" ht="15" hidden="false" customHeight="false" outlineLevel="0" collapsed="false">
      <c r="A323" s="32"/>
      <c r="B323" s="29"/>
      <c r="C323" s="29"/>
      <c r="D323" s="28" t="str">
        <f aca="false">IF($C323="","",IFERROR(INDEX(المنتجات!$C$5:$C$24,MATCH($C323,المنتجات!$A$5:$A$24,0)),"كود غير موجود"))</f>
        <v/>
      </c>
      <c r="E323" s="24"/>
      <c r="F323" s="27" t="str">
        <f aca="false">IF($C323="","",N(E323)*IFERROR(INDEX(المنتجات!$G$5:$G$24,MATCH($C323,المنتجات!$A$5:$A$24,0)),0))</f>
        <v/>
      </c>
      <c r="G323" s="24"/>
      <c r="H323" s="27" t="str">
        <f aca="false">IF(OR($C323="",G323=""),"",G323-F323)</f>
        <v/>
      </c>
      <c r="I323" s="32"/>
      <c r="J323" s="29"/>
      <c r="K323" s="29"/>
    </row>
    <row r="324" customFormat="false" ht="15" hidden="false" customHeight="false" outlineLevel="0" collapsed="false">
      <c r="A324" s="32"/>
      <c r="B324" s="29"/>
      <c r="C324" s="29"/>
      <c r="D324" s="28" t="str">
        <f aca="false">IF($C324="","",IFERROR(INDEX(المنتجات!$C$5:$C$24,MATCH($C324,المنتجات!$A$5:$A$24,0)),"كود غير موجود"))</f>
        <v/>
      </c>
      <c r="E324" s="24"/>
      <c r="F324" s="27" t="str">
        <f aca="false">IF($C324="","",N(E324)*IFERROR(INDEX(المنتجات!$G$5:$G$24,MATCH($C324,المنتجات!$A$5:$A$24,0)),0))</f>
        <v/>
      </c>
      <c r="G324" s="24"/>
      <c r="H324" s="27" t="str">
        <f aca="false">IF(OR($C324="",G324=""),"",G324-F324)</f>
        <v/>
      </c>
      <c r="I324" s="32"/>
      <c r="J324" s="29"/>
      <c r="K324" s="29"/>
    </row>
    <row r="325" customFormat="false" ht="15" hidden="false" customHeight="false" outlineLevel="0" collapsed="false">
      <c r="A325" s="32"/>
      <c r="B325" s="29"/>
      <c r="C325" s="29"/>
      <c r="D325" s="28" t="str">
        <f aca="false">IF($C325="","",IFERROR(INDEX(المنتجات!$C$5:$C$24,MATCH($C325,المنتجات!$A$5:$A$24,0)),"كود غير موجود"))</f>
        <v/>
      </c>
      <c r="E325" s="24"/>
      <c r="F325" s="27" t="str">
        <f aca="false">IF($C325="","",N(E325)*IFERROR(INDEX(المنتجات!$G$5:$G$24,MATCH($C325,المنتجات!$A$5:$A$24,0)),0))</f>
        <v/>
      </c>
      <c r="G325" s="24"/>
      <c r="H325" s="27" t="str">
        <f aca="false">IF(OR($C325="",G325=""),"",G325-F325)</f>
        <v/>
      </c>
      <c r="I325" s="32"/>
      <c r="J325" s="29"/>
      <c r="K325" s="29"/>
    </row>
    <row r="326" customFormat="false" ht="15" hidden="false" customHeight="false" outlineLevel="0" collapsed="false">
      <c r="A326" s="32"/>
      <c r="B326" s="29"/>
      <c r="C326" s="29"/>
      <c r="D326" s="28" t="str">
        <f aca="false">IF($C326="","",IFERROR(INDEX(المنتجات!$C$5:$C$24,MATCH($C326,المنتجات!$A$5:$A$24,0)),"كود غير موجود"))</f>
        <v/>
      </c>
      <c r="E326" s="24"/>
      <c r="F326" s="27" t="str">
        <f aca="false">IF($C326="","",N(E326)*IFERROR(INDEX(المنتجات!$G$5:$G$24,MATCH($C326,المنتجات!$A$5:$A$24,0)),0))</f>
        <v/>
      </c>
      <c r="G326" s="24"/>
      <c r="H326" s="27" t="str">
        <f aca="false">IF(OR($C326="",G326=""),"",G326-F326)</f>
        <v/>
      </c>
      <c r="I326" s="32"/>
      <c r="J326" s="29"/>
      <c r="K326" s="29"/>
    </row>
    <row r="327" customFormat="false" ht="15" hidden="false" customHeight="false" outlineLevel="0" collapsed="false">
      <c r="A327" s="32"/>
      <c r="B327" s="29"/>
      <c r="C327" s="29"/>
      <c r="D327" s="28" t="str">
        <f aca="false">IF($C327="","",IFERROR(INDEX(المنتجات!$C$5:$C$24,MATCH($C327,المنتجات!$A$5:$A$24,0)),"كود غير موجود"))</f>
        <v/>
      </c>
      <c r="E327" s="24"/>
      <c r="F327" s="27" t="str">
        <f aca="false">IF($C327="","",N(E327)*IFERROR(INDEX(المنتجات!$G$5:$G$24,MATCH($C327,المنتجات!$A$5:$A$24,0)),0))</f>
        <v/>
      </c>
      <c r="G327" s="24"/>
      <c r="H327" s="27" t="str">
        <f aca="false">IF(OR($C327="",G327=""),"",G327-F327)</f>
        <v/>
      </c>
      <c r="I327" s="32"/>
      <c r="J327" s="29"/>
      <c r="K327" s="29"/>
    </row>
    <row r="328" customFormat="false" ht="15" hidden="false" customHeight="false" outlineLevel="0" collapsed="false">
      <c r="A328" s="32"/>
      <c r="B328" s="29"/>
      <c r="C328" s="29"/>
      <c r="D328" s="28" t="str">
        <f aca="false">IF($C328="","",IFERROR(INDEX(المنتجات!$C$5:$C$24,MATCH($C328,المنتجات!$A$5:$A$24,0)),"كود غير موجود"))</f>
        <v/>
      </c>
      <c r="E328" s="24"/>
      <c r="F328" s="27" t="str">
        <f aca="false">IF($C328="","",N(E328)*IFERROR(INDEX(المنتجات!$G$5:$G$24,MATCH($C328,المنتجات!$A$5:$A$24,0)),0))</f>
        <v/>
      </c>
      <c r="G328" s="24"/>
      <c r="H328" s="27" t="str">
        <f aca="false">IF(OR($C328="",G328=""),"",G328-F328)</f>
        <v/>
      </c>
      <c r="I328" s="32"/>
      <c r="J328" s="29"/>
      <c r="K328" s="29"/>
    </row>
    <row r="329" customFormat="false" ht="15" hidden="false" customHeight="false" outlineLevel="0" collapsed="false">
      <c r="A329" s="32"/>
      <c r="B329" s="29"/>
      <c r="C329" s="29"/>
      <c r="D329" s="28" t="str">
        <f aca="false">IF($C329="","",IFERROR(INDEX(المنتجات!$C$5:$C$24,MATCH($C329,المنتجات!$A$5:$A$24,0)),"كود غير موجود"))</f>
        <v/>
      </c>
      <c r="E329" s="24"/>
      <c r="F329" s="27" t="str">
        <f aca="false">IF($C329="","",N(E329)*IFERROR(INDEX(المنتجات!$G$5:$G$24,MATCH($C329,المنتجات!$A$5:$A$24,0)),0))</f>
        <v/>
      </c>
      <c r="G329" s="24"/>
      <c r="H329" s="27" t="str">
        <f aca="false">IF(OR($C329="",G329=""),"",G329-F329)</f>
        <v/>
      </c>
      <c r="I329" s="32"/>
      <c r="J329" s="29"/>
      <c r="K329" s="29"/>
    </row>
    <row r="330" customFormat="false" ht="15" hidden="false" customHeight="false" outlineLevel="0" collapsed="false">
      <c r="A330" s="32"/>
      <c r="B330" s="29"/>
      <c r="C330" s="29"/>
      <c r="D330" s="28" t="str">
        <f aca="false">IF($C330="","",IFERROR(INDEX(المنتجات!$C$5:$C$24,MATCH($C330,المنتجات!$A$5:$A$24,0)),"كود غير موجود"))</f>
        <v/>
      </c>
      <c r="E330" s="24"/>
      <c r="F330" s="27" t="str">
        <f aca="false">IF($C330="","",N(E330)*IFERROR(INDEX(المنتجات!$G$5:$G$24,MATCH($C330,المنتجات!$A$5:$A$24,0)),0))</f>
        <v/>
      </c>
      <c r="G330" s="24"/>
      <c r="H330" s="27" t="str">
        <f aca="false">IF(OR($C330="",G330=""),"",G330-F330)</f>
        <v/>
      </c>
      <c r="I330" s="32"/>
      <c r="J330" s="29"/>
      <c r="K330" s="29"/>
    </row>
    <row r="331" customFormat="false" ht="15" hidden="false" customHeight="false" outlineLevel="0" collapsed="false">
      <c r="A331" s="32"/>
      <c r="B331" s="29"/>
      <c r="C331" s="29"/>
      <c r="D331" s="28" t="str">
        <f aca="false">IF($C331="","",IFERROR(INDEX(المنتجات!$C$5:$C$24,MATCH($C331,المنتجات!$A$5:$A$24,0)),"كود غير موجود"))</f>
        <v/>
      </c>
      <c r="E331" s="24"/>
      <c r="F331" s="27" t="str">
        <f aca="false">IF($C331="","",N(E331)*IFERROR(INDEX(المنتجات!$G$5:$G$24,MATCH($C331,المنتجات!$A$5:$A$24,0)),0))</f>
        <v/>
      </c>
      <c r="G331" s="24"/>
      <c r="H331" s="27" t="str">
        <f aca="false">IF(OR($C331="",G331=""),"",G331-F331)</f>
        <v/>
      </c>
      <c r="I331" s="32"/>
      <c r="J331" s="29"/>
      <c r="K331" s="29"/>
    </row>
    <row r="332" customFormat="false" ht="15" hidden="false" customHeight="false" outlineLevel="0" collapsed="false">
      <c r="A332" s="32"/>
      <c r="B332" s="29"/>
      <c r="C332" s="29"/>
      <c r="D332" s="28" t="str">
        <f aca="false">IF($C332="","",IFERROR(INDEX(المنتجات!$C$5:$C$24,MATCH($C332,المنتجات!$A$5:$A$24,0)),"كود غير موجود"))</f>
        <v/>
      </c>
      <c r="E332" s="24"/>
      <c r="F332" s="27" t="str">
        <f aca="false">IF($C332="","",N(E332)*IFERROR(INDEX(المنتجات!$G$5:$G$24,MATCH($C332,المنتجات!$A$5:$A$24,0)),0))</f>
        <v/>
      </c>
      <c r="G332" s="24"/>
      <c r="H332" s="27" t="str">
        <f aca="false">IF(OR($C332="",G332=""),"",G332-F332)</f>
        <v/>
      </c>
      <c r="I332" s="32"/>
      <c r="J332" s="29"/>
      <c r="K332" s="29"/>
    </row>
    <row r="333" customFormat="false" ht="15" hidden="false" customHeight="false" outlineLevel="0" collapsed="false">
      <c r="A333" s="32"/>
      <c r="B333" s="29"/>
      <c r="C333" s="29"/>
      <c r="D333" s="28" t="str">
        <f aca="false">IF($C333="","",IFERROR(INDEX(المنتجات!$C$5:$C$24,MATCH($C333,المنتجات!$A$5:$A$24,0)),"كود غير موجود"))</f>
        <v/>
      </c>
      <c r="E333" s="24"/>
      <c r="F333" s="27" t="str">
        <f aca="false">IF($C333="","",N(E333)*IFERROR(INDEX(المنتجات!$G$5:$G$24,MATCH($C333,المنتجات!$A$5:$A$24,0)),0))</f>
        <v/>
      </c>
      <c r="G333" s="24"/>
      <c r="H333" s="27" t="str">
        <f aca="false">IF(OR($C333="",G333=""),"",G333-F333)</f>
        <v/>
      </c>
      <c r="I333" s="32"/>
      <c r="J333" s="29"/>
      <c r="K333" s="29"/>
    </row>
    <row r="334" customFormat="false" ht="15" hidden="false" customHeight="false" outlineLevel="0" collapsed="false">
      <c r="A334" s="32"/>
      <c r="B334" s="29"/>
      <c r="C334" s="29"/>
      <c r="D334" s="28" t="str">
        <f aca="false">IF($C334="","",IFERROR(INDEX(المنتجات!$C$5:$C$24,MATCH($C334,المنتجات!$A$5:$A$24,0)),"كود غير موجود"))</f>
        <v/>
      </c>
      <c r="E334" s="24"/>
      <c r="F334" s="27" t="str">
        <f aca="false">IF($C334="","",N(E334)*IFERROR(INDEX(المنتجات!$G$5:$G$24,MATCH($C334,المنتجات!$A$5:$A$24,0)),0))</f>
        <v/>
      </c>
      <c r="G334" s="24"/>
      <c r="H334" s="27" t="str">
        <f aca="false">IF(OR($C334="",G334=""),"",G334-F334)</f>
        <v/>
      </c>
      <c r="I334" s="32"/>
      <c r="J334" s="29"/>
      <c r="K334" s="29"/>
    </row>
    <row r="335" customFormat="false" ht="15" hidden="false" customHeight="false" outlineLevel="0" collapsed="false">
      <c r="A335" s="32"/>
      <c r="B335" s="29"/>
      <c r="C335" s="29"/>
      <c r="D335" s="28" t="str">
        <f aca="false">IF($C335="","",IFERROR(INDEX(المنتجات!$C$5:$C$24,MATCH($C335,المنتجات!$A$5:$A$24,0)),"كود غير موجود"))</f>
        <v/>
      </c>
      <c r="E335" s="24"/>
      <c r="F335" s="27" t="str">
        <f aca="false">IF($C335="","",N(E335)*IFERROR(INDEX(المنتجات!$G$5:$G$24,MATCH($C335,المنتجات!$A$5:$A$24,0)),0))</f>
        <v/>
      </c>
      <c r="G335" s="24"/>
      <c r="H335" s="27" t="str">
        <f aca="false">IF(OR($C335="",G335=""),"",G335-F335)</f>
        <v/>
      </c>
      <c r="I335" s="32"/>
      <c r="J335" s="29"/>
      <c r="K335" s="29"/>
    </row>
    <row r="336" customFormat="false" ht="15" hidden="false" customHeight="false" outlineLevel="0" collapsed="false">
      <c r="A336" s="32"/>
      <c r="B336" s="29"/>
      <c r="C336" s="29"/>
      <c r="D336" s="28" t="str">
        <f aca="false">IF($C336="","",IFERROR(INDEX(المنتجات!$C$5:$C$24,MATCH($C336,المنتجات!$A$5:$A$24,0)),"كود غير موجود"))</f>
        <v/>
      </c>
      <c r="E336" s="24"/>
      <c r="F336" s="27" t="str">
        <f aca="false">IF($C336="","",N(E336)*IFERROR(INDEX(المنتجات!$G$5:$G$24,MATCH($C336,المنتجات!$A$5:$A$24,0)),0))</f>
        <v/>
      </c>
      <c r="G336" s="24"/>
      <c r="H336" s="27" t="str">
        <f aca="false">IF(OR($C336="",G336=""),"",G336-F336)</f>
        <v/>
      </c>
      <c r="I336" s="32"/>
      <c r="J336" s="29"/>
      <c r="K336" s="29"/>
    </row>
    <row r="337" customFormat="false" ht="15" hidden="false" customHeight="false" outlineLevel="0" collapsed="false">
      <c r="A337" s="32"/>
      <c r="B337" s="29"/>
      <c r="C337" s="29"/>
      <c r="D337" s="28" t="str">
        <f aca="false">IF($C337="","",IFERROR(INDEX(المنتجات!$C$5:$C$24,MATCH($C337,المنتجات!$A$5:$A$24,0)),"كود غير موجود"))</f>
        <v/>
      </c>
      <c r="E337" s="24"/>
      <c r="F337" s="27" t="str">
        <f aca="false">IF($C337="","",N(E337)*IFERROR(INDEX(المنتجات!$G$5:$G$24,MATCH($C337,المنتجات!$A$5:$A$24,0)),0))</f>
        <v/>
      </c>
      <c r="G337" s="24"/>
      <c r="H337" s="27" t="str">
        <f aca="false">IF(OR($C337="",G337=""),"",G337-F337)</f>
        <v/>
      </c>
      <c r="I337" s="32"/>
      <c r="J337" s="29"/>
      <c r="K337" s="29"/>
    </row>
    <row r="338" customFormat="false" ht="15" hidden="false" customHeight="false" outlineLevel="0" collapsed="false">
      <c r="A338" s="32"/>
      <c r="B338" s="29"/>
      <c r="C338" s="29"/>
      <c r="D338" s="28" t="str">
        <f aca="false">IF($C338="","",IFERROR(INDEX(المنتجات!$C$5:$C$24,MATCH($C338,المنتجات!$A$5:$A$24,0)),"كود غير موجود"))</f>
        <v/>
      </c>
      <c r="E338" s="24"/>
      <c r="F338" s="27" t="str">
        <f aca="false">IF($C338="","",N(E338)*IFERROR(INDEX(المنتجات!$G$5:$G$24,MATCH($C338,المنتجات!$A$5:$A$24,0)),0))</f>
        <v/>
      </c>
      <c r="G338" s="24"/>
      <c r="H338" s="27" t="str">
        <f aca="false">IF(OR($C338="",G338=""),"",G338-F338)</f>
        <v/>
      </c>
      <c r="I338" s="32"/>
      <c r="J338" s="29"/>
      <c r="K338" s="29"/>
    </row>
    <row r="339" customFormat="false" ht="15" hidden="false" customHeight="false" outlineLevel="0" collapsed="false">
      <c r="A339" s="32"/>
      <c r="B339" s="29"/>
      <c r="C339" s="29"/>
      <c r="D339" s="28" t="str">
        <f aca="false">IF($C339="","",IFERROR(INDEX(المنتجات!$C$5:$C$24,MATCH($C339,المنتجات!$A$5:$A$24,0)),"كود غير موجود"))</f>
        <v/>
      </c>
      <c r="E339" s="24"/>
      <c r="F339" s="27" t="str">
        <f aca="false">IF($C339="","",N(E339)*IFERROR(INDEX(المنتجات!$G$5:$G$24,MATCH($C339,المنتجات!$A$5:$A$24,0)),0))</f>
        <v/>
      </c>
      <c r="G339" s="24"/>
      <c r="H339" s="27" t="str">
        <f aca="false">IF(OR($C339="",G339=""),"",G339-F339)</f>
        <v/>
      </c>
      <c r="I339" s="32"/>
      <c r="J339" s="29"/>
      <c r="K339" s="29"/>
    </row>
    <row r="340" customFormat="false" ht="15" hidden="false" customHeight="false" outlineLevel="0" collapsed="false">
      <c r="A340" s="32"/>
      <c r="B340" s="29"/>
      <c r="C340" s="29"/>
      <c r="D340" s="28" t="str">
        <f aca="false">IF($C340="","",IFERROR(INDEX(المنتجات!$C$5:$C$24,MATCH($C340,المنتجات!$A$5:$A$24,0)),"كود غير موجود"))</f>
        <v/>
      </c>
      <c r="E340" s="24"/>
      <c r="F340" s="27" t="str">
        <f aca="false">IF($C340="","",N(E340)*IFERROR(INDEX(المنتجات!$G$5:$G$24,MATCH($C340,المنتجات!$A$5:$A$24,0)),0))</f>
        <v/>
      </c>
      <c r="G340" s="24"/>
      <c r="H340" s="27" t="str">
        <f aca="false">IF(OR($C340="",G340=""),"",G340-F340)</f>
        <v/>
      </c>
      <c r="I340" s="32"/>
      <c r="J340" s="29"/>
      <c r="K340" s="29"/>
    </row>
    <row r="341" customFormat="false" ht="15" hidden="false" customHeight="false" outlineLevel="0" collapsed="false">
      <c r="A341" s="32"/>
      <c r="B341" s="29"/>
      <c r="C341" s="29"/>
      <c r="D341" s="28" t="str">
        <f aca="false">IF($C341="","",IFERROR(INDEX(المنتجات!$C$5:$C$24,MATCH($C341,المنتجات!$A$5:$A$24,0)),"كود غير موجود"))</f>
        <v/>
      </c>
      <c r="E341" s="24"/>
      <c r="F341" s="27" t="str">
        <f aca="false">IF($C341="","",N(E341)*IFERROR(INDEX(المنتجات!$G$5:$G$24,MATCH($C341,المنتجات!$A$5:$A$24,0)),0))</f>
        <v/>
      </c>
      <c r="G341" s="24"/>
      <c r="H341" s="27" t="str">
        <f aca="false">IF(OR($C341="",G341=""),"",G341-F341)</f>
        <v/>
      </c>
      <c r="I341" s="32"/>
      <c r="J341" s="29"/>
      <c r="K341" s="29"/>
    </row>
    <row r="342" customFormat="false" ht="15" hidden="false" customHeight="false" outlineLevel="0" collapsed="false">
      <c r="A342" s="32"/>
      <c r="B342" s="29"/>
      <c r="C342" s="29"/>
      <c r="D342" s="28" t="str">
        <f aca="false">IF($C342="","",IFERROR(INDEX(المنتجات!$C$5:$C$24,MATCH($C342,المنتجات!$A$5:$A$24,0)),"كود غير موجود"))</f>
        <v/>
      </c>
      <c r="E342" s="24"/>
      <c r="F342" s="27" t="str">
        <f aca="false">IF($C342="","",N(E342)*IFERROR(INDEX(المنتجات!$G$5:$G$24,MATCH($C342,المنتجات!$A$5:$A$24,0)),0))</f>
        <v/>
      </c>
      <c r="G342" s="24"/>
      <c r="H342" s="27" t="str">
        <f aca="false">IF(OR($C342="",G342=""),"",G342-F342)</f>
        <v/>
      </c>
      <c r="I342" s="32"/>
      <c r="J342" s="29"/>
      <c r="K342" s="29"/>
    </row>
    <row r="343" customFormat="false" ht="15" hidden="false" customHeight="false" outlineLevel="0" collapsed="false">
      <c r="A343" s="32"/>
      <c r="B343" s="29"/>
      <c r="C343" s="29"/>
      <c r="D343" s="28" t="str">
        <f aca="false">IF($C343="","",IFERROR(INDEX(المنتجات!$C$5:$C$24,MATCH($C343,المنتجات!$A$5:$A$24,0)),"كود غير موجود"))</f>
        <v/>
      </c>
      <c r="E343" s="24"/>
      <c r="F343" s="27" t="str">
        <f aca="false">IF($C343="","",N(E343)*IFERROR(INDEX(المنتجات!$G$5:$G$24,MATCH($C343,المنتجات!$A$5:$A$24,0)),0))</f>
        <v/>
      </c>
      <c r="G343" s="24"/>
      <c r="H343" s="27" t="str">
        <f aca="false">IF(OR($C343="",G343=""),"",G343-F343)</f>
        <v/>
      </c>
      <c r="I343" s="32"/>
      <c r="J343" s="29"/>
      <c r="K343" s="29"/>
    </row>
    <row r="344" customFormat="false" ht="15" hidden="false" customHeight="false" outlineLevel="0" collapsed="false">
      <c r="A344" s="32"/>
      <c r="B344" s="29"/>
      <c r="C344" s="29"/>
      <c r="D344" s="28" t="str">
        <f aca="false">IF($C344="","",IFERROR(INDEX(المنتجات!$C$5:$C$24,MATCH($C344,المنتجات!$A$5:$A$24,0)),"كود غير موجود"))</f>
        <v/>
      </c>
      <c r="E344" s="24"/>
      <c r="F344" s="27" t="str">
        <f aca="false">IF($C344="","",N(E344)*IFERROR(INDEX(المنتجات!$G$5:$G$24,MATCH($C344,المنتجات!$A$5:$A$24,0)),0))</f>
        <v/>
      </c>
      <c r="G344" s="24"/>
      <c r="H344" s="27" t="str">
        <f aca="false">IF(OR($C344="",G344=""),"",G344-F344)</f>
        <v/>
      </c>
      <c r="I344" s="32"/>
      <c r="J344" s="29"/>
      <c r="K344" s="29"/>
    </row>
    <row r="345" customFormat="false" ht="15" hidden="false" customHeight="false" outlineLevel="0" collapsed="false">
      <c r="A345" s="32"/>
      <c r="B345" s="29"/>
      <c r="C345" s="29"/>
      <c r="D345" s="28" t="str">
        <f aca="false">IF($C345="","",IFERROR(INDEX(المنتجات!$C$5:$C$24,MATCH($C345,المنتجات!$A$5:$A$24,0)),"كود غير موجود"))</f>
        <v/>
      </c>
      <c r="E345" s="24"/>
      <c r="F345" s="27" t="str">
        <f aca="false">IF($C345="","",N(E345)*IFERROR(INDEX(المنتجات!$G$5:$G$24,MATCH($C345,المنتجات!$A$5:$A$24,0)),0))</f>
        <v/>
      </c>
      <c r="G345" s="24"/>
      <c r="H345" s="27" t="str">
        <f aca="false">IF(OR($C345="",G345=""),"",G345-F345)</f>
        <v/>
      </c>
      <c r="I345" s="32"/>
      <c r="J345" s="29"/>
      <c r="K345" s="29"/>
    </row>
    <row r="346" customFormat="false" ht="15" hidden="false" customHeight="false" outlineLevel="0" collapsed="false">
      <c r="A346" s="32"/>
      <c r="B346" s="29"/>
      <c r="C346" s="29"/>
      <c r="D346" s="28" t="str">
        <f aca="false">IF($C346="","",IFERROR(INDEX(المنتجات!$C$5:$C$24,MATCH($C346,المنتجات!$A$5:$A$24,0)),"كود غير موجود"))</f>
        <v/>
      </c>
      <c r="E346" s="24"/>
      <c r="F346" s="27" t="str">
        <f aca="false">IF($C346="","",N(E346)*IFERROR(INDEX(المنتجات!$G$5:$G$24,MATCH($C346,المنتجات!$A$5:$A$24,0)),0))</f>
        <v/>
      </c>
      <c r="G346" s="24"/>
      <c r="H346" s="27" t="str">
        <f aca="false">IF(OR($C346="",G346=""),"",G346-F346)</f>
        <v/>
      </c>
      <c r="I346" s="32"/>
      <c r="J346" s="29"/>
      <c r="K346" s="29"/>
    </row>
    <row r="347" customFormat="false" ht="15" hidden="false" customHeight="false" outlineLevel="0" collapsed="false">
      <c r="A347" s="32"/>
      <c r="B347" s="29"/>
      <c r="C347" s="29"/>
      <c r="D347" s="28" t="str">
        <f aca="false">IF($C347="","",IFERROR(INDEX(المنتجات!$C$5:$C$24,MATCH($C347,المنتجات!$A$5:$A$24,0)),"كود غير موجود"))</f>
        <v/>
      </c>
      <c r="E347" s="24"/>
      <c r="F347" s="27" t="str">
        <f aca="false">IF($C347="","",N(E347)*IFERROR(INDEX(المنتجات!$G$5:$G$24,MATCH($C347,المنتجات!$A$5:$A$24,0)),0))</f>
        <v/>
      </c>
      <c r="G347" s="24"/>
      <c r="H347" s="27" t="str">
        <f aca="false">IF(OR($C347="",G347=""),"",G347-F347)</f>
        <v/>
      </c>
      <c r="I347" s="32"/>
      <c r="J347" s="29"/>
      <c r="K347" s="29"/>
    </row>
    <row r="348" customFormat="false" ht="15" hidden="false" customHeight="false" outlineLevel="0" collapsed="false">
      <c r="A348" s="32"/>
      <c r="B348" s="29"/>
      <c r="C348" s="29"/>
      <c r="D348" s="28" t="str">
        <f aca="false">IF($C348="","",IFERROR(INDEX(المنتجات!$C$5:$C$24,MATCH($C348,المنتجات!$A$5:$A$24,0)),"كود غير موجود"))</f>
        <v/>
      </c>
      <c r="E348" s="24"/>
      <c r="F348" s="27" t="str">
        <f aca="false">IF($C348="","",N(E348)*IFERROR(INDEX(المنتجات!$G$5:$G$24,MATCH($C348,المنتجات!$A$5:$A$24,0)),0))</f>
        <v/>
      </c>
      <c r="G348" s="24"/>
      <c r="H348" s="27" t="str">
        <f aca="false">IF(OR($C348="",G348=""),"",G348-F348)</f>
        <v/>
      </c>
      <c r="I348" s="32"/>
      <c r="J348" s="29"/>
      <c r="K348" s="29"/>
    </row>
    <row r="349" customFormat="false" ht="15" hidden="false" customHeight="false" outlineLevel="0" collapsed="false">
      <c r="A349" s="32"/>
      <c r="B349" s="29"/>
      <c r="C349" s="29"/>
      <c r="D349" s="28" t="str">
        <f aca="false">IF($C349="","",IFERROR(INDEX(المنتجات!$C$5:$C$24,MATCH($C349,المنتجات!$A$5:$A$24,0)),"كود غير موجود"))</f>
        <v/>
      </c>
      <c r="E349" s="24"/>
      <c r="F349" s="27" t="str">
        <f aca="false">IF($C349="","",N(E349)*IFERROR(INDEX(المنتجات!$G$5:$G$24,MATCH($C349,المنتجات!$A$5:$A$24,0)),0))</f>
        <v/>
      </c>
      <c r="G349" s="24"/>
      <c r="H349" s="27" t="str">
        <f aca="false">IF(OR($C349="",G349=""),"",G349-F349)</f>
        <v/>
      </c>
      <c r="I349" s="32"/>
      <c r="J349" s="29"/>
      <c r="K349" s="29"/>
    </row>
    <row r="350" customFormat="false" ht="15" hidden="false" customHeight="false" outlineLevel="0" collapsed="false">
      <c r="A350" s="32"/>
      <c r="B350" s="29"/>
      <c r="C350" s="29"/>
      <c r="D350" s="28" t="str">
        <f aca="false">IF($C350="","",IFERROR(INDEX(المنتجات!$C$5:$C$24,MATCH($C350,المنتجات!$A$5:$A$24,0)),"كود غير موجود"))</f>
        <v/>
      </c>
      <c r="E350" s="24"/>
      <c r="F350" s="27" t="str">
        <f aca="false">IF($C350="","",N(E350)*IFERROR(INDEX(المنتجات!$G$5:$G$24,MATCH($C350,المنتجات!$A$5:$A$24,0)),0))</f>
        <v/>
      </c>
      <c r="G350" s="24"/>
      <c r="H350" s="27" t="str">
        <f aca="false">IF(OR($C350="",G350=""),"",G350-F350)</f>
        <v/>
      </c>
      <c r="I350" s="32"/>
      <c r="J350" s="29"/>
      <c r="K350" s="29"/>
    </row>
    <row r="351" customFormat="false" ht="15" hidden="false" customHeight="false" outlineLevel="0" collapsed="false">
      <c r="A351" s="32"/>
      <c r="B351" s="29"/>
      <c r="C351" s="29"/>
      <c r="D351" s="28" t="str">
        <f aca="false">IF($C351="","",IFERROR(INDEX(المنتجات!$C$5:$C$24,MATCH($C351,المنتجات!$A$5:$A$24,0)),"كود غير موجود"))</f>
        <v/>
      </c>
      <c r="E351" s="24"/>
      <c r="F351" s="27" t="str">
        <f aca="false">IF($C351="","",N(E351)*IFERROR(INDEX(المنتجات!$G$5:$G$24,MATCH($C351,المنتجات!$A$5:$A$24,0)),0))</f>
        <v/>
      </c>
      <c r="G351" s="24"/>
      <c r="H351" s="27" t="str">
        <f aca="false">IF(OR($C351="",G351=""),"",G351-F351)</f>
        <v/>
      </c>
      <c r="I351" s="32"/>
      <c r="J351" s="29"/>
      <c r="K351" s="29"/>
    </row>
    <row r="352" customFormat="false" ht="15" hidden="false" customHeight="false" outlineLevel="0" collapsed="false">
      <c r="A352" s="32"/>
      <c r="B352" s="29"/>
      <c r="C352" s="29"/>
      <c r="D352" s="28" t="str">
        <f aca="false">IF($C352="","",IFERROR(INDEX(المنتجات!$C$5:$C$24,MATCH($C352,المنتجات!$A$5:$A$24,0)),"كود غير موجود"))</f>
        <v/>
      </c>
      <c r="E352" s="24"/>
      <c r="F352" s="27" t="str">
        <f aca="false">IF($C352="","",N(E352)*IFERROR(INDEX(المنتجات!$G$5:$G$24,MATCH($C352,المنتجات!$A$5:$A$24,0)),0))</f>
        <v/>
      </c>
      <c r="G352" s="24"/>
      <c r="H352" s="27" t="str">
        <f aca="false">IF(OR($C352="",G352=""),"",G352-F352)</f>
        <v/>
      </c>
      <c r="I352" s="32"/>
      <c r="J352" s="29"/>
      <c r="K352" s="29"/>
    </row>
    <row r="353" customFormat="false" ht="15" hidden="false" customHeight="false" outlineLevel="0" collapsed="false">
      <c r="A353" s="32"/>
      <c r="B353" s="29"/>
      <c r="C353" s="29"/>
      <c r="D353" s="28" t="str">
        <f aca="false">IF($C353="","",IFERROR(INDEX(المنتجات!$C$5:$C$24,MATCH($C353,المنتجات!$A$5:$A$24,0)),"كود غير موجود"))</f>
        <v/>
      </c>
      <c r="E353" s="24"/>
      <c r="F353" s="27" t="str">
        <f aca="false">IF($C353="","",N(E353)*IFERROR(INDEX(المنتجات!$G$5:$G$24,MATCH($C353,المنتجات!$A$5:$A$24,0)),0))</f>
        <v/>
      </c>
      <c r="G353" s="24"/>
      <c r="H353" s="27" t="str">
        <f aca="false">IF(OR($C353="",G353=""),"",G353-F353)</f>
        <v/>
      </c>
      <c r="I353" s="32"/>
      <c r="J353" s="29"/>
      <c r="K353" s="29"/>
    </row>
    <row r="354" customFormat="false" ht="15" hidden="false" customHeight="false" outlineLevel="0" collapsed="false">
      <c r="A354" s="32"/>
      <c r="B354" s="29"/>
      <c r="C354" s="29"/>
      <c r="D354" s="28" t="str">
        <f aca="false">IF($C354="","",IFERROR(INDEX(المنتجات!$C$5:$C$24,MATCH($C354,المنتجات!$A$5:$A$24,0)),"كود غير موجود"))</f>
        <v/>
      </c>
      <c r="E354" s="24"/>
      <c r="F354" s="27" t="str">
        <f aca="false">IF($C354="","",N(E354)*IFERROR(INDEX(المنتجات!$G$5:$G$24,MATCH($C354,المنتجات!$A$5:$A$24,0)),0))</f>
        <v/>
      </c>
      <c r="G354" s="24"/>
      <c r="H354" s="27" t="str">
        <f aca="false">IF(OR($C354="",G354=""),"",G354-F354)</f>
        <v/>
      </c>
      <c r="I354" s="32"/>
      <c r="J354" s="29"/>
      <c r="K354" s="29"/>
    </row>
    <row r="355" customFormat="false" ht="15" hidden="false" customHeight="false" outlineLevel="0" collapsed="false">
      <c r="A355" s="32"/>
      <c r="B355" s="29"/>
      <c r="C355" s="29"/>
      <c r="D355" s="28" t="str">
        <f aca="false">IF($C355="","",IFERROR(INDEX(المنتجات!$C$5:$C$24,MATCH($C355,المنتجات!$A$5:$A$24,0)),"كود غير موجود"))</f>
        <v/>
      </c>
      <c r="E355" s="24"/>
      <c r="F355" s="27" t="str">
        <f aca="false">IF($C355="","",N(E355)*IFERROR(INDEX(المنتجات!$G$5:$G$24,MATCH($C355,المنتجات!$A$5:$A$24,0)),0))</f>
        <v/>
      </c>
      <c r="G355" s="24"/>
      <c r="H355" s="27" t="str">
        <f aca="false">IF(OR($C355="",G355=""),"",G355-F355)</f>
        <v/>
      </c>
      <c r="I355" s="32"/>
      <c r="J355" s="29"/>
      <c r="K355" s="29"/>
    </row>
    <row r="356" customFormat="false" ht="15" hidden="false" customHeight="false" outlineLevel="0" collapsed="false">
      <c r="A356" s="32"/>
      <c r="B356" s="29"/>
      <c r="C356" s="29"/>
      <c r="D356" s="28" t="str">
        <f aca="false">IF($C356="","",IFERROR(INDEX(المنتجات!$C$5:$C$24,MATCH($C356,المنتجات!$A$5:$A$24,0)),"كود غير موجود"))</f>
        <v/>
      </c>
      <c r="E356" s="24"/>
      <c r="F356" s="27" t="str">
        <f aca="false">IF($C356="","",N(E356)*IFERROR(INDEX(المنتجات!$G$5:$G$24,MATCH($C356,المنتجات!$A$5:$A$24,0)),0))</f>
        <v/>
      </c>
      <c r="G356" s="24"/>
      <c r="H356" s="27" t="str">
        <f aca="false">IF(OR($C356="",G356=""),"",G356-F356)</f>
        <v/>
      </c>
      <c r="I356" s="32"/>
      <c r="J356" s="29"/>
      <c r="K356" s="29"/>
    </row>
    <row r="357" customFormat="false" ht="15" hidden="false" customHeight="false" outlineLevel="0" collapsed="false">
      <c r="A357" s="32"/>
      <c r="B357" s="29"/>
      <c r="C357" s="29"/>
      <c r="D357" s="28" t="str">
        <f aca="false">IF($C357="","",IFERROR(INDEX(المنتجات!$C$5:$C$24,MATCH($C357,المنتجات!$A$5:$A$24,0)),"كود غير موجود"))</f>
        <v/>
      </c>
      <c r="E357" s="24"/>
      <c r="F357" s="27" t="str">
        <f aca="false">IF($C357="","",N(E357)*IFERROR(INDEX(المنتجات!$G$5:$G$24,MATCH($C357,المنتجات!$A$5:$A$24,0)),0))</f>
        <v/>
      </c>
      <c r="G357" s="24"/>
      <c r="H357" s="27" t="str">
        <f aca="false">IF(OR($C357="",G357=""),"",G357-F357)</f>
        <v/>
      </c>
      <c r="I357" s="32"/>
      <c r="J357" s="29"/>
      <c r="K357" s="29"/>
    </row>
    <row r="358" customFormat="false" ht="15" hidden="false" customHeight="false" outlineLevel="0" collapsed="false">
      <c r="A358" s="32"/>
      <c r="B358" s="29"/>
      <c r="C358" s="29"/>
      <c r="D358" s="28" t="str">
        <f aca="false">IF($C358="","",IFERROR(INDEX(المنتجات!$C$5:$C$24,MATCH($C358,المنتجات!$A$5:$A$24,0)),"كود غير موجود"))</f>
        <v/>
      </c>
      <c r="E358" s="24"/>
      <c r="F358" s="27" t="str">
        <f aca="false">IF($C358="","",N(E358)*IFERROR(INDEX(المنتجات!$G$5:$G$24,MATCH($C358,المنتجات!$A$5:$A$24,0)),0))</f>
        <v/>
      </c>
      <c r="G358" s="24"/>
      <c r="H358" s="27" t="str">
        <f aca="false">IF(OR($C358="",G358=""),"",G358-F358)</f>
        <v/>
      </c>
      <c r="I358" s="32"/>
      <c r="J358" s="29"/>
      <c r="K358" s="29"/>
    </row>
    <row r="359" customFormat="false" ht="15" hidden="false" customHeight="false" outlineLevel="0" collapsed="false">
      <c r="A359" s="32"/>
      <c r="B359" s="29"/>
      <c r="C359" s="29"/>
      <c r="D359" s="28" t="str">
        <f aca="false">IF($C359="","",IFERROR(INDEX(المنتجات!$C$5:$C$24,MATCH($C359,المنتجات!$A$5:$A$24,0)),"كود غير موجود"))</f>
        <v/>
      </c>
      <c r="E359" s="24"/>
      <c r="F359" s="27" t="str">
        <f aca="false">IF($C359="","",N(E359)*IFERROR(INDEX(المنتجات!$G$5:$G$24,MATCH($C359,المنتجات!$A$5:$A$24,0)),0))</f>
        <v/>
      </c>
      <c r="G359" s="24"/>
      <c r="H359" s="27" t="str">
        <f aca="false">IF(OR($C359="",G359=""),"",G359-F359)</f>
        <v/>
      </c>
      <c r="I359" s="32"/>
      <c r="J359" s="29"/>
      <c r="K359" s="29"/>
    </row>
    <row r="360" customFormat="false" ht="15" hidden="false" customHeight="false" outlineLevel="0" collapsed="false">
      <c r="A360" s="32"/>
      <c r="B360" s="29"/>
      <c r="C360" s="29"/>
      <c r="D360" s="28" t="str">
        <f aca="false">IF($C360="","",IFERROR(INDEX(المنتجات!$C$5:$C$24,MATCH($C360,المنتجات!$A$5:$A$24,0)),"كود غير موجود"))</f>
        <v/>
      </c>
      <c r="E360" s="24"/>
      <c r="F360" s="27" t="str">
        <f aca="false">IF($C360="","",N(E360)*IFERROR(INDEX(المنتجات!$G$5:$G$24,MATCH($C360,المنتجات!$A$5:$A$24,0)),0))</f>
        <v/>
      </c>
      <c r="G360" s="24"/>
      <c r="H360" s="27" t="str">
        <f aca="false">IF(OR($C360="",G360=""),"",G360-F360)</f>
        <v/>
      </c>
      <c r="I360" s="32"/>
      <c r="J360" s="29"/>
      <c r="K360" s="29"/>
    </row>
    <row r="361" customFormat="false" ht="15" hidden="false" customHeight="false" outlineLevel="0" collapsed="false">
      <c r="A361" s="32"/>
      <c r="B361" s="29"/>
      <c r="C361" s="29"/>
      <c r="D361" s="28" t="str">
        <f aca="false">IF($C361="","",IFERROR(INDEX(المنتجات!$C$5:$C$24,MATCH($C361,المنتجات!$A$5:$A$24,0)),"كود غير موجود"))</f>
        <v/>
      </c>
      <c r="E361" s="24"/>
      <c r="F361" s="27" t="str">
        <f aca="false">IF($C361="","",N(E361)*IFERROR(INDEX(المنتجات!$G$5:$G$24,MATCH($C361,المنتجات!$A$5:$A$24,0)),0))</f>
        <v/>
      </c>
      <c r="G361" s="24"/>
      <c r="H361" s="27" t="str">
        <f aca="false">IF(OR($C361="",G361=""),"",G361-F361)</f>
        <v/>
      </c>
      <c r="I361" s="32"/>
      <c r="J361" s="29"/>
      <c r="K361" s="29"/>
    </row>
    <row r="362" customFormat="false" ht="15" hidden="false" customHeight="false" outlineLevel="0" collapsed="false">
      <c r="A362" s="32"/>
      <c r="B362" s="29"/>
      <c r="C362" s="29"/>
      <c r="D362" s="28" t="str">
        <f aca="false">IF($C362="","",IFERROR(INDEX(المنتجات!$C$5:$C$24,MATCH($C362,المنتجات!$A$5:$A$24,0)),"كود غير موجود"))</f>
        <v/>
      </c>
      <c r="E362" s="24"/>
      <c r="F362" s="27" t="str">
        <f aca="false">IF($C362="","",N(E362)*IFERROR(INDEX(المنتجات!$G$5:$G$24,MATCH($C362,المنتجات!$A$5:$A$24,0)),0))</f>
        <v/>
      </c>
      <c r="G362" s="24"/>
      <c r="H362" s="27" t="str">
        <f aca="false">IF(OR($C362="",G362=""),"",G362-F362)</f>
        <v/>
      </c>
      <c r="I362" s="32"/>
      <c r="J362" s="29"/>
      <c r="K362" s="29"/>
    </row>
    <row r="363" customFormat="false" ht="15" hidden="false" customHeight="false" outlineLevel="0" collapsed="false">
      <c r="A363" s="32"/>
      <c r="B363" s="29"/>
      <c r="C363" s="29"/>
      <c r="D363" s="28" t="str">
        <f aca="false">IF($C363="","",IFERROR(INDEX(المنتجات!$C$5:$C$24,MATCH($C363,المنتجات!$A$5:$A$24,0)),"كود غير موجود"))</f>
        <v/>
      </c>
      <c r="E363" s="24"/>
      <c r="F363" s="27" t="str">
        <f aca="false">IF($C363="","",N(E363)*IFERROR(INDEX(المنتجات!$G$5:$G$24,MATCH($C363,المنتجات!$A$5:$A$24,0)),0))</f>
        <v/>
      </c>
      <c r="G363" s="24"/>
      <c r="H363" s="27" t="str">
        <f aca="false">IF(OR($C363="",G363=""),"",G363-F363)</f>
        <v/>
      </c>
      <c r="I363" s="32"/>
      <c r="J363" s="29"/>
      <c r="K363" s="29"/>
    </row>
    <row r="364" customFormat="false" ht="15" hidden="false" customHeight="false" outlineLevel="0" collapsed="false">
      <c r="A364" s="32"/>
      <c r="B364" s="29"/>
      <c r="C364" s="29"/>
      <c r="D364" s="28" t="str">
        <f aca="false">IF($C364="","",IFERROR(INDEX(المنتجات!$C$5:$C$24,MATCH($C364,المنتجات!$A$5:$A$24,0)),"كود غير موجود"))</f>
        <v/>
      </c>
      <c r="E364" s="24"/>
      <c r="F364" s="27" t="str">
        <f aca="false">IF($C364="","",N(E364)*IFERROR(INDEX(المنتجات!$G$5:$G$24,MATCH($C364,المنتجات!$A$5:$A$24,0)),0))</f>
        <v/>
      </c>
      <c r="G364" s="24"/>
      <c r="H364" s="27" t="str">
        <f aca="false">IF(OR($C364="",G364=""),"",G364-F364)</f>
        <v/>
      </c>
      <c r="I364" s="32"/>
      <c r="J364" s="29"/>
      <c r="K364" s="29"/>
    </row>
    <row r="365" customFormat="false" ht="15" hidden="false" customHeight="false" outlineLevel="0" collapsed="false">
      <c r="A365" s="32"/>
      <c r="B365" s="29"/>
      <c r="C365" s="29"/>
      <c r="D365" s="28" t="str">
        <f aca="false">IF($C365="","",IFERROR(INDEX(المنتجات!$C$5:$C$24,MATCH($C365,المنتجات!$A$5:$A$24,0)),"كود غير موجود"))</f>
        <v/>
      </c>
      <c r="E365" s="24"/>
      <c r="F365" s="27" t="str">
        <f aca="false">IF($C365="","",N(E365)*IFERROR(INDEX(المنتجات!$G$5:$G$24,MATCH($C365,المنتجات!$A$5:$A$24,0)),0))</f>
        <v/>
      </c>
      <c r="G365" s="24"/>
      <c r="H365" s="27" t="str">
        <f aca="false">IF(OR($C365="",G365=""),"",G365-F365)</f>
        <v/>
      </c>
      <c r="I365" s="32"/>
      <c r="J365" s="29"/>
      <c r="K365" s="29"/>
    </row>
    <row r="366" customFormat="false" ht="15" hidden="false" customHeight="false" outlineLevel="0" collapsed="false">
      <c r="A366" s="32"/>
      <c r="B366" s="29"/>
      <c r="C366" s="29"/>
      <c r="D366" s="28" t="str">
        <f aca="false">IF($C366="","",IFERROR(INDEX(المنتجات!$C$5:$C$24,MATCH($C366,المنتجات!$A$5:$A$24,0)),"كود غير موجود"))</f>
        <v/>
      </c>
      <c r="E366" s="24"/>
      <c r="F366" s="27" t="str">
        <f aca="false">IF($C366="","",N(E366)*IFERROR(INDEX(المنتجات!$G$5:$G$24,MATCH($C366,المنتجات!$A$5:$A$24,0)),0))</f>
        <v/>
      </c>
      <c r="G366" s="24"/>
      <c r="H366" s="27" t="str">
        <f aca="false">IF(OR($C366="",G366=""),"",G366-F366)</f>
        <v/>
      </c>
      <c r="I366" s="32"/>
      <c r="J366" s="29"/>
      <c r="K366" s="29"/>
    </row>
    <row r="367" customFormat="false" ht="15" hidden="false" customHeight="false" outlineLevel="0" collapsed="false">
      <c r="A367" s="32"/>
      <c r="B367" s="29"/>
      <c r="C367" s="29"/>
      <c r="D367" s="28" t="str">
        <f aca="false">IF($C367="","",IFERROR(INDEX(المنتجات!$C$5:$C$24,MATCH($C367,المنتجات!$A$5:$A$24,0)),"كود غير موجود"))</f>
        <v/>
      </c>
      <c r="E367" s="24"/>
      <c r="F367" s="27" t="str">
        <f aca="false">IF($C367="","",N(E367)*IFERROR(INDEX(المنتجات!$G$5:$G$24,MATCH($C367,المنتجات!$A$5:$A$24,0)),0))</f>
        <v/>
      </c>
      <c r="G367" s="24"/>
      <c r="H367" s="27" t="str">
        <f aca="false">IF(OR($C367="",G367=""),"",G367-F367)</f>
        <v/>
      </c>
      <c r="I367" s="32"/>
      <c r="J367" s="29"/>
      <c r="K367" s="29"/>
    </row>
    <row r="368" customFormat="false" ht="15" hidden="false" customHeight="false" outlineLevel="0" collapsed="false">
      <c r="A368" s="32"/>
      <c r="B368" s="29"/>
      <c r="C368" s="29"/>
      <c r="D368" s="28" t="str">
        <f aca="false">IF($C368="","",IFERROR(INDEX(المنتجات!$C$5:$C$24,MATCH($C368,المنتجات!$A$5:$A$24,0)),"كود غير موجود"))</f>
        <v/>
      </c>
      <c r="E368" s="24"/>
      <c r="F368" s="27" t="str">
        <f aca="false">IF($C368="","",N(E368)*IFERROR(INDEX(المنتجات!$G$5:$G$24,MATCH($C368,المنتجات!$A$5:$A$24,0)),0))</f>
        <v/>
      </c>
      <c r="G368" s="24"/>
      <c r="H368" s="27" t="str">
        <f aca="false">IF(OR($C368="",G368=""),"",G368-F368)</f>
        <v/>
      </c>
      <c r="I368" s="32"/>
      <c r="J368" s="29"/>
      <c r="K368" s="29"/>
    </row>
    <row r="369" customFormat="false" ht="15" hidden="false" customHeight="false" outlineLevel="0" collapsed="false">
      <c r="A369" s="32"/>
      <c r="B369" s="29"/>
      <c r="C369" s="29"/>
      <c r="D369" s="28" t="str">
        <f aca="false">IF($C369="","",IFERROR(INDEX(المنتجات!$C$5:$C$24,MATCH($C369,المنتجات!$A$5:$A$24,0)),"كود غير موجود"))</f>
        <v/>
      </c>
      <c r="E369" s="24"/>
      <c r="F369" s="27" t="str">
        <f aca="false">IF($C369="","",N(E369)*IFERROR(INDEX(المنتجات!$G$5:$G$24,MATCH($C369,المنتجات!$A$5:$A$24,0)),0))</f>
        <v/>
      </c>
      <c r="G369" s="24"/>
      <c r="H369" s="27" t="str">
        <f aca="false">IF(OR($C369="",G369=""),"",G369-F369)</f>
        <v/>
      </c>
      <c r="I369" s="32"/>
      <c r="J369" s="29"/>
      <c r="K369" s="29"/>
    </row>
    <row r="370" customFormat="false" ht="15" hidden="false" customHeight="false" outlineLevel="0" collapsed="false">
      <c r="A370" s="32"/>
      <c r="B370" s="29"/>
      <c r="C370" s="29"/>
      <c r="D370" s="28" t="str">
        <f aca="false">IF($C370="","",IFERROR(INDEX(المنتجات!$C$5:$C$24,MATCH($C370,المنتجات!$A$5:$A$24,0)),"كود غير موجود"))</f>
        <v/>
      </c>
      <c r="E370" s="24"/>
      <c r="F370" s="27" t="str">
        <f aca="false">IF($C370="","",N(E370)*IFERROR(INDEX(المنتجات!$G$5:$G$24,MATCH($C370,المنتجات!$A$5:$A$24,0)),0))</f>
        <v/>
      </c>
      <c r="G370" s="24"/>
      <c r="H370" s="27" t="str">
        <f aca="false">IF(OR($C370="",G370=""),"",G370-F370)</f>
        <v/>
      </c>
      <c r="I370" s="32"/>
      <c r="J370" s="29"/>
      <c r="K370" s="29"/>
    </row>
    <row r="371" customFormat="false" ht="15" hidden="false" customHeight="false" outlineLevel="0" collapsed="false">
      <c r="A371" s="32"/>
      <c r="B371" s="29"/>
      <c r="C371" s="29"/>
      <c r="D371" s="28" t="str">
        <f aca="false">IF($C371="","",IFERROR(INDEX(المنتجات!$C$5:$C$24,MATCH($C371,المنتجات!$A$5:$A$24,0)),"كود غير موجود"))</f>
        <v/>
      </c>
      <c r="E371" s="24"/>
      <c r="F371" s="27" t="str">
        <f aca="false">IF($C371="","",N(E371)*IFERROR(INDEX(المنتجات!$G$5:$G$24,MATCH($C371,المنتجات!$A$5:$A$24,0)),0))</f>
        <v/>
      </c>
      <c r="G371" s="24"/>
      <c r="H371" s="27" t="str">
        <f aca="false">IF(OR($C371="",G371=""),"",G371-F371)</f>
        <v/>
      </c>
      <c r="I371" s="32"/>
      <c r="J371" s="29"/>
      <c r="K371" s="29"/>
    </row>
    <row r="372" customFormat="false" ht="15" hidden="false" customHeight="false" outlineLevel="0" collapsed="false">
      <c r="A372" s="32"/>
      <c r="B372" s="29"/>
      <c r="C372" s="29"/>
      <c r="D372" s="28" t="str">
        <f aca="false">IF($C372="","",IFERROR(INDEX(المنتجات!$C$5:$C$24,MATCH($C372,المنتجات!$A$5:$A$24,0)),"كود غير موجود"))</f>
        <v/>
      </c>
      <c r="E372" s="24"/>
      <c r="F372" s="27" t="str">
        <f aca="false">IF($C372="","",N(E372)*IFERROR(INDEX(المنتجات!$G$5:$G$24,MATCH($C372,المنتجات!$A$5:$A$24,0)),0))</f>
        <v/>
      </c>
      <c r="G372" s="24"/>
      <c r="H372" s="27" t="str">
        <f aca="false">IF(OR($C372="",G372=""),"",G372-F372)</f>
        <v/>
      </c>
      <c r="I372" s="32"/>
      <c r="J372" s="29"/>
      <c r="K372" s="29"/>
    </row>
    <row r="373" customFormat="false" ht="15" hidden="false" customHeight="false" outlineLevel="0" collapsed="false">
      <c r="A373" s="32"/>
      <c r="B373" s="29"/>
      <c r="C373" s="29"/>
      <c r="D373" s="28" t="str">
        <f aca="false">IF($C373="","",IFERROR(INDEX(المنتجات!$C$5:$C$24,MATCH($C373,المنتجات!$A$5:$A$24,0)),"كود غير موجود"))</f>
        <v/>
      </c>
      <c r="E373" s="24"/>
      <c r="F373" s="27" t="str">
        <f aca="false">IF($C373="","",N(E373)*IFERROR(INDEX(المنتجات!$G$5:$G$24,MATCH($C373,المنتجات!$A$5:$A$24,0)),0))</f>
        <v/>
      </c>
      <c r="G373" s="24"/>
      <c r="H373" s="27" t="str">
        <f aca="false">IF(OR($C373="",G373=""),"",G373-F373)</f>
        <v/>
      </c>
      <c r="I373" s="32"/>
      <c r="J373" s="29"/>
      <c r="K373" s="29"/>
    </row>
    <row r="374" customFormat="false" ht="15" hidden="false" customHeight="false" outlineLevel="0" collapsed="false">
      <c r="A374" s="32"/>
      <c r="B374" s="29"/>
      <c r="C374" s="29"/>
      <c r="D374" s="28" t="str">
        <f aca="false">IF($C374="","",IFERROR(INDEX(المنتجات!$C$5:$C$24,MATCH($C374,المنتجات!$A$5:$A$24,0)),"كود غير موجود"))</f>
        <v/>
      </c>
      <c r="E374" s="24"/>
      <c r="F374" s="27" t="str">
        <f aca="false">IF($C374="","",N(E374)*IFERROR(INDEX(المنتجات!$G$5:$G$24,MATCH($C374,المنتجات!$A$5:$A$24,0)),0))</f>
        <v/>
      </c>
      <c r="G374" s="24"/>
      <c r="H374" s="27" t="str">
        <f aca="false">IF(OR($C374="",G374=""),"",G374-F374)</f>
        <v/>
      </c>
      <c r="I374" s="32"/>
      <c r="J374" s="29"/>
      <c r="K374" s="29"/>
    </row>
    <row r="375" customFormat="false" ht="15" hidden="false" customHeight="false" outlineLevel="0" collapsed="false">
      <c r="A375" s="32"/>
      <c r="B375" s="29"/>
      <c r="C375" s="29"/>
      <c r="D375" s="28" t="str">
        <f aca="false">IF($C375="","",IFERROR(INDEX(المنتجات!$C$5:$C$24,MATCH($C375,المنتجات!$A$5:$A$24,0)),"كود غير موجود"))</f>
        <v/>
      </c>
      <c r="E375" s="24"/>
      <c r="F375" s="27" t="str">
        <f aca="false">IF($C375="","",N(E375)*IFERROR(INDEX(المنتجات!$G$5:$G$24,MATCH($C375,المنتجات!$A$5:$A$24,0)),0))</f>
        <v/>
      </c>
      <c r="G375" s="24"/>
      <c r="H375" s="27" t="str">
        <f aca="false">IF(OR($C375="",G375=""),"",G375-F375)</f>
        <v/>
      </c>
      <c r="I375" s="32"/>
      <c r="J375" s="29"/>
      <c r="K375" s="29"/>
    </row>
    <row r="376" customFormat="false" ht="15" hidden="false" customHeight="false" outlineLevel="0" collapsed="false">
      <c r="A376" s="32"/>
      <c r="B376" s="29"/>
      <c r="C376" s="29"/>
      <c r="D376" s="28" t="str">
        <f aca="false">IF($C376="","",IFERROR(INDEX(المنتجات!$C$5:$C$24,MATCH($C376,المنتجات!$A$5:$A$24,0)),"كود غير موجود"))</f>
        <v/>
      </c>
      <c r="E376" s="24"/>
      <c r="F376" s="27" t="str">
        <f aca="false">IF($C376="","",N(E376)*IFERROR(INDEX(المنتجات!$G$5:$G$24,MATCH($C376,المنتجات!$A$5:$A$24,0)),0))</f>
        <v/>
      </c>
      <c r="G376" s="24"/>
      <c r="H376" s="27" t="str">
        <f aca="false">IF(OR($C376="",G376=""),"",G376-F376)</f>
        <v/>
      </c>
      <c r="I376" s="32"/>
      <c r="J376" s="29"/>
      <c r="K376" s="29"/>
    </row>
    <row r="377" customFormat="false" ht="15" hidden="false" customHeight="false" outlineLevel="0" collapsed="false">
      <c r="A377" s="32"/>
      <c r="B377" s="29"/>
      <c r="C377" s="29"/>
      <c r="D377" s="28" t="str">
        <f aca="false">IF($C377="","",IFERROR(INDEX(المنتجات!$C$5:$C$24,MATCH($C377,المنتجات!$A$5:$A$24,0)),"كود غير موجود"))</f>
        <v/>
      </c>
      <c r="E377" s="24"/>
      <c r="F377" s="27" t="str">
        <f aca="false">IF($C377="","",N(E377)*IFERROR(INDEX(المنتجات!$G$5:$G$24,MATCH($C377,المنتجات!$A$5:$A$24,0)),0))</f>
        <v/>
      </c>
      <c r="G377" s="24"/>
      <c r="H377" s="27" t="str">
        <f aca="false">IF(OR($C377="",G377=""),"",G377-F377)</f>
        <v/>
      </c>
      <c r="I377" s="32"/>
      <c r="J377" s="29"/>
      <c r="K377" s="29"/>
    </row>
    <row r="378" customFormat="false" ht="15" hidden="false" customHeight="false" outlineLevel="0" collapsed="false">
      <c r="A378" s="32"/>
      <c r="B378" s="29"/>
      <c r="C378" s="29"/>
      <c r="D378" s="28" t="str">
        <f aca="false">IF($C378="","",IFERROR(INDEX(المنتجات!$C$5:$C$24,MATCH($C378,المنتجات!$A$5:$A$24,0)),"كود غير موجود"))</f>
        <v/>
      </c>
      <c r="E378" s="24"/>
      <c r="F378" s="27" t="str">
        <f aca="false">IF($C378="","",N(E378)*IFERROR(INDEX(المنتجات!$G$5:$G$24,MATCH($C378,المنتجات!$A$5:$A$24,0)),0))</f>
        <v/>
      </c>
      <c r="G378" s="24"/>
      <c r="H378" s="27" t="str">
        <f aca="false">IF(OR($C378="",G378=""),"",G378-F378)</f>
        <v/>
      </c>
      <c r="I378" s="32"/>
      <c r="J378" s="29"/>
      <c r="K378" s="29"/>
    </row>
    <row r="379" customFormat="false" ht="15" hidden="false" customHeight="false" outlineLevel="0" collapsed="false">
      <c r="A379" s="32"/>
      <c r="B379" s="29"/>
      <c r="C379" s="29"/>
      <c r="D379" s="28" t="str">
        <f aca="false">IF($C379="","",IFERROR(INDEX(المنتجات!$C$5:$C$24,MATCH($C379,المنتجات!$A$5:$A$24,0)),"كود غير موجود"))</f>
        <v/>
      </c>
      <c r="E379" s="24"/>
      <c r="F379" s="27" t="str">
        <f aca="false">IF($C379="","",N(E379)*IFERROR(INDEX(المنتجات!$G$5:$G$24,MATCH($C379,المنتجات!$A$5:$A$24,0)),0))</f>
        <v/>
      </c>
      <c r="G379" s="24"/>
      <c r="H379" s="27" t="str">
        <f aca="false">IF(OR($C379="",G379=""),"",G379-F379)</f>
        <v/>
      </c>
      <c r="I379" s="32"/>
      <c r="J379" s="29"/>
      <c r="K379" s="29"/>
    </row>
    <row r="380" customFormat="false" ht="15" hidden="false" customHeight="false" outlineLevel="0" collapsed="false">
      <c r="A380" s="32"/>
      <c r="B380" s="29"/>
      <c r="C380" s="29"/>
      <c r="D380" s="28" t="str">
        <f aca="false">IF($C380="","",IFERROR(INDEX(المنتجات!$C$5:$C$24,MATCH($C380,المنتجات!$A$5:$A$24,0)),"كود غير موجود"))</f>
        <v/>
      </c>
      <c r="E380" s="24"/>
      <c r="F380" s="27" t="str">
        <f aca="false">IF($C380="","",N(E380)*IFERROR(INDEX(المنتجات!$G$5:$G$24,MATCH($C380,المنتجات!$A$5:$A$24,0)),0))</f>
        <v/>
      </c>
      <c r="G380" s="24"/>
      <c r="H380" s="27" t="str">
        <f aca="false">IF(OR($C380="",G380=""),"",G380-F380)</f>
        <v/>
      </c>
      <c r="I380" s="32"/>
      <c r="J380" s="29"/>
      <c r="K380" s="29"/>
    </row>
    <row r="381" customFormat="false" ht="15" hidden="false" customHeight="false" outlineLevel="0" collapsed="false">
      <c r="A381" s="32"/>
      <c r="B381" s="29"/>
      <c r="C381" s="29"/>
      <c r="D381" s="28" t="str">
        <f aca="false">IF($C381="","",IFERROR(INDEX(المنتجات!$C$5:$C$24,MATCH($C381,المنتجات!$A$5:$A$24,0)),"كود غير موجود"))</f>
        <v/>
      </c>
      <c r="E381" s="24"/>
      <c r="F381" s="27" t="str">
        <f aca="false">IF($C381="","",N(E381)*IFERROR(INDEX(المنتجات!$G$5:$G$24,MATCH($C381,المنتجات!$A$5:$A$24,0)),0))</f>
        <v/>
      </c>
      <c r="G381" s="24"/>
      <c r="H381" s="27" t="str">
        <f aca="false">IF(OR($C381="",G381=""),"",G381-F381)</f>
        <v/>
      </c>
      <c r="I381" s="32"/>
      <c r="J381" s="29"/>
      <c r="K381" s="29"/>
    </row>
    <row r="382" customFormat="false" ht="15" hidden="false" customHeight="false" outlineLevel="0" collapsed="false">
      <c r="A382" s="32"/>
      <c r="B382" s="29"/>
      <c r="C382" s="29"/>
      <c r="D382" s="28" t="str">
        <f aca="false">IF($C382="","",IFERROR(INDEX(المنتجات!$C$5:$C$24,MATCH($C382,المنتجات!$A$5:$A$24,0)),"كود غير موجود"))</f>
        <v/>
      </c>
      <c r="E382" s="24"/>
      <c r="F382" s="27" t="str">
        <f aca="false">IF($C382="","",N(E382)*IFERROR(INDEX(المنتجات!$G$5:$G$24,MATCH($C382,المنتجات!$A$5:$A$24,0)),0))</f>
        <v/>
      </c>
      <c r="G382" s="24"/>
      <c r="H382" s="27" t="str">
        <f aca="false">IF(OR($C382="",G382=""),"",G382-F382)</f>
        <v/>
      </c>
      <c r="I382" s="32"/>
      <c r="J382" s="29"/>
      <c r="K382" s="29"/>
    </row>
    <row r="383" customFormat="false" ht="15" hidden="false" customHeight="false" outlineLevel="0" collapsed="false">
      <c r="A383" s="32"/>
      <c r="B383" s="29"/>
      <c r="C383" s="29"/>
      <c r="D383" s="28" t="str">
        <f aca="false">IF($C383="","",IFERROR(INDEX(المنتجات!$C$5:$C$24,MATCH($C383,المنتجات!$A$5:$A$24,0)),"كود غير موجود"))</f>
        <v/>
      </c>
      <c r="E383" s="24"/>
      <c r="F383" s="27" t="str">
        <f aca="false">IF($C383="","",N(E383)*IFERROR(INDEX(المنتجات!$G$5:$G$24,MATCH($C383,المنتجات!$A$5:$A$24,0)),0))</f>
        <v/>
      </c>
      <c r="G383" s="24"/>
      <c r="H383" s="27" t="str">
        <f aca="false">IF(OR($C383="",G383=""),"",G383-F383)</f>
        <v/>
      </c>
      <c r="I383" s="32"/>
      <c r="J383" s="29"/>
      <c r="K383" s="29"/>
    </row>
    <row r="384" customFormat="false" ht="15" hidden="false" customHeight="false" outlineLevel="0" collapsed="false">
      <c r="A384" s="32"/>
      <c r="B384" s="29"/>
      <c r="C384" s="29"/>
      <c r="D384" s="28" t="str">
        <f aca="false">IF($C384="","",IFERROR(INDEX(المنتجات!$C$5:$C$24,MATCH($C384,المنتجات!$A$5:$A$24,0)),"كود غير موجود"))</f>
        <v/>
      </c>
      <c r="E384" s="24"/>
      <c r="F384" s="27" t="str">
        <f aca="false">IF($C384="","",N(E384)*IFERROR(INDEX(المنتجات!$G$5:$G$24,MATCH($C384,المنتجات!$A$5:$A$24,0)),0))</f>
        <v/>
      </c>
      <c r="G384" s="24"/>
      <c r="H384" s="27" t="str">
        <f aca="false">IF(OR($C384="",G384=""),"",G384-F384)</f>
        <v/>
      </c>
      <c r="I384" s="32"/>
      <c r="J384" s="29"/>
      <c r="K384" s="29"/>
    </row>
    <row r="385" customFormat="false" ht="15" hidden="false" customHeight="false" outlineLevel="0" collapsed="false">
      <c r="A385" s="32"/>
      <c r="B385" s="29"/>
      <c r="C385" s="29"/>
      <c r="D385" s="28" t="str">
        <f aca="false">IF($C385="","",IFERROR(INDEX(المنتجات!$C$5:$C$24,MATCH($C385,المنتجات!$A$5:$A$24,0)),"كود غير موجود"))</f>
        <v/>
      </c>
      <c r="E385" s="24"/>
      <c r="F385" s="27" t="str">
        <f aca="false">IF($C385="","",N(E385)*IFERROR(INDEX(المنتجات!$G$5:$G$24,MATCH($C385,المنتجات!$A$5:$A$24,0)),0))</f>
        <v/>
      </c>
      <c r="G385" s="24"/>
      <c r="H385" s="27" t="str">
        <f aca="false">IF(OR($C385="",G385=""),"",G385-F385)</f>
        <v/>
      </c>
      <c r="I385" s="32"/>
      <c r="J385" s="29"/>
      <c r="K385" s="29"/>
    </row>
    <row r="386" customFormat="false" ht="15" hidden="false" customHeight="false" outlineLevel="0" collapsed="false">
      <c r="A386" s="32"/>
      <c r="B386" s="29"/>
      <c r="C386" s="29"/>
      <c r="D386" s="28" t="str">
        <f aca="false">IF($C386="","",IFERROR(INDEX(المنتجات!$C$5:$C$24,MATCH($C386,المنتجات!$A$5:$A$24,0)),"كود غير موجود"))</f>
        <v/>
      </c>
      <c r="E386" s="24"/>
      <c r="F386" s="27" t="str">
        <f aca="false">IF($C386="","",N(E386)*IFERROR(INDEX(المنتجات!$G$5:$G$24,MATCH($C386,المنتجات!$A$5:$A$24,0)),0))</f>
        <v/>
      </c>
      <c r="G386" s="24"/>
      <c r="H386" s="27" t="str">
        <f aca="false">IF(OR($C386="",G386=""),"",G386-F386)</f>
        <v/>
      </c>
      <c r="I386" s="32"/>
      <c r="J386" s="29"/>
      <c r="K386" s="29"/>
    </row>
    <row r="387" customFormat="false" ht="15" hidden="false" customHeight="false" outlineLevel="0" collapsed="false">
      <c r="A387" s="32"/>
      <c r="B387" s="29"/>
      <c r="C387" s="29"/>
      <c r="D387" s="28" t="str">
        <f aca="false">IF($C387="","",IFERROR(INDEX(المنتجات!$C$5:$C$24,MATCH($C387,المنتجات!$A$5:$A$24,0)),"كود غير موجود"))</f>
        <v/>
      </c>
      <c r="E387" s="24"/>
      <c r="F387" s="27" t="str">
        <f aca="false">IF($C387="","",N(E387)*IFERROR(INDEX(المنتجات!$G$5:$G$24,MATCH($C387,المنتجات!$A$5:$A$24,0)),0))</f>
        <v/>
      </c>
      <c r="G387" s="24"/>
      <c r="H387" s="27" t="str">
        <f aca="false">IF(OR($C387="",G387=""),"",G387-F387)</f>
        <v/>
      </c>
      <c r="I387" s="32"/>
      <c r="J387" s="29"/>
      <c r="K387" s="29"/>
    </row>
    <row r="388" customFormat="false" ht="15" hidden="false" customHeight="false" outlineLevel="0" collapsed="false">
      <c r="A388" s="32"/>
      <c r="B388" s="29"/>
      <c r="C388" s="29"/>
      <c r="D388" s="28" t="str">
        <f aca="false">IF($C388="","",IFERROR(INDEX(المنتجات!$C$5:$C$24,MATCH($C388,المنتجات!$A$5:$A$24,0)),"كود غير موجود"))</f>
        <v/>
      </c>
      <c r="E388" s="24"/>
      <c r="F388" s="27" t="str">
        <f aca="false">IF($C388="","",N(E388)*IFERROR(INDEX(المنتجات!$G$5:$G$24,MATCH($C388,المنتجات!$A$5:$A$24,0)),0))</f>
        <v/>
      </c>
      <c r="G388" s="24"/>
      <c r="H388" s="27" t="str">
        <f aca="false">IF(OR($C388="",G388=""),"",G388-F388)</f>
        <v/>
      </c>
      <c r="I388" s="32"/>
      <c r="J388" s="29"/>
      <c r="K388" s="29"/>
    </row>
    <row r="389" customFormat="false" ht="15" hidden="false" customHeight="false" outlineLevel="0" collapsed="false">
      <c r="A389" s="32"/>
      <c r="B389" s="29"/>
      <c r="C389" s="29"/>
      <c r="D389" s="28" t="str">
        <f aca="false">IF($C389="","",IFERROR(INDEX(المنتجات!$C$5:$C$24,MATCH($C389,المنتجات!$A$5:$A$24,0)),"كود غير موجود"))</f>
        <v/>
      </c>
      <c r="E389" s="24"/>
      <c r="F389" s="27" t="str">
        <f aca="false">IF($C389="","",N(E389)*IFERROR(INDEX(المنتجات!$G$5:$G$24,MATCH($C389,المنتجات!$A$5:$A$24,0)),0))</f>
        <v/>
      </c>
      <c r="G389" s="24"/>
      <c r="H389" s="27" t="str">
        <f aca="false">IF(OR($C389="",G389=""),"",G389-F389)</f>
        <v/>
      </c>
      <c r="I389" s="32"/>
      <c r="J389" s="29"/>
      <c r="K389" s="29"/>
    </row>
    <row r="390" customFormat="false" ht="15" hidden="false" customHeight="false" outlineLevel="0" collapsed="false">
      <c r="A390" s="32"/>
      <c r="B390" s="29"/>
      <c r="C390" s="29"/>
      <c r="D390" s="28" t="str">
        <f aca="false">IF($C390="","",IFERROR(INDEX(المنتجات!$C$5:$C$24,MATCH($C390,المنتجات!$A$5:$A$24,0)),"كود غير موجود"))</f>
        <v/>
      </c>
      <c r="E390" s="24"/>
      <c r="F390" s="27" t="str">
        <f aca="false">IF($C390="","",N(E390)*IFERROR(INDEX(المنتجات!$G$5:$G$24,MATCH($C390,المنتجات!$A$5:$A$24,0)),0))</f>
        <v/>
      </c>
      <c r="G390" s="24"/>
      <c r="H390" s="27" t="str">
        <f aca="false">IF(OR($C390="",G390=""),"",G390-F390)</f>
        <v/>
      </c>
      <c r="I390" s="32"/>
      <c r="J390" s="29"/>
      <c r="K390" s="29"/>
    </row>
    <row r="391" customFormat="false" ht="15" hidden="false" customHeight="false" outlineLevel="0" collapsed="false">
      <c r="A391" s="32"/>
      <c r="B391" s="29"/>
      <c r="C391" s="29"/>
      <c r="D391" s="28" t="str">
        <f aca="false">IF($C391="","",IFERROR(INDEX(المنتجات!$C$5:$C$24,MATCH($C391,المنتجات!$A$5:$A$24,0)),"كود غير موجود"))</f>
        <v/>
      </c>
      <c r="E391" s="24"/>
      <c r="F391" s="27" t="str">
        <f aca="false">IF($C391="","",N(E391)*IFERROR(INDEX(المنتجات!$G$5:$G$24,MATCH($C391,المنتجات!$A$5:$A$24,0)),0))</f>
        <v/>
      </c>
      <c r="G391" s="24"/>
      <c r="H391" s="27" t="str">
        <f aca="false">IF(OR($C391="",G391=""),"",G391-F391)</f>
        <v/>
      </c>
      <c r="I391" s="32"/>
      <c r="J391" s="29"/>
      <c r="K391" s="29"/>
    </row>
    <row r="392" customFormat="false" ht="15" hidden="false" customHeight="false" outlineLevel="0" collapsed="false">
      <c r="A392" s="32"/>
      <c r="B392" s="29"/>
      <c r="C392" s="29"/>
      <c r="D392" s="28" t="str">
        <f aca="false">IF($C392="","",IFERROR(INDEX(المنتجات!$C$5:$C$24,MATCH($C392,المنتجات!$A$5:$A$24,0)),"كود غير موجود"))</f>
        <v/>
      </c>
      <c r="E392" s="24"/>
      <c r="F392" s="27" t="str">
        <f aca="false">IF($C392="","",N(E392)*IFERROR(INDEX(المنتجات!$G$5:$G$24,MATCH($C392,المنتجات!$A$5:$A$24,0)),0))</f>
        <v/>
      </c>
      <c r="G392" s="24"/>
      <c r="H392" s="27" t="str">
        <f aca="false">IF(OR($C392="",G392=""),"",G392-F392)</f>
        <v/>
      </c>
      <c r="I392" s="32"/>
      <c r="J392" s="29"/>
      <c r="K392" s="29"/>
    </row>
    <row r="393" customFormat="false" ht="15" hidden="false" customHeight="false" outlineLevel="0" collapsed="false">
      <c r="A393" s="32"/>
      <c r="B393" s="29"/>
      <c r="C393" s="29"/>
      <c r="D393" s="28" t="str">
        <f aca="false">IF($C393="","",IFERROR(INDEX(المنتجات!$C$5:$C$24,MATCH($C393,المنتجات!$A$5:$A$24,0)),"كود غير موجود"))</f>
        <v/>
      </c>
      <c r="E393" s="24"/>
      <c r="F393" s="27" t="str">
        <f aca="false">IF($C393="","",N(E393)*IFERROR(INDEX(المنتجات!$G$5:$G$24,MATCH($C393,المنتجات!$A$5:$A$24,0)),0))</f>
        <v/>
      </c>
      <c r="G393" s="24"/>
      <c r="H393" s="27" t="str">
        <f aca="false">IF(OR($C393="",G393=""),"",G393-F393)</f>
        <v/>
      </c>
      <c r="I393" s="32"/>
      <c r="J393" s="29"/>
      <c r="K393" s="29"/>
    </row>
    <row r="394" customFormat="false" ht="15" hidden="false" customHeight="false" outlineLevel="0" collapsed="false">
      <c r="A394" s="32"/>
      <c r="B394" s="29"/>
      <c r="C394" s="29"/>
      <c r="D394" s="28" t="str">
        <f aca="false">IF($C394="","",IFERROR(INDEX(المنتجات!$C$5:$C$24,MATCH($C394,المنتجات!$A$5:$A$24,0)),"كود غير موجود"))</f>
        <v/>
      </c>
      <c r="E394" s="24"/>
      <c r="F394" s="27" t="str">
        <f aca="false">IF($C394="","",N(E394)*IFERROR(INDEX(المنتجات!$G$5:$G$24,MATCH($C394,المنتجات!$A$5:$A$24,0)),0))</f>
        <v/>
      </c>
      <c r="G394" s="24"/>
      <c r="H394" s="27" t="str">
        <f aca="false">IF(OR($C394="",G394=""),"",G394-F394)</f>
        <v/>
      </c>
      <c r="I394" s="32"/>
      <c r="J394" s="29"/>
      <c r="K394" s="29"/>
    </row>
    <row r="395" customFormat="false" ht="15" hidden="false" customHeight="false" outlineLevel="0" collapsed="false">
      <c r="A395" s="32"/>
      <c r="B395" s="29"/>
      <c r="C395" s="29"/>
      <c r="D395" s="28" t="str">
        <f aca="false">IF($C395="","",IFERROR(INDEX(المنتجات!$C$5:$C$24,MATCH($C395,المنتجات!$A$5:$A$24,0)),"كود غير موجود"))</f>
        <v/>
      </c>
      <c r="E395" s="24"/>
      <c r="F395" s="27" t="str">
        <f aca="false">IF($C395="","",N(E395)*IFERROR(INDEX(المنتجات!$G$5:$G$24,MATCH($C395,المنتجات!$A$5:$A$24,0)),0))</f>
        <v/>
      </c>
      <c r="G395" s="24"/>
      <c r="H395" s="27" t="str">
        <f aca="false">IF(OR($C395="",G395=""),"",G395-F395)</f>
        <v/>
      </c>
      <c r="I395" s="32"/>
      <c r="J395" s="29"/>
      <c r="K395" s="29"/>
    </row>
    <row r="396" customFormat="false" ht="15" hidden="false" customHeight="false" outlineLevel="0" collapsed="false">
      <c r="A396" s="32"/>
      <c r="B396" s="29"/>
      <c r="C396" s="29"/>
      <c r="D396" s="28" t="str">
        <f aca="false">IF($C396="","",IFERROR(INDEX(المنتجات!$C$5:$C$24,MATCH($C396,المنتجات!$A$5:$A$24,0)),"كود غير موجود"))</f>
        <v/>
      </c>
      <c r="E396" s="24"/>
      <c r="F396" s="27" t="str">
        <f aca="false">IF($C396="","",N(E396)*IFERROR(INDEX(المنتجات!$G$5:$G$24,MATCH($C396,المنتجات!$A$5:$A$24,0)),0))</f>
        <v/>
      </c>
      <c r="G396" s="24"/>
      <c r="H396" s="27" t="str">
        <f aca="false">IF(OR($C396="",G396=""),"",G396-F396)</f>
        <v/>
      </c>
      <c r="I396" s="32"/>
      <c r="J396" s="29"/>
      <c r="K396" s="29"/>
    </row>
    <row r="397" customFormat="false" ht="15" hidden="false" customHeight="false" outlineLevel="0" collapsed="false">
      <c r="A397" s="32"/>
      <c r="B397" s="29"/>
      <c r="C397" s="29"/>
      <c r="D397" s="28" t="str">
        <f aca="false">IF($C397="","",IFERROR(INDEX(المنتجات!$C$5:$C$24,MATCH($C397,المنتجات!$A$5:$A$24,0)),"كود غير موجود"))</f>
        <v/>
      </c>
      <c r="E397" s="24"/>
      <c r="F397" s="27" t="str">
        <f aca="false">IF($C397="","",N(E397)*IFERROR(INDEX(المنتجات!$G$5:$G$24,MATCH($C397,المنتجات!$A$5:$A$24,0)),0))</f>
        <v/>
      </c>
      <c r="G397" s="24"/>
      <c r="H397" s="27" t="str">
        <f aca="false">IF(OR($C397="",G397=""),"",G397-F397)</f>
        <v/>
      </c>
      <c r="I397" s="32"/>
      <c r="J397" s="29"/>
      <c r="K397" s="29"/>
    </row>
    <row r="398" customFormat="false" ht="15" hidden="false" customHeight="false" outlineLevel="0" collapsed="false">
      <c r="A398" s="32"/>
      <c r="B398" s="29"/>
      <c r="C398" s="29"/>
      <c r="D398" s="28" t="str">
        <f aca="false">IF($C398="","",IFERROR(INDEX(المنتجات!$C$5:$C$24,MATCH($C398,المنتجات!$A$5:$A$24,0)),"كود غير موجود"))</f>
        <v/>
      </c>
      <c r="E398" s="24"/>
      <c r="F398" s="27" t="str">
        <f aca="false">IF($C398="","",N(E398)*IFERROR(INDEX(المنتجات!$G$5:$G$24,MATCH($C398,المنتجات!$A$5:$A$24,0)),0))</f>
        <v/>
      </c>
      <c r="G398" s="24"/>
      <c r="H398" s="27" t="str">
        <f aca="false">IF(OR($C398="",G398=""),"",G398-F398)</f>
        <v/>
      </c>
      <c r="I398" s="32"/>
      <c r="J398" s="29"/>
      <c r="K398" s="29"/>
    </row>
    <row r="399" customFormat="false" ht="15" hidden="false" customHeight="false" outlineLevel="0" collapsed="false">
      <c r="A399" s="32"/>
      <c r="B399" s="29"/>
      <c r="C399" s="29"/>
      <c r="D399" s="28" t="str">
        <f aca="false">IF($C399="","",IFERROR(INDEX(المنتجات!$C$5:$C$24,MATCH($C399,المنتجات!$A$5:$A$24,0)),"كود غير موجود"))</f>
        <v/>
      </c>
      <c r="E399" s="24"/>
      <c r="F399" s="27" t="str">
        <f aca="false">IF($C399="","",N(E399)*IFERROR(INDEX(المنتجات!$G$5:$G$24,MATCH($C399,المنتجات!$A$5:$A$24,0)),0))</f>
        <v/>
      </c>
      <c r="G399" s="24"/>
      <c r="H399" s="27" t="str">
        <f aca="false">IF(OR($C399="",G399=""),"",G399-F399)</f>
        <v/>
      </c>
      <c r="I399" s="32"/>
      <c r="J399" s="29"/>
      <c r="K399" s="29"/>
    </row>
    <row r="400" customFormat="false" ht="15" hidden="false" customHeight="false" outlineLevel="0" collapsed="false">
      <c r="A400" s="32"/>
      <c r="B400" s="29"/>
      <c r="C400" s="29"/>
      <c r="D400" s="28" t="str">
        <f aca="false">IF($C400="","",IFERROR(INDEX(المنتجات!$C$5:$C$24,MATCH($C400,المنتجات!$A$5:$A$24,0)),"كود غير موجود"))</f>
        <v/>
      </c>
      <c r="E400" s="24"/>
      <c r="F400" s="27" t="str">
        <f aca="false">IF($C400="","",N(E400)*IFERROR(INDEX(المنتجات!$G$5:$G$24,MATCH($C400,المنتجات!$A$5:$A$24,0)),0))</f>
        <v/>
      </c>
      <c r="G400" s="24"/>
      <c r="H400" s="27" t="str">
        <f aca="false">IF(OR($C400="",G400=""),"",G400-F400)</f>
        <v/>
      </c>
      <c r="I400" s="32"/>
      <c r="J400" s="29"/>
      <c r="K400" s="29"/>
    </row>
    <row r="401" customFormat="false" ht="15" hidden="false" customHeight="false" outlineLevel="0" collapsed="false">
      <c r="A401" s="32"/>
      <c r="B401" s="29"/>
      <c r="C401" s="29"/>
      <c r="D401" s="28" t="str">
        <f aca="false">IF($C401="","",IFERROR(INDEX(المنتجات!$C$5:$C$24,MATCH($C401,المنتجات!$A$5:$A$24,0)),"كود غير موجود"))</f>
        <v/>
      </c>
      <c r="E401" s="24"/>
      <c r="F401" s="27" t="str">
        <f aca="false">IF($C401="","",N(E401)*IFERROR(INDEX(المنتجات!$G$5:$G$24,MATCH($C401,المنتجات!$A$5:$A$24,0)),0))</f>
        <v/>
      </c>
      <c r="G401" s="24"/>
      <c r="H401" s="27" t="str">
        <f aca="false">IF(OR($C401="",G401=""),"",G401-F401)</f>
        <v/>
      </c>
      <c r="I401" s="32"/>
      <c r="J401" s="29"/>
      <c r="K401" s="29"/>
    </row>
    <row r="402" customFormat="false" ht="15" hidden="false" customHeight="false" outlineLevel="0" collapsed="false">
      <c r="A402" s="32"/>
      <c r="B402" s="29"/>
      <c r="C402" s="29"/>
      <c r="D402" s="28" t="str">
        <f aca="false">IF($C402="","",IFERROR(INDEX(المنتجات!$C$5:$C$24,MATCH($C402,المنتجات!$A$5:$A$24,0)),"كود غير موجود"))</f>
        <v/>
      </c>
      <c r="E402" s="24"/>
      <c r="F402" s="27" t="str">
        <f aca="false">IF($C402="","",N(E402)*IFERROR(INDEX(المنتجات!$G$5:$G$24,MATCH($C402,المنتجات!$A$5:$A$24,0)),0))</f>
        <v/>
      </c>
      <c r="G402" s="24"/>
      <c r="H402" s="27" t="str">
        <f aca="false">IF(OR($C402="",G402=""),"",G402-F402)</f>
        <v/>
      </c>
      <c r="I402" s="32"/>
      <c r="J402" s="29"/>
      <c r="K402" s="29"/>
    </row>
    <row r="403" customFormat="false" ht="15" hidden="false" customHeight="false" outlineLevel="0" collapsed="false">
      <c r="A403" s="32"/>
      <c r="B403" s="29"/>
      <c r="C403" s="29"/>
      <c r="D403" s="28" t="str">
        <f aca="false">IF($C403="","",IFERROR(INDEX(المنتجات!$C$5:$C$24,MATCH($C403,المنتجات!$A$5:$A$24,0)),"كود غير موجود"))</f>
        <v/>
      </c>
      <c r="E403" s="24"/>
      <c r="F403" s="27" t="str">
        <f aca="false">IF($C403="","",N(E403)*IFERROR(INDEX(المنتجات!$G$5:$G$24,MATCH($C403,المنتجات!$A$5:$A$24,0)),0))</f>
        <v/>
      </c>
      <c r="G403" s="24"/>
      <c r="H403" s="27" t="str">
        <f aca="false">IF(OR($C403="",G403=""),"",G403-F403)</f>
        <v/>
      </c>
      <c r="I403" s="32"/>
      <c r="J403" s="29"/>
      <c r="K403" s="29"/>
    </row>
    <row r="404" customFormat="false" ht="15" hidden="false" customHeight="false" outlineLevel="0" collapsed="false">
      <c r="A404" s="32"/>
      <c r="B404" s="29"/>
      <c r="C404" s="29"/>
      <c r="D404" s="28" t="str">
        <f aca="false">IF($C404="","",IFERROR(INDEX(المنتجات!$C$5:$C$24,MATCH($C404,المنتجات!$A$5:$A$24,0)),"كود غير موجود"))</f>
        <v/>
      </c>
      <c r="E404" s="24"/>
      <c r="F404" s="27" t="str">
        <f aca="false">IF($C404="","",N(E404)*IFERROR(INDEX(المنتجات!$G$5:$G$24,MATCH($C404,المنتجات!$A$5:$A$24,0)),0))</f>
        <v/>
      </c>
      <c r="G404" s="24"/>
      <c r="H404" s="27" t="str">
        <f aca="false">IF(OR($C404="",G404=""),"",G404-F404)</f>
        <v/>
      </c>
      <c r="I404" s="32"/>
      <c r="J404" s="29"/>
      <c r="K404" s="29"/>
    </row>
    <row r="405" customFormat="false" ht="15" hidden="false" customHeight="false" outlineLevel="0" collapsed="false">
      <c r="A405" s="32"/>
      <c r="B405" s="29"/>
      <c r="C405" s="29"/>
      <c r="D405" s="28" t="str">
        <f aca="false">IF($C405="","",IFERROR(INDEX(المنتجات!$C$5:$C$24,MATCH($C405,المنتجات!$A$5:$A$24,0)),"كود غير موجود"))</f>
        <v/>
      </c>
      <c r="E405" s="24"/>
      <c r="F405" s="27" t="str">
        <f aca="false">IF($C405="","",N(E405)*IFERROR(INDEX(المنتجات!$G$5:$G$24,MATCH($C405,المنتجات!$A$5:$A$24,0)),0))</f>
        <v/>
      </c>
      <c r="G405" s="24"/>
      <c r="H405" s="27" t="str">
        <f aca="false">IF(OR($C405="",G405=""),"",G405-F405)</f>
        <v/>
      </c>
      <c r="I405" s="32"/>
      <c r="J405" s="29"/>
      <c r="K405" s="29"/>
    </row>
    <row r="406" customFormat="false" ht="15" hidden="false" customHeight="false" outlineLevel="0" collapsed="false">
      <c r="A406" s="32"/>
      <c r="B406" s="29"/>
      <c r="C406" s="29"/>
      <c r="D406" s="28" t="str">
        <f aca="false">IF($C406="","",IFERROR(INDEX(المنتجات!$C$5:$C$24,MATCH($C406,المنتجات!$A$5:$A$24,0)),"كود غير موجود"))</f>
        <v/>
      </c>
      <c r="E406" s="24"/>
      <c r="F406" s="27" t="str">
        <f aca="false">IF($C406="","",N(E406)*IFERROR(INDEX(المنتجات!$G$5:$G$24,MATCH($C406,المنتجات!$A$5:$A$24,0)),0))</f>
        <v/>
      </c>
      <c r="G406" s="24"/>
      <c r="H406" s="27" t="str">
        <f aca="false">IF(OR($C406="",G406=""),"",G406-F406)</f>
        <v/>
      </c>
      <c r="I406" s="32"/>
      <c r="J406" s="29"/>
      <c r="K406" s="29"/>
    </row>
    <row r="407" customFormat="false" ht="15" hidden="false" customHeight="false" outlineLevel="0" collapsed="false">
      <c r="A407" s="32"/>
      <c r="B407" s="29"/>
      <c r="C407" s="29"/>
      <c r="D407" s="28" t="str">
        <f aca="false">IF($C407="","",IFERROR(INDEX(المنتجات!$C$5:$C$24,MATCH($C407,المنتجات!$A$5:$A$24,0)),"كود غير موجود"))</f>
        <v/>
      </c>
      <c r="E407" s="24"/>
      <c r="F407" s="27" t="str">
        <f aca="false">IF($C407="","",N(E407)*IFERROR(INDEX(المنتجات!$G$5:$G$24,MATCH($C407,المنتجات!$A$5:$A$24,0)),0))</f>
        <v/>
      </c>
      <c r="G407" s="24"/>
      <c r="H407" s="27" t="str">
        <f aca="false">IF(OR($C407="",G407=""),"",G407-F407)</f>
        <v/>
      </c>
      <c r="I407" s="32"/>
      <c r="J407" s="29"/>
      <c r="K407" s="29"/>
    </row>
    <row r="408" customFormat="false" ht="15" hidden="false" customHeight="false" outlineLevel="0" collapsed="false">
      <c r="A408" s="32"/>
      <c r="B408" s="29"/>
      <c r="C408" s="29"/>
      <c r="D408" s="28" t="str">
        <f aca="false">IF($C408="","",IFERROR(INDEX(المنتجات!$C$5:$C$24,MATCH($C408,المنتجات!$A$5:$A$24,0)),"كود غير موجود"))</f>
        <v/>
      </c>
      <c r="E408" s="24"/>
      <c r="F408" s="27" t="str">
        <f aca="false">IF($C408="","",N(E408)*IFERROR(INDEX(المنتجات!$G$5:$G$24,MATCH($C408,المنتجات!$A$5:$A$24,0)),0))</f>
        <v/>
      </c>
      <c r="G408" s="24"/>
      <c r="H408" s="27" t="str">
        <f aca="false">IF(OR($C408="",G408=""),"",G408-F408)</f>
        <v/>
      </c>
      <c r="I408" s="32"/>
      <c r="J408" s="29"/>
      <c r="K408" s="29"/>
    </row>
    <row r="409" customFormat="false" ht="15" hidden="false" customHeight="false" outlineLevel="0" collapsed="false">
      <c r="A409" s="32"/>
      <c r="B409" s="29"/>
      <c r="C409" s="29"/>
      <c r="D409" s="28" t="str">
        <f aca="false">IF($C409="","",IFERROR(INDEX(المنتجات!$C$5:$C$24,MATCH($C409,المنتجات!$A$5:$A$24,0)),"كود غير موجود"))</f>
        <v/>
      </c>
      <c r="E409" s="24"/>
      <c r="F409" s="27" t="str">
        <f aca="false">IF($C409="","",N(E409)*IFERROR(INDEX(المنتجات!$G$5:$G$24,MATCH($C409,المنتجات!$A$5:$A$24,0)),0))</f>
        <v/>
      </c>
      <c r="G409" s="24"/>
      <c r="H409" s="27" t="str">
        <f aca="false">IF(OR($C409="",G409=""),"",G409-F409)</f>
        <v/>
      </c>
      <c r="I409" s="32"/>
      <c r="J409" s="29"/>
      <c r="K409" s="29"/>
    </row>
    <row r="410" customFormat="false" ht="15" hidden="false" customHeight="false" outlineLevel="0" collapsed="false">
      <c r="A410" s="32"/>
      <c r="B410" s="29"/>
      <c r="C410" s="29"/>
      <c r="D410" s="28" t="str">
        <f aca="false">IF($C410="","",IFERROR(INDEX(المنتجات!$C$5:$C$24,MATCH($C410,المنتجات!$A$5:$A$24,0)),"كود غير موجود"))</f>
        <v/>
      </c>
      <c r="E410" s="24"/>
      <c r="F410" s="27" t="str">
        <f aca="false">IF($C410="","",N(E410)*IFERROR(INDEX(المنتجات!$G$5:$G$24,MATCH($C410,المنتجات!$A$5:$A$24,0)),0))</f>
        <v/>
      </c>
      <c r="G410" s="24"/>
      <c r="H410" s="27" t="str">
        <f aca="false">IF(OR($C410="",G410=""),"",G410-F410)</f>
        <v/>
      </c>
      <c r="I410" s="32"/>
      <c r="J410" s="29"/>
      <c r="K410" s="29"/>
    </row>
    <row r="411" customFormat="false" ht="15" hidden="false" customHeight="false" outlineLevel="0" collapsed="false">
      <c r="A411" s="32"/>
      <c r="B411" s="29"/>
      <c r="C411" s="29"/>
      <c r="D411" s="28" t="str">
        <f aca="false">IF($C411="","",IFERROR(INDEX(المنتجات!$C$5:$C$24,MATCH($C411,المنتجات!$A$5:$A$24,0)),"كود غير موجود"))</f>
        <v/>
      </c>
      <c r="E411" s="24"/>
      <c r="F411" s="27" t="str">
        <f aca="false">IF($C411="","",N(E411)*IFERROR(INDEX(المنتجات!$G$5:$G$24,MATCH($C411,المنتجات!$A$5:$A$24,0)),0))</f>
        <v/>
      </c>
      <c r="G411" s="24"/>
      <c r="H411" s="27" t="str">
        <f aca="false">IF(OR($C411="",G411=""),"",G411-F411)</f>
        <v/>
      </c>
      <c r="I411" s="32"/>
      <c r="J411" s="29"/>
      <c r="K411" s="29"/>
    </row>
    <row r="412" customFormat="false" ht="15" hidden="false" customHeight="false" outlineLevel="0" collapsed="false">
      <c r="A412" s="32"/>
      <c r="B412" s="29"/>
      <c r="C412" s="29"/>
      <c r="D412" s="28" t="str">
        <f aca="false">IF($C412="","",IFERROR(INDEX(المنتجات!$C$5:$C$24,MATCH($C412,المنتجات!$A$5:$A$24,0)),"كود غير موجود"))</f>
        <v/>
      </c>
      <c r="E412" s="24"/>
      <c r="F412" s="27" t="str">
        <f aca="false">IF($C412="","",N(E412)*IFERROR(INDEX(المنتجات!$G$5:$G$24,MATCH($C412,المنتجات!$A$5:$A$24,0)),0))</f>
        <v/>
      </c>
      <c r="G412" s="24"/>
      <c r="H412" s="27" t="str">
        <f aca="false">IF(OR($C412="",G412=""),"",G412-F412)</f>
        <v/>
      </c>
      <c r="I412" s="32"/>
      <c r="J412" s="29"/>
      <c r="K412" s="29"/>
    </row>
    <row r="413" customFormat="false" ht="15" hidden="false" customHeight="false" outlineLevel="0" collapsed="false">
      <c r="A413" s="32"/>
      <c r="B413" s="29"/>
      <c r="C413" s="29"/>
      <c r="D413" s="28" t="str">
        <f aca="false">IF($C413="","",IFERROR(INDEX(المنتجات!$C$5:$C$24,MATCH($C413,المنتجات!$A$5:$A$24,0)),"كود غير موجود"))</f>
        <v/>
      </c>
      <c r="E413" s="24"/>
      <c r="F413" s="27" t="str">
        <f aca="false">IF($C413="","",N(E413)*IFERROR(INDEX(المنتجات!$G$5:$G$24,MATCH($C413,المنتجات!$A$5:$A$24,0)),0))</f>
        <v/>
      </c>
      <c r="G413" s="24"/>
      <c r="H413" s="27" t="str">
        <f aca="false">IF(OR($C413="",G413=""),"",G413-F413)</f>
        <v/>
      </c>
      <c r="I413" s="32"/>
      <c r="J413" s="29"/>
      <c r="K413" s="29"/>
    </row>
    <row r="414" customFormat="false" ht="15" hidden="false" customHeight="false" outlineLevel="0" collapsed="false">
      <c r="A414" s="32"/>
      <c r="B414" s="29"/>
      <c r="C414" s="29"/>
      <c r="D414" s="28" t="str">
        <f aca="false">IF($C414="","",IFERROR(INDEX(المنتجات!$C$5:$C$24,MATCH($C414,المنتجات!$A$5:$A$24,0)),"كود غير موجود"))</f>
        <v/>
      </c>
      <c r="E414" s="24"/>
      <c r="F414" s="27" t="str">
        <f aca="false">IF($C414="","",N(E414)*IFERROR(INDEX(المنتجات!$G$5:$G$24,MATCH($C414,المنتجات!$A$5:$A$24,0)),0))</f>
        <v/>
      </c>
      <c r="G414" s="24"/>
      <c r="H414" s="27" t="str">
        <f aca="false">IF(OR($C414="",G414=""),"",G414-F414)</f>
        <v/>
      </c>
      <c r="I414" s="32"/>
      <c r="J414" s="29"/>
      <c r="K414" s="29"/>
    </row>
    <row r="415" customFormat="false" ht="15" hidden="false" customHeight="false" outlineLevel="0" collapsed="false">
      <c r="A415" s="32"/>
      <c r="B415" s="29"/>
      <c r="C415" s="29"/>
      <c r="D415" s="28" t="str">
        <f aca="false">IF($C415="","",IFERROR(INDEX(المنتجات!$C$5:$C$24,MATCH($C415,المنتجات!$A$5:$A$24,0)),"كود غير موجود"))</f>
        <v/>
      </c>
      <c r="E415" s="24"/>
      <c r="F415" s="27" t="str">
        <f aca="false">IF($C415="","",N(E415)*IFERROR(INDEX(المنتجات!$G$5:$G$24,MATCH($C415,المنتجات!$A$5:$A$24,0)),0))</f>
        <v/>
      </c>
      <c r="G415" s="24"/>
      <c r="H415" s="27" t="str">
        <f aca="false">IF(OR($C415="",G415=""),"",G415-F415)</f>
        <v/>
      </c>
      <c r="I415" s="32"/>
      <c r="J415" s="29"/>
      <c r="K415" s="29"/>
    </row>
    <row r="416" customFormat="false" ht="15" hidden="false" customHeight="false" outlineLevel="0" collapsed="false">
      <c r="A416" s="32"/>
      <c r="B416" s="29"/>
      <c r="C416" s="29"/>
      <c r="D416" s="28" t="str">
        <f aca="false">IF($C416="","",IFERROR(INDEX(المنتجات!$C$5:$C$24,MATCH($C416,المنتجات!$A$5:$A$24,0)),"كود غير موجود"))</f>
        <v/>
      </c>
      <c r="E416" s="24"/>
      <c r="F416" s="27" t="str">
        <f aca="false">IF($C416="","",N(E416)*IFERROR(INDEX(المنتجات!$G$5:$G$24,MATCH($C416,المنتجات!$A$5:$A$24,0)),0))</f>
        <v/>
      </c>
      <c r="G416" s="24"/>
      <c r="H416" s="27" t="str">
        <f aca="false">IF(OR($C416="",G416=""),"",G416-F416)</f>
        <v/>
      </c>
      <c r="I416" s="32"/>
      <c r="J416" s="29"/>
      <c r="K416" s="29"/>
    </row>
    <row r="417" customFormat="false" ht="15" hidden="false" customHeight="false" outlineLevel="0" collapsed="false">
      <c r="A417" s="32"/>
      <c r="B417" s="29"/>
      <c r="C417" s="29"/>
      <c r="D417" s="28" t="str">
        <f aca="false">IF($C417="","",IFERROR(INDEX(المنتجات!$C$5:$C$24,MATCH($C417,المنتجات!$A$5:$A$24,0)),"كود غير موجود"))</f>
        <v/>
      </c>
      <c r="E417" s="24"/>
      <c r="F417" s="27" t="str">
        <f aca="false">IF($C417="","",N(E417)*IFERROR(INDEX(المنتجات!$G$5:$G$24,MATCH($C417,المنتجات!$A$5:$A$24,0)),0))</f>
        <v/>
      </c>
      <c r="G417" s="24"/>
      <c r="H417" s="27" t="str">
        <f aca="false">IF(OR($C417="",G417=""),"",G417-F417)</f>
        <v/>
      </c>
      <c r="I417" s="32"/>
      <c r="J417" s="29"/>
      <c r="K417" s="29"/>
    </row>
    <row r="418" customFormat="false" ht="15" hidden="false" customHeight="false" outlineLevel="0" collapsed="false">
      <c r="A418" s="32"/>
      <c r="B418" s="29"/>
      <c r="C418" s="29"/>
      <c r="D418" s="28" t="str">
        <f aca="false">IF($C418="","",IFERROR(INDEX(المنتجات!$C$5:$C$24,MATCH($C418,المنتجات!$A$5:$A$24,0)),"كود غير موجود"))</f>
        <v/>
      </c>
      <c r="E418" s="24"/>
      <c r="F418" s="27" t="str">
        <f aca="false">IF($C418="","",N(E418)*IFERROR(INDEX(المنتجات!$G$5:$G$24,MATCH($C418,المنتجات!$A$5:$A$24,0)),0))</f>
        <v/>
      </c>
      <c r="G418" s="24"/>
      <c r="H418" s="27" t="str">
        <f aca="false">IF(OR($C418="",G418=""),"",G418-F418)</f>
        <v/>
      </c>
      <c r="I418" s="32"/>
      <c r="J418" s="29"/>
      <c r="K418" s="29"/>
    </row>
    <row r="419" customFormat="false" ht="15" hidden="false" customHeight="false" outlineLevel="0" collapsed="false">
      <c r="A419" s="32"/>
      <c r="B419" s="29"/>
      <c r="C419" s="29"/>
      <c r="D419" s="28" t="str">
        <f aca="false">IF($C419="","",IFERROR(INDEX(المنتجات!$C$5:$C$24,MATCH($C419,المنتجات!$A$5:$A$24,0)),"كود غير موجود"))</f>
        <v/>
      </c>
      <c r="E419" s="24"/>
      <c r="F419" s="27" t="str">
        <f aca="false">IF($C419="","",N(E419)*IFERROR(INDEX(المنتجات!$G$5:$G$24,MATCH($C419,المنتجات!$A$5:$A$24,0)),0))</f>
        <v/>
      </c>
      <c r="G419" s="24"/>
      <c r="H419" s="27" t="str">
        <f aca="false">IF(OR($C419="",G419=""),"",G419-F419)</f>
        <v/>
      </c>
      <c r="I419" s="32"/>
      <c r="J419" s="29"/>
      <c r="K419" s="29"/>
    </row>
    <row r="420" customFormat="false" ht="15" hidden="false" customHeight="false" outlineLevel="0" collapsed="false">
      <c r="A420" s="32"/>
      <c r="B420" s="29"/>
      <c r="C420" s="29"/>
      <c r="D420" s="28" t="str">
        <f aca="false">IF($C420="","",IFERROR(INDEX(المنتجات!$C$5:$C$24,MATCH($C420,المنتجات!$A$5:$A$24,0)),"كود غير موجود"))</f>
        <v/>
      </c>
      <c r="E420" s="24"/>
      <c r="F420" s="27" t="str">
        <f aca="false">IF($C420="","",N(E420)*IFERROR(INDEX(المنتجات!$G$5:$G$24,MATCH($C420,المنتجات!$A$5:$A$24,0)),0))</f>
        <v/>
      </c>
      <c r="G420" s="24"/>
      <c r="H420" s="27" t="str">
        <f aca="false">IF(OR($C420="",G420=""),"",G420-F420)</f>
        <v/>
      </c>
      <c r="I420" s="32"/>
      <c r="J420" s="29"/>
      <c r="K420" s="29"/>
    </row>
    <row r="421" customFormat="false" ht="15" hidden="false" customHeight="false" outlineLevel="0" collapsed="false">
      <c r="A421" s="32"/>
      <c r="B421" s="29"/>
      <c r="C421" s="29"/>
      <c r="D421" s="28" t="str">
        <f aca="false">IF($C421="","",IFERROR(INDEX(المنتجات!$C$5:$C$24,MATCH($C421,المنتجات!$A$5:$A$24,0)),"كود غير موجود"))</f>
        <v/>
      </c>
      <c r="E421" s="24"/>
      <c r="F421" s="27" t="str">
        <f aca="false">IF($C421="","",N(E421)*IFERROR(INDEX(المنتجات!$G$5:$G$24,MATCH($C421,المنتجات!$A$5:$A$24,0)),0))</f>
        <v/>
      </c>
      <c r="G421" s="24"/>
      <c r="H421" s="27" t="str">
        <f aca="false">IF(OR($C421="",G421=""),"",G421-F421)</f>
        <v/>
      </c>
      <c r="I421" s="32"/>
      <c r="J421" s="29"/>
      <c r="K421" s="29"/>
    </row>
    <row r="422" customFormat="false" ht="15" hidden="false" customHeight="false" outlineLevel="0" collapsed="false">
      <c r="A422" s="32"/>
      <c r="B422" s="29"/>
      <c r="C422" s="29"/>
      <c r="D422" s="28" t="str">
        <f aca="false">IF($C422="","",IFERROR(INDEX(المنتجات!$C$5:$C$24,MATCH($C422,المنتجات!$A$5:$A$24,0)),"كود غير موجود"))</f>
        <v/>
      </c>
      <c r="E422" s="24"/>
      <c r="F422" s="27" t="str">
        <f aca="false">IF($C422="","",N(E422)*IFERROR(INDEX(المنتجات!$G$5:$G$24,MATCH($C422,المنتجات!$A$5:$A$24,0)),0))</f>
        <v/>
      </c>
      <c r="G422" s="24"/>
      <c r="H422" s="27" t="str">
        <f aca="false">IF(OR($C422="",G422=""),"",G422-F422)</f>
        <v/>
      </c>
      <c r="I422" s="32"/>
      <c r="J422" s="29"/>
      <c r="K422" s="29"/>
    </row>
    <row r="423" customFormat="false" ht="15" hidden="false" customHeight="false" outlineLevel="0" collapsed="false">
      <c r="A423" s="32"/>
      <c r="B423" s="29"/>
      <c r="C423" s="29"/>
      <c r="D423" s="28" t="str">
        <f aca="false">IF($C423="","",IFERROR(INDEX(المنتجات!$C$5:$C$24,MATCH($C423,المنتجات!$A$5:$A$24,0)),"كود غير موجود"))</f>
        <v/>
      </c>
      <c r="E423" s="24"/>
      <c r="F423" s="27" t="str">
        <f aca="false">IF($C423="","",N(E423)*IFERROR(INDEX(المنتجات!$G$5:$G$24,MATCH($C423,المنتجات!$A$5:$A$24,0)),0))</f>
        <v/>
      </c>
      <c r="G423" s="24"/>
      <c r="H423" s="27" t="str">
        <f aca="false">IF(OR($C423="",G423=""),"",G423-F423)</f>
        <v/>
      </c>
      <c r="I423" s="32"/>
      <c r="J423" s="29"/>
      <c r="K423" s="29"/>
    </row>
    <row r="424" customFormat="false" ht="15" hidden="false" customHeight="false" outlineLevel="0" collapsed="false">
      <c r="A424" s="32"/>
      <c r="B424" s="29"/>
      <c r="C424" s="29"/>
      <c r="D424" s="28" t="str">
        <f aca="false">IF($C424="","",IFERROR(INDEX(المنتجات!$C$5:$C$24,MATCH($C424,المنتجات!$A$5:$A$24,0)),"كود غير موجود"))</f>
        <v/>
      </c>
      <c r="E424" s="24"/>
      <c r="F424" s="27" t="str">
        <f aca="false">IF($C424="","",N(E424)*IFERROR(INDEX(المنتجات!$G$5:$G$24,MATCH($C424,المنتجات!$A$5:$A$24,0)),0))</f>
        <v/>
      </c>
      <c r="G424" s="24"/>
      <c r="H424" s="27" t="str">
        <f aca="false">IF(OR($C424="",G424=""),"",G424-F424)</f>
        <v/>
      </c>
      <c r="I424" s="32"/>
      <c r="J424" s="29"/>
      <c r="K424" s="29"/>
    </row>
    <row r="425" customFormat="false" ht="15" hidden="false" customHeight="false" outlineLevel="0" collapsed="false">
      <c r="A425" s="32"/>
      <c r="B425" s="29"/>
      <c r="C425" s="29"/>
      <c r="D425" s="28" t="str">
        <f aca="false">IF($C425="","",IFERROR(INDEX(المنتجات!$C$5:$C$24,MATCH($C425,المنتجات!$A$5:$A$24,0)),"كود غير موجود"))</f>
        <v/>
      </c>
      <c r="E425" s="24"/>
      <c r="F425" s="27" t="str">
        <f aca="false">IF($C425="","",N(E425)*IFERROR(INDEX(المنتجات!$G$5:$G$24,MATCH($C425,المنتجات!$A$5:$A$24,0)),0))</f>
        <v/>
      </c>
      <c r="G425" s="24"/>
      <c r="H425" s="27" t="str">
        <f aca="false">IF(OR($C425="",G425=""),"",G425-F425)</f>
        <v/>
      </c>
      <c r="I425" s="32"/>
      <c r="J425" s="29"/>
      <c r="K425" s="29"/>
    </row>
    <row r="426" customFormat="false" ht="15" hidden="false" customHeight="false" outlineLevel="0" collapsed="false">
      <c r="A426" s="32"/>
      <c r="B426" s="29"/>
      <c r="C426" s="29"/>
      <c r="D426" s="28" t="str">
        <f aca="false">IF($C426="","",IFERROR(INDEX(المنتجات!$C$5:$C$24,MATCH($C426,المنتجات!$A$5:$A$24,0)),"كود غير موجود"))</f>
        <v/>
      </c>
      <c r="E426" s="24"/>
      <c r="F426" s="27" t="str">
        <f aca="false">IF($C426="","",N(E426)*IFERROR(INDEX(المنتجات!$G$5:$G$24,MATCH($C426,المنتجات!$A$5:$A$24,0)),0))</f>
        <v/>
      </c>
      <c r="G426" s="24"/>
      <c r="H426" s="27" t="str">
        <f aca="false">IF(OR($C426="",G426=""),"",G426-F426)</f>
        <v/>
      </c>
      <c r="I426" s="32"/>
      <c r="J426" s="29"/>
      <c r="K426" s="29"/>
    </row>
    <row r="427" customFormat="false" ht="15" hidden="false" customHeight="false" outlineLevel="0" collapsed="false">
      <c r="A427" s="32"/>
      <c r="B427" s="29"/>
      <c r="C427" s="29"/>
      <c r="D427" s="28" t="str">
        <f aca="false">IF($C427="","",IFERROR(INDEX(المنتجات!$C$5:$C$24,MATCH($C427,المنتجات!$A$5:$A$24,0)),"كود غير موجود"))</f>
        <v/>
      </c>
      <c r="E427" s="24"/>
      <c r="F427" s="27" t="str">
        <f aca="false">IF($C427="","",N(E427)*IFERROR(INDEX(المنتجات!$G$5:$G$24,MATCH($C427,المنتجات!$A$5:$A$24,0)),0))</f>
        <v/>
      </c>
      <c r="G427" s="24"/>
      <c r="H427" s="27" t="str">
        <f aca="false">IF(OR($C427="",G427=""),"",G427-F427)</f>
        <v/>
      </c>
      <c r="I427" s="32"/>
      <c r="J427" s="29"/>
      <c r="K427" s="29"/>
    </row>
    <row r="428" customFormat="false" ht="15" hidden="false" customHeight="false" outlineLevel="0" collapsed="false">
      <c r="A428" s="32"/>
      <c r="B428" s="29"/>
      <c r="C428" s="29"/>
      <c r="D428" s="28" t="str">
        <f aca="false">IF($C428="","",IFERROR(INDEX(المنتجات!$C$5:$C$24,MATCH($C428,المنتجات!$A$5:$A$24,0)),"كود غير موجود"))</f>
        <v/>
      </c>
      <c r="E428" s="24"/>
      <c r="F428" s="27" t="str">
        <f aca="false">IF($C428="","",N(E428)*IFERROR(INDEX(المنتجات!$G$5:$G$24,MATCH($C428,المنتجات!$A$5:$A$24,0)),0))</f>
        <v/>
      </c>
      <c r="G428" s="24"/>
      <c r="H428" s="27" t="str">
        <f aca="false">IF(OR($C428="",G428=""),"",G428-F428)</f>
        <v/>
      </c>
      <c r="I428" s="32"/>
      <c r="J428" s="29"/>
      <c r="K428" s="29"/>
    </row>
    <row r="429" customFormat="false" ht="15" hidden="false" customHeight="false" outlineLevel="0" collapsed="false">
      <c r="A429" s="32"/>
      <c r="B429" s="29"/>
      <c r="C429" s="29"/>
      <c r="D429" s="28" t="str">
        <f aca="false">IF($C429="","",IFERROR(INDEX(المنتجات!$C$5:$C$24,MATCH($C429,المنتجات!$A$5:$A$24,0)),"كود غير موجود"))</f>
        <v/>
      </c>
      <c r="E429" s="24"/>
      <c r="F429" s="27" t="str">
        <f aca="false">IF($C429="","",N(E429)*IFERROR(INDEX(المنتجات!$G$5:$G$24,MATCH($C429,المنتجات!$A$5:$A$24,0)),0))</f>
        <v/>
      </c>
      <c r="G429" s="24"/>
      <c r="H429" s="27" t="str">
        <f aca="false">IF(OR($C429="",G429=""),"",G429-F429)</f>
        <v/>
      </c>
      <c r="I429" s="32"/>
      <c r="J429" s="29"/>
      <c r="K429" s="29"/>
    </row>
    <row r="430" customFormat="false" ht="15" hidden="false" customHeight="false" outlineLevel="0" collapsed="false">
      <c r="A430" s="32"/>
      <c r="B430" s="29"/>
      <c r="C430" s="29"/>
      <c r="D430" s="28" t="str">
        <f aca="false">IF($C430="","",IFERROR(INDEX(المنتجات!$C$5:$C$24,MATCH($C430,المنتجات!$A$5:$A$24,0)),"كود غير موجود"))</f>
        <v/>
      </c>
      <c r="E430" s="24"/>
      <c r="F430" s="27" t="str">
        <f aca="false">IF($C430="","",N(E430)*IFERROR(INDEX(المنتجات!$G$5:$G$24,MATCH($C430,المنتجات!$A$5:$A$24,0)),0))</f>
        <v/>
      </c>
      <c r="G430" s="24"/>
      <c r="H430" s="27" t="str">
        <f aca="false">IF(OR($C430="",G430=""),"",G430-F430)</f>
        <v/>
      </c>
      <c r="I430" s="32"/>
      <c r="J430" s="29"/>
      <c r="K430" s="29"/>
    </row>
    <row r="431" customFormat="false" ht="15" hidden="false" customHeight="false" outlineLevel="0" collapsed="false">
      <c r="A431" s="32"/>
      <c r="B431" s="29"/>
      <c r="C431" s="29"/>
      <c r="D431" s="28" t="str">
        <f aca="false">IF($C431="","",IFERROR(INDEX(المنتجات!$C$5:$C$24,MATCH($C431,المنتجات!$A$5:$A$24,0)),"كود غير موجود"))</f>
        <v/>
      </c>
      <c r="E431" s="24"/>
      <c r="F431" s="27" t="str">
        <f aca="false">IF($C431="","",N(E431)*IFERROR(INDEX(المنتجات!$G$5:$G$24,MATCH($C431,المنتجات!$A$5:$A$24,0)),0))</f>
        <v/>
      </c>
      <c r="G431" s="24"/>
      <c r="H431" s="27" t="str">
        <f aca="false">IF(OR($C431="",G431=""),"",G431-F431)</f>
        <v/>
      </c>
      <c r="I431" s="32"/>
      <c r="J431" s="29"/>
      <c r="K431" s="29"/>
    </row>
    <row r="432" customFormat="false" ht="15" hidden="false" customHeight="false" outlineLevel="0" collapsed="false">
      <c r="A432" s="32"/>
      <c r="B432" s="29"/>
      <c r="C432" s="29"/>
      <c r="D432" s="28" t="str">
        <f aca="false">IF($C432="","",IFERROR(INDEX(المنتجات!$C$5:$C$24,MATCH($C432,المنتجات!$A$5:$A$24,0)),"كود غير موجود"))</f>
        <v/>
      </c>
      <c r="E432" s="24"/>
      <c r="F432" s="27" t="str">
        <f aca="false">IF($C432="","",N(E432)*IFERROR(INDEX(المنتجات!$G$5:$G$24,MATCH($C432,المنتجات!$A$5:$A$24,0)),0))</f>
        <v/>
      </c>
      <c r="G432" s="24"/>
      <c r="H432" s="27" t="str">
        <f aca="false">IF(OR($C432="",G432=""),"",G432-F432)</f>
        <v/>
      </c>
      <c r="I432" s="32"/>
      <c r="J432" s="29"/>
      <c r="K432" s="29"/>
    </row>
    <row r="433" customFormat="false" ht="15" hidden="false" customHeight="false" outlineLevel="0" collapsed="false">
      <c r="A433" s="32"/>
      <c r="B433" s="29"/>
      <c r="C433" s="29"/>
      <c r="D433" s="28" t="str">
        <f aca="false">IF($C433="","",IFERROR(INDEX(المنتجات!$C$5:$C$24,MATCH($C433,المنتجات!$A$5:$A$24,0)),"كود غير موجود"))</f>
        <v/>
      </c>
      <c r="E433" s="24"/>
      <c r="F433" s="27" t="str">
        <f aca="false">IF($C433="","",N(E433)*IFERROR(INDEX(المنتجات!$G$5:$G$24,MATCH($C433,المنتجات!$A$5:$A$24,0)),0))</f>
        <v/>
      </c>
      <c r="G433" s="24"/>
      <c r="H433" s="27" t="str">
        <f aca="false">IF(OR($C433="",G433=""),"",G433-F433)</f>
        <v/>
      </c>
      <c r="I433" s="32"/>
      <c r="J433" s="29"/>
      <c r="K433" s="29"/>
    </row>
    <row r="434" customFormat="false" ht="15" hidden="false" customHeight="false" outlineLevel="0" collapsed="false">
      <c r="A434" s="32"/>
      <c r="B434" s="29"/>
      <c r="C434" s="29"/>
      <c r="D434" s="28" t="str">
        <f aca="false">IF($C434="","",IFERROR(INDEX(المنتجات!$C$5:$C$24,MATCH($C434,المنتجات!$A$5:$A$24,0)),"كود غير موجود"))</f>
        <v/>
      </c>
      <c r="E434" s="24"/>
      <c r="F434" s="27" t="str">
        <f aca="false">IF($C434="","",N(E434)*IFERROR(INDEX(المنتجات!$G$5:$G$24,MATCH($C434,المنتجات!$A$5:$A$24,0)),0))</f>
        <v/>
      </c>
      <c r="G434" s="24"/>
      <c r="H434" s="27" t="str">
        <f aca="false">IF(OR($C434="",G434=""),"",G434-F434)</f>
        <v/>
      </c>
      <c r="I434" s="32"/>
      <c r="J434" s="29"/>
      <c r="K434" s="29"/>
    </row>
    <row r="435" customFormat="false" ht="15" hidden="false" customHeight="false" outlineLevel="0" collapsed="false">
      <c r="A435" s="32"/>
      <c r="B435" s="29"/>
      <c r="C435" s="29"/>
      <c r="D435" s="28" t="str">
        <f aca="false">IF($C435="","",IFERROR(INDEX(المنتجات!$C$5:$C$24,MATCH($C435,المنتجات!$A$5:$A$24,0)),"كود غير موجود"))</f>
        <v/>
      </c>
      <c r="E435" s="24"/>
      <c r="F435" s="27" t="str">
        <f aca="false">IF($C435="","",N(E435)*IFERROR(INDEX(المنتجات!$G$5:$G$24,MATCH($C435,المنتجات!$A$5:$A$24,0)),0))</f>
        <v/>
      </c>
      <c r="G435" s="24"/>
      <c r="H435" s="27" t="str">
        <f aca="false">IF(OR($C435="",G435=""),"",G435-F435)</f>
        <v/>
      </c>
      <c r="I435" s="32"/>
      <c r="J435" s="29"/>
      <c r="K435" s="29"/>
    </row>
    <row r="436" customFormat="false" ht="15" hidden="false" customHeight="false" outlineLevel="0" collapsed="false">
      <c r="A436" s="32"/>
      <c r="B436" s="29"/>
      <c r="C436" s="29"/>
      <c r="D436" s="28" t="str">
        <f aca="false">IF($C436="","",IFERROR(INDEX(المنتجات!$C$5:$C$24,MATCH($C436,المنتجات!$A$5:$A$24,0)),"كود غير موجود"))</f>
        <v/>
      </c>
      <c r="E436" s="24"/>
      <c r="F436" s="27" t="str">
        <f aca="false">IF($C436="","",N(E436)*IFERROR(INDEX(المنتجات!$G$5:$G$24,MATCH($C436,المنتجات!$A$5:$A$24,0)),0))</f>
        <v/>
      </c>
      <c r="G436" s="24"/>
      <c r="H436" s="27" t="str">
        <f aca="false">IF(OR($C436="",G436=""),"",G436-F436)</f>
        <v/>
      </c>
      <c r="I436" s="32"/>
      <c r="J436" s="29"/>
      <c r="K436" s="29"/>
    </row>
    <row r="437" customFormat="false" ht="15" hidden="false" customHeight="false" outlineLevel="0" collapsed="false">
      <c r="A437" s="32"/>
      <c r="B437" s="29"/>
      <c r="C437" s="29"/>
      <c r="D437" s="28" t="str">
        <f aca="false">IF($C437="","",IFERROR(INDEX(المنتجات!$C$5:$C$24,MATCH($C437,المنتجات!$A$5:$A$24,0)),"كود غير موجود"))</f>
        <v/>
      </c>
      <c r="E437" s="24"/>
      <c r="F437" s="27" t="str">
        <f aca="false">IF($C437="","",N(E437)*IFERROR(INDEX(المنتجات!$G$5:$G$24,MATCH($C437,المنتجات!$A$5:$A$24,0)),0))</f>
        <v/>
      </c>
      <c r="G437" s="24"/>
      <c r="H437" s="27" t="str">
        <f aca="false">IF(OR($C437="",G437=""),"",G437-F437)</f>
        <v/>
      </c>
      <c r="I437" s="32"/>
      <c r="J437" s="29"/>
      <c r="K437" s="29"/>
    </row>
    <row r="438" customFormat="false" ht="15" hidden="false" customHeight="false" outlineLevel="0" collapsed="false">
      <c r="A438" s="32"/>
      <c r="B438" s="29"/>
      <c r="C438" s="29"/>
      <c r="D438" s="28" t="str">
        <f aca="false">IF($C438="","",IFERROR(INDEX(المنتجات!$C$5:$C$24,MATCH($C438,المنتجات!$A$5:$A$24,0)),"كود غير موجود"))</f>
        <v/>
      </c>
      <c r="E438" s="24"/>
      <c r="F438" s="27" t="str">
        <f aca="false">IF($C438="","",N(E438)*IFERROR(INDEX(المنتجات!$G$5:$G$24,MATCH($C438,المنتجات!$A$5:$A$24,0)),0))</f>
        <v/>
      </c>
      <c r="G438" s="24"/>
      <c r="H438" s="27" t="str">
        <f aca="false">IF(OR($C438="",G438=""),"",G438-F438)</f>
        <v/>
      </c>
      <c r="I438" s="32"/>
      <c r="J438" s="29"/>
      <c r="K438" s="29"/>
    </row>
    <row r="439" customFormat="false" ht="15" hidden="false" customHeight="false" outlineLevel="0" collapsed="false">
      <c r="A439" s="32"/>
      <c r="B439" s="29"/>
      <c r="C439" s="29"/>
      <c r="D439" s="28" t="str">
        <f aca="false">IF($C439="","",IFERROR(INDEX(المنتجات!$C$5:$C$24,MATCH($C439,المنتجات!$A$5:$A$24,0)),"كود غير موجود"))</f>
        <v/>
      </c>
      <c r="E439" s="24"/>
      <c r="F439" s="27" t="str">
        <f aca="false">IF($C439="","",N(E439)*IFERROR(INDEX(المنتجات!$G$5:$G$24,MATCH($C439,المنتجات!$A$5:$A$24,0)),0))</f>
        <v/>
      </c>
      <c r="G439" s="24"/>
      <c r="H439" s="27" t="str">
        <f aca="false">IF(OR($C439="",G439=""),"",G439-F439)</f>
        <v/>
      </c>
      <c r="I439" s="32"/>
      <c r="J439" s="29"/>
      <c r="K439" s="29"/>
    </row>
    <row r="440" customFormat="false" ht="15" hidden="false" customHeight="false" outlineLevel="0" collapsed="false">
      <c r="A440" s="32"/>
      <c r="B440" s="29"/>
      <c r="C440" s="29"/>
      <c r="D440" s="28" t="str">
        <f aca="false">IF($C440="","",IFERROR(INDEX(المنتجات!$C$5:$C$24,MATCH($C440,المنتجات!$A$5:$A$24,0)),"كود غير موجود"))</f>
        <v/>
      </c>
      <c r="E440" s="24"/>
      <c r="F440" s="27" t="str">
        <f aca="false">IF($C440="","",N(E440)*IFERROR(INDEX(المنتجات!$G$5:$G$24,MATCH($C440,المنتجات!$A$5:$A$24,0)),0))</f>
        <v/>
      </c>
      <c r="G440" s="24"/>
      <c r="H440" s="27" t="str">
        <f aca="false">IF(OR($C440="",G440=""),"",G440-F440)</f>
        <v/>
      </c>
      <c r="I440" s="32"/>
      <c r="J440" s="29"/>
      <c r="K440" s="29"/>
    </row>
    <row r="441" customFormat="false" ht="15" hidden="false" customHeight="false" outlineLevel="0" collapsed="false">
      <c r="A441" s="32"/>
      <c r="B441" s="29"/>
      <c r="C441" s="29"/>
      <c r="D441" s="28" t="str">
        <f aca="false">IF($C441="","",IFERROR(INDEX(المنتجات!$C$5:$C$24,MATCH($C441,المنتجات!$A$5:$A$24,0)),"كود غير موجود"))</f>
        <v/>
      </c>
      <c r="E441" s="24"/>
      <c r="F441" s="27" t="str">
        <f aca="false">IF($C441="","",N(E441)*IFERROR(INDEX(المنتجات!$G$5:$G$24,MATCH($C441,المنتجات!$A$5:$A$24,0)),0))</f>
        <v/>
      </c>
      <c r="G441" s="24"/>
      <c r="H441" s="27" t="str">
        <f aca="false">IF(OR($C441="",G441=""),"",G441-F441)</f>
        <v/>
      </c>
      <c r="I441" s="32"/>
      <c r="J441" s="29"/>
      <c r="K441" s="29"/>
    </row>
    <row r="442" customFormat="false" ht="15" hidden="false" customHeight="false" outlineLevel="0" collapsed="false">
      <c r="A442" s="32"/>
      <c r="B442" s="29"/>
      <c r="C442" s="29"/>
      <c r="D442" s="28" t="str">
        <f aca="false">IF($C442="","",IFERROR(INDEX(المنتجات!$C$5:$C$24,MATCH($C442,المنتجات!$A$5:$A$24,0)),"كود غير موجود"))</f>
        <v/>
      </c>
      <c r="E442" s="24"/>
      <c r="F442" s="27" t="str">
        <f aca="false">IF($C442="","",N(E442)*IFERROR(INDEX(المنتجات!$G$5:$G$24,MATCH($C442,المنتجات!$A$5:$A$24,0)),0))</f>
        <v/>
      </c>
      <c r="G442" s="24"/>
      <c r="H442" s="27" t="str">
        <f aca="false">IF(OR($C442="",G442=""),"",G442-F442)</f>
        <v/>
      </c>
      <c r="I442" s="32"/>
      <c r="J442" s="29"/>
      <c r="K442" s="29"/>
    </row>
    <row r="443" customFormat="false" ht="15" hidden="false" customHeight="false" outlineLevel="0" collapsed="false">
      <c r="A443" s="32"/>
      <c r="B443" s="29"/>
      <c r="C443" s="29"/>
      <c r="D443" s="28" t="str">
        <f aca="false">IF($C443="","",IFERROR(INDEX(المنتجات!$C$5:$C$24,MATCH($C443,المنتجات!$A$5:$A$24,0)),"كود غير موجود"))</f>
        <v/>
      </c>
      <c r="E443" s="24"/>
      <c r="F443" s="27" t="str">
        <f aca="false">IF($C443="","",N(E443)*IFERROR(INDEX(المنتجات!$G$5:$G$24,MATCH($C443,المنتجات!$A$5:$A$24,0)),0))</f>
        <v/>
      </c>
      <c r="G443" s="24"/>
      <c r="H443" s="27" t="str">
        <f aca="false">IF(OR($C443="",G443=""),"",G443-F443)</f>
        <v/>
      </c>
      <c r="I443" s="32"/>
      <c r="J443" s="29"/>
      <c r="K443" s="29"/>
    </row>
    <row r="444" customFormat="false" ht="15" hidden="false" customHeight="false" outlineLevel="0" collapsed="false">
      <c r="A444" s="32"/>
      <c r="B444" s="29"/>
      <c r="C444" s="29"/>
      <c r="D444" s="28" t="str">
        <f aca="false">IF($C444="","",IFERROR(INDEX(المنتجات!$C$5:$C$24,MATCH($C444,المنتجات!$A$5:$A$24,0)),"كود غير موجود"))</f>
        <v/>
      </c>
      <c r="E444" s="24"/>
      <c r="F444" s="27" t="str">
        <f aca="false">IF($C444="","",N(E444)*IFERROR(INDEX(المنتجات!$G$5:$G$24,MATCH($C444,المنتجات!$A$5:$A$24,0)),0))</f>
        <v/>
      </c>
      <c r="G444" s="24"/>
      <c r="H444" s="27" t="str">
        <f aca="false">IF(OR($C444="",G444=""),"",G444-F444)</f>
        <v/>
      </c>
      <c r="I444" s="32"/>
      <c r="J444" s="29"/>
      <c r="K444" s="29"/>
    </row>
    <row r="445" customFormat="false" ht="15" hidden="false" customHeight="false" outlineLevel="0" collapsed="false">
      <c r="A445" s="32"/>
      <c r="B445" s="29"/>
      <c r="C445" s="29"/>
      <c r="D445" s="28" t="str">
        <f aca="false">IF($C445="","",IFERROR(INDEX(المنتجات!$C$5:$C$24,MATCH($C445,المنتجات!$A$5:$A$24,0)),"كود غير موجود"))</f>
        <v/>
      </c>
      <c r="E445" s="24"/>
      <c r="F445" s="27" t="str">
        <f aca="false">IF($C445="","",N(E445)*IFERROR(INDEX(المنتجات!$G$5:$G$24,MATCH($C445,المنتجات!$A$5:$A$24,0)),0))</f>
        <v/>
      </c>
      <c r="G445" s="24"/>
      <c r="H445" s="27" t="str">
        <f aca="false">IF(OR($C445="",G445=""),"",G445-F445)</f>
        <v/>
      </c>
      <c r="I445" s="32"/>
      <c r="J445" s="29"/>
      <c r="K445" s="29"/>
    </row>
    <row r="446" customFormat="false" ht="15" hidden="false" customHeight="false" outlineLevel="0" collapsed="false">
      <c r="A446" s="32"/>
      <c r="B446" s="29"/>
      <c r="C446" s="29"/>
      <c r="D446" s="28" t="str">
        <f aca="false">IF($C446="","",IFERROR(INDEX(المنتجات!$C$5:$C$24,MATCH($C446,المنتجات!$A$5:$A$24,0)),"كود غير موجود"))</f>
        <v/>
      </c>
      <c r="E446" s="24"/>
      <c r="F446" s="27" t="str">
        <f aca="false">IF($C446="","",N(E446)*IFERROR(INDEX(المنتجات!$G$5:$G$24,MATCH($C446,المنتجات!$A$5:$A$24,0)),0))</f>
        <v/>
      </c>
      <c r="G446" s="24"/>
      <c r="H446" s="27" t="str">
        <f aca="false">IF(OR($C446="",G446=""),"",G446-F446)</f>
        <v/>
      </c>
      <c r="I446" s="32"/>
      <c r="J446" s="29"/>
      <c r="K446" s="29"/>
    </row>
    <row r="447" customFormat="false" ht="15" hidden="false" customHeight="false" outlineLevel="0" collapsed="false">
      <c r="A447" s="32"/>
      <c r="B447" s="29"/>
      <c r="C447" s="29"/>
      <c r="D447" s="28" t="str">
        <f aca="false">IF($C447="","",IFERROR(INDEX(المنتجات!$C$5:$C$24,MATCH($C447,المنتجات!$A$5:$A$24,0)),"كود غير موجود"))</f>
        <v/>
      </c>
      <c r="E447" s="24"/>
      <c r="F447" s="27" t="str">
        <f aca="false">IF($C447="","",N(E447)*IFERROR(INDEX(المنتجات!$G$5:$G$24,MATCH($C447,المنتجات!$A$5:$A$24,0)),0))</f>
        <v/>
      </c>
      <c r="G447" s="24"/>
      <c r="H447" s="27" t="str">
        <f aca="false">IF(OR($C447="",G447=""),"",G447-F447)</f>
        <v/>
      </c>
      <c r="I447" s="32"/>
      <c r="J447" s="29"/>
      <c r="K447" s="29"/>
    </row>
    <row r="448" customFormat="false" ht="15" hidden="false" customHeight="false" outlineLevel="0" collapsed="false">
      <c r="A448" s="32"/>
      <c r="B448" s="29"/>
      <c r="C448" s="29"/>
      <c r="D448" s="28" t="str">
        <f aca="false">IF($C448="","",IFERROR(INDEX(المنتجات!$C$5:$C$24,MATCH($C448,المنتجات!$A$5:$A$24,0)),"كود غير موجود"))</f>
        <v/>
      </c>
      <c r="E448" s="24"/>
      <c r="F448" s="27" t="str">
        <f aca="false">IF($C448="","",N(E448)*IFERROR(INDEX(المنتجات!$G$5:$G$24,MATCH($C448,المنتجات!$A$5:$A$24,0)),0))</f>
        <v/>
      </c>
      <c r="G448" s="24"/>
      <c r="H448" s="27" t="str">
        <f aca="false">IF(OR($C448="",G448=""),"",G448-F448)</f>
        <v/>
      </c>
      <c r="I448" s="32"/>
      <c r="J448" s="29"/>
      <c r="K448" s="29"/>
    </row>
    <row r="449" customFormat="false" ht="15" hidden="false" customHeight="false" outlineLevel="0" collapsed="false">
      <c r="A449" s="32"/>
      <c r="B449" s="29"/>
      <c r="C449" s="29"/>
      <c r="D449" s="28" t="str">
        <f aca="false">IF($C449="","",IFERROR(INDEX(المنتجات!$C$5:$C$24,MATCH($C449,المنتجات!$A$5:$A$24,0)),"كود غير موجود"))</f>
        <v/>
      </c>
      <c r="E449" s="24"/>
      <c r="F449" s="27" t="str">
        <f aca="false">IF($C449="","",N(E449)*IFERROR(INDEX(المنتجات!$G$5:$G$24,MATCH($C449,المنتجات!$A$5:$A$24,0)),0))</f>
        <v/>
      </c>
      <c r="G449" s="24"/>
      <c r="H449" s="27" t="str">
        <f aca="false">IF(OR($C449="",G449=""),"",G449-F449)</f>
        <v/>
      </c>
      <c r="I449" s="32"/>
      <c r="J449" s="29"/>
      <c r="K449" s="29"/>
    </row>
    <row r="450" customFormat="false" ht="15" hidden="false" customHeight="false" outlineLevel="0" collapsed="false">
      <c r="A450" s="32"/>
      <c r="B450" s="29"/>
      <c r="C450" s="29"/>
      <c r="D450" s="28" t="str">
        <f aca="false">IF($C450="","",IFERROR(INDEX(المنتجات!$C$5:$C$24,MATCH($C450,المنتجات!$A$5:$A$24,0)),"كود غير موجود"))</f>
        <v/>
      </c>
      <c r="E450" s="24"/>
      <c r="F450" s="27" t="str">
        <f aca="false">IF($C450="","",N(E450)*IFERROR(INDEX(المنتجات!$G$5:$G$24,MATCH($C450,المنتجات!$A$5:$A$24,0)),0))</f>
        <v/>
      </c>
      <c r="G450" s="24"/>
      <c r="H450" s="27" t="str">
        <f aca="false">IF(OR($C450="",G450=""),"",G450-F450)</f>
        <v/>
      </c>
      <c r="I450" s="32"/>
      <c r="J450" s="29"/>
      <c r="K450" s="29"/>
    </row>
    <row r="451" customFormat="false" ht="15" hidden="false" customHeight="false" outlineLevel="0" collapsed="false">
      <c r="A451" s="32"/>
      <c r="B451" s="29"/>
      <c r="C451" s="29"/>
      <c r="D451" s="28" t="str">
        <f aca="false">IF($C451="","",IFERROR(INDEX(المنتجات!$C$5:$C$24,MATCH($C451,المنتجات!$A$5:$A$24,0)),"كود غير موجود"))</f>
        <v/>
      </c>
      <c r="E451" s="24"/>
      <c r="F451" s="27" t="str">
        <f aca="false">IF($C451="","",N(E451)*IFERROR(INDEX(المنتجات!$G$5:$G$24,MATCH($C451,المنتجات!$A$5:$A$24,0)),0))</f>
        <v/>
      </c>
      <c r="G451" s="24"/>
      <c r="H451" s="27" t="str">
        <f aca="false">IF(OR($C451="",G451=""),"",G451-F451)</f>
        <v/>
      </c>
      <c r="I451" s="32"/>
      <c r="J451" s="29"/>
      <c r="K451" s="29"/>
    </row>
    <row r="452" customFormat="false" ht="15" hidden="false" customHeight="false" outlineLevel="0" collapsed="false">
      <c r="A452" s="32"/>
      <c r="B452" s="29"/>
      <c r="C452" s="29"/>
      <c r="D452" s="28" t="str">
        <f aca="false">IF($C452="","",IFERROR(INDEX(المنتجات!$C$5:$C$24,MATCH($C452,المنتجات!$A$5:$A$24,0)),"كود غير موجود"))</f>
        <v/>
      </c>
      <c r="E452" s="24"/>
      <c r="F452" s="27" t="str">
        <f aca="false">IF($C452="","",N(E452)*IFERROR(INDEX(المنتجات!$G$5:$G$24,MATCH($C452,المنتجات!$A$5:$A$24,0)),0))</f>
        <v/>
      </c>
      <c r="G452" s="24"/>
      <c r="H452" s="27" t="str">
        <f aca="false">IF(OR($C452="",G452=""),"",G452-F452)</f>
        <v/>
      </c>
      <c r="I452" s="32"/>
      <c r="J452" s="29"/>
      <c r="K452" s="29"/>
    </row>
    <row r="453" customFormat="false" ht="15" hidden="false" customHeight="false" outlineLevel="0" collapsed="false">
      <c r="A453" s="32"/>
      <c r="B453" s="29"/>
      <c r="C453" s="29"/>
      <c r="D453" s="28" t="str">
        <f aca="false">IF($C453="","",IFERROR(INDEX(المنتجات!$C$5:$C$24,MATCH($C453,المنتجات!$A$5:$A$24,0)),"كود غير موجود"))</f>
        <v/>
      </c>
      <c r="E453" s="24"/>
      <c r="F453" s="27" t="str">
        <f aca="false">IF($C453="","",N(E453)*IFERROR(INDEX(المنتجات!$G$5:$G$24,MATCH($C453,المنتجات!$A$5:$A$24,0)),0))</f>
        <v/>
      </c>
      <c r="G453" s="24"/>
      <c r="H453" s="27" t="str">
        <f aca="false">IF(OR($C453="",G453=""),"",G453-F453)</f>
        <v/>
      </c>
      <c r="I453" s="32"/>
      <c r="J453" s="29"/>
      <c r="K453" s="29"/>
    </row>
    <row r="454" customFormat="false" ht="15" hidden="false" customHeight="false" outlineLevel="0" collapsed="false">
      <c r="A454" s="32"/>
      <c r="B454" s="29"/>
      <c r="C454" s="29"/>
      <c r="D454" s="28" t="str">
        <f aca="false">IF($C454="","",IFERROR(INDEX(المنتجات!$C$5:$C$24,MATCH($C454,المنتجات!$A$5:$A$24,0)),"كود غير موجود"))</f>
        <v/>
      </c>
      <c r="E454" s="24"/>
      <c r="F454" s="27" t="str">
        <f aca="false">IF($C454="","",N(E454)*IFERROR(INDEX(المنتجات!$G$5:$G$24,MATCH($C454,المنتجات!$A$5:$A$24,0)),0))</f>
        <v/>
      </c>
      <c r="G454" s="24"/>
      <c r="H454" s="27" t="str">
        <f aca="false">IF(OR($C454="",G454=""),"",G454-F454)</f>
        <v/>
      </c>
      <c r="I454" s="32"/>
      <c r="J454" s="29"/>
      <c r="K454" s="29"/>
    </row>
    <row r="455" customFormat="false" ht="15" hidden="false" customHeight="false" outlineLevel="0" collapsed="false">
      <c r="A455" s="32"/>
      <c r="B455" s="29"/>
      <c r="C455" s="29"/>
      <c r="D455" s="28" t="str">
        <f aca="false">IF($C455="","",IFERROR(INDEX(المنتجات!$C$5:$C$24,MATCH($C455,المنتجات!$A$5:$A$24,0)),"كود غير موجود"))</f>
        <v/>
      </c>
      <c r="E455" s="24"/>
      <c r="F455" s="27" t="str">
        <f aca="false">IF($C455="","",N(E455)*IFERROR(INDEX(المنتجات!$G$5:$G$24,MATCH($C455,المنتجات!$A$5:$A$24,0)),0))</f>
        <v/>
      </c>
      <c r="G455" s="24"/>
      <c r="H455" s="27" t="str">
        <f aca="false">IF(OR($C455="",G455=""),"",G455-F455)</f>
        <v/>
      </c>
      <c r="I455" s="32"/>
      <c r="J455" s="29"/>
      <c r="K455" s="29"/>
    </row>
    <row r="456" customFormat="false" ht="15" hidden="false" customHeight="false" outlineLevel="0" collapsed="false">
      <c r="A456" s="32"/>
      <c r="B456" s="29"/>
      <c r="C456" s="29"/>
      <c r="D456" s="28" t="str">
        <f aca="false">IF($C456="","",IFERROR(INDEX(المنتجات!$C$5:$C$24,MATCH($C456,المنتجات!$A$5:$A$24,0)),"كود غير موجود"))</f>
        <v/>
      </c>
      <c r="E456" s="24"/>
      <c r="F456" s="27" t="str">
        <f aca="false">IF($C456="","",N(E456)*IFERROR(INDEX(المنتجات!$G$5:$G$24,MATCH($C456,المنتجات!$A$5:$A$24,0)),0))</f>
        <v/>
      </c>
      <c r="G456" s="24"/>
      <c r="H456" s="27" t="str">
        <f aca="false">IF(OR($C456="",G456=""),"",G456-F456)</f>
        <v/>
      </c>
      <c r="I456" s="32"/>
      <c r="J456" s="29"/>
      <c r="K456" s="29"/>
    </row>
    <row r="457" customFormat="false" ht="15" hidden="false" customHeight="false" outlineLevel="0" collapsed="false">
      <c r="A457" s="32"/>
      <c r="B457" s="29"/>
      <c r="C457" s="29"/>
      <c r="D457" s="28" t="str">
        <f aca="false">IF($C457="","",IFERROR(INDEX(المنتجات!$C$5:$C$24,MATCH($C457,المنتجات!$A$5:$A$24,0)),"كود غير موجود"))</f>
        <v/>
      </c>
      <c r="E457" s="24"/>
      <c r="F457" s="27" t="str">
        <f aca="false">IF($C457="","",N(E457)*IFERROR(INDEX(المنتجات!$G$5:$G$24,MATCH($C457,المنتجات!$A$5:$A$24,0)),0))</f>
        <v/>
      </c>
      <c r="G457" s="24"/>
      <c r="H457" s="27" t="str">
        <f aca="false">IF(OR($C457="",G457=""),"",G457-F457)</f>
        <v/>
      </c>
      <c r="I457" s="32"/>
      <c r="J457" s="29"/>
      <c r="K457" s="29"/>
    </row>
    <row r="458" customFormat="false" ht="15" hidden="false" customHeight="false" outlineLevel="0" collapsed="false">
      <c r="A458" s="32"/>
      <c r="B458" s="29"/>
      <c r="C458" s="29"/>
      <c r="D458" s="28" t="str">
        <f aca="false">IF($C458="","",IFERROR(INDEX(المنتجات!$C$5:$C$24,MATCH($C458,المنتجات!$A$5:$A$24,0)),"كود غير موجود"))</f>
        <v/>
      </c>
      <c r="E458" s="24"/>
      <c r="F458" s="27" t="str">
        <f aca="false">IF($C458="","",N(E458)*IFERROR(INDEX(المنتجات!$G$5:$G$24,MATCH($C458,المنتجات!$A$5:$A$24,0)),0))</f>
        <v/>
      </c>
      <c r="G458" s="24"/>
      <c r="H458" s="27" t="str">
        <f aca="false">IF(OR($C458="",G458=""),"",G458-F458)</f>
        <v/>
      </c>
      <c r="I458" s="32"/>
      <c r="J458" s="29"/>
      <c r="K458" s="29"/>
    </row>
    <row r="459" customFormat="false" ht="15" hidden="false" customHeight="false" outlineLevel="0" collapsed="false">
      <c r="A459" s="32"/>
      <c r="B459" s="29"/>
      <c r="C459" s="29"/>
      <c r="D459" s="28" t="str">
        <f aca="false">IF($C459="","",IFERROR(INDEX(المنتجات!$C$5:$C$24,MATCH($C459,المنتجات!$A$5:$A$24,0)),"كود غير موجود"))</f>
        <v/>
      </c>
      <c r="E459" s="24"/>
      <c r="F459" s="27" t="str">
        <f aca="false">IF($C459="","",N(E459)*IFERROR(INDEX(المنتجات!$G$5:$G$24,MATCH($C459,المنتجات!$A$5:$A$24,0)),0))</f>
        <v/>
      </c>
      <c r="G459" s="24"/>
      <c r="H459" s="27" t="str">
        <f aca="false">IF(OR($C459="",G459=""),"",G459-F459)</f>
        <v/>
      </c>
      <c r="I459" s="32"/>
      <c r="J459" s="29"/>
      <c r="K459" s="29"/>
    </row>
    <row r="460" customFormat="false" ht="15" hidden="false" customHeight="false" outlineLevel="0" collapsed="false">
      <c r="A460" s="32"/>
      <c r="B460" s="29"/>
      <c r="C460" s="29"/>
      <c r="D460" s="28" t="str">
        <f aca="false">IF($C460="","",IFERROR(INDEX(المنتجات!$C$5:$C$24,MATCH($C460,المنتجات!$A$5:$A$24,0)),"كود غير موجود"))</f>
        <v/>
      </c>
      <c r="E460" s="24"/>
      <c r="F460" s="27" t="str">
        <f aca="false">IF($C460="","",N(E460)*IFERROR(INDEX(المنتجات!$G$5:$G$24,MATCH($C460,المنتجات!$A$5:$A$24,0)),0))</f>
        <v/>
      </c>
      <c r="G460" s="24"/>
      <c r="H460" s="27" t="str">
        <f aca="false">IF(OR($C460="",G460=""),"",G460-F460)</f>
        <v/>
      </c>
      <c r="I460" s="32"/>
      <c r="J460" s="29"/>
      <c r="K460" s="29"/>
    </row>
    <row r="461" customFormat="false" ht="15" hidden="false" customHeight="false" outlineLevel="0" collapsed="false">
      <c r="A461" s="32"/>
      <c r="B461" s="29"/>
      <c r="C461" s="29"/>
      <c r="D461" s="28" t="str">
        <f aca="false">IF($C461="","",IFERROR(INDEX(المنتجات!$C$5:$C$24,MATCH($C461,المنتجات!$A$5:$A$24,0)),"كود غير موجود"))</f>
        <v/>
      </c>
      <c r="E461" s="24"/>
      <c r="F461" s="27" t="str">
        <f aca="false">IF($C461="","",N(E461)*IFERROR(INDEX(المنتجات!$G$5:$G$24,MATCH($C461,المنتجات!$A$5:$A$24,0)),0))</f>
        <v/>
      </c>
      <c r="G461" s="24"/>
      <c r="H461" s="27" t="str">
        <f aca="false">IF(OR($C461="",G461=""),"",G461-F461)</f>
        <v/>
      </c>
      <c r="I461" s="32"/>
      <c r="J461" s="29"/>
      <c r="K461" s="29"/>
    </row>
    <row r="462" customFormat="false" ht="15" hidden="false" customHeight="false" outlineLevel="0" collapsed="false">
      <c r="A462" s="32"/>
      <c r="B462" s="29"/>
      <c r="C462" s="29"/>
      <c r="D462" s="28" t="str">
        <f aca="false">IF($C462="","",IFERROR(INDEX(المنتجات!$C$5:$C$24,MATCH($C462,المنتجات!$A$5:$A$24,0)),"كود غير موجود"))</f>
        <v/>
      </c>
      <c r="E462" s="24"/>
      <c r="F462" s="27" t="str">
        <f aca="false">IF($C462="","",N(E462)*IFERROR(INDEX(المنتجات!$G$5:$G$24,MATCH($C462,المنتجات!$A$5:$A$24,0)),0))</f>
        <v/>
      </c>
      <c r="G462" s="24"/>
      <c r="H462" s="27" t="str">
        <f aca="false">IF(OR($C462="",G462=""),"",G462-F462)</f>
        <v/>
      </c>
      <c r="I462" s="32"/>
      <c r="J462" s="29"/>
      <c r="K462" s="29"/>
    </row>
    <row r="463" customFormat="false" ht="15" hidden="false" customHeight="false" outlineLevel="0" collapsed="false">
      <c r="A463" s="32"/>
      <c r="B463" s="29"/>
      <c r="C463" s="29"/>
      <c r="D463" s="28" t="str">
        <f aca="false">IF($C463="","",IFERROR(INDEX(المنتجات!$C$5:$C$24,MATCH($C463,المنتجات!$A$5:$A$24,0)),"كود غير موجود"))</f>
        <v/>
      </c>
      <c r="E463" s="24"/>
      <c r="F463" s="27" t="str">
        <f aca="false">IF($C463="","",N(E463)*IFERROR(INDEX(المنتجات!$G$5:$G$24,MATCH($C463,المنتجات!$A$5:$A$24,0)),0))</f>
        <v/>
      </c>
      <c r="G463" s="24"/>
      <c r="H463" s="27" t="str">
        <f aca="false">IF(OR($C463="",G463=""),"",G463-F463)</f>
        <v/>
      </c>
      <c r="I463" s="32"/>
      <c r="J463" s="29"/>
      <c r="K463" s="29"/>
    </row>
    <row r="464" customFormat="false" ht="15" hidden="false" customHeight="false" outlineLevel="0" collapsed="false">
      <c r="A464" s="32"/>
      <c r="B464" s="29"/>
      <c r="C464" s="29"/>
      <c r="D464" s="28" t="str">
        <f aca="false">IF($C464="","",IFERROR(INDEX(المنتجات!$C$5:$C$24,MATCH($C464,المنتجات!$A$5:$A$24,0)),"كود غير موجود"))</f>
        <v/>
      </c>
      <c r="E464" s="24"/>
      <c r="F464" s="27" t="str">
        <f aca="false">IF($C464="","",N(E464)*IFERROR(INDEX(المنتجات!$G$5:$G$24,MATCH($C464,المنتجات!$A$5:$A$24,0)),0))</f>
        <v/>
      </c>
      <c r="G464" s="24"/>
      <c r="H464" s="27" t="str">
        <f aca="false">IF(OR($C464="",G464=""),"",G464-F464)</f>
        <v/>
      </c>
      <c r="I464" s="32"/>
      <c r="J464" s="29"/>
      <c r="K464" s="29"/>
    </row>
    <row r="465" customFormat="false" ht="15" hidden="false" customHeight="false" outlineLevel="0" collapsed="false">
      <c r="A465" s="32"/>
      <c r="B465" s="29"/>
      <c r="C465" s="29"/>
      <c r="D465" s="28" t="str">
        <f aca="false">IF($C465="","",IFERROR(INDEX(المنتجات!$C$5:$C$24,MATCH($C465,المنتجات!$A$5:$A$24,0)),"كود غير موجود"))</f>
        <v/>
      </c>
      <c r="E465" s="24"/>
      <c r="F465" s="27" t="str">
        <f aca="false">IF($C465="","",N(E465)*IFERROR(INDEX(المنتجات!$G$5:$G$24,MATCH($C465,المنتجات!$A$5:$A$24,0)),0))</f>
        <v/>
      </c>
      <c r="G465" s="24"/>
      <c r="H465" s="27" t="str">
        <f aca="false">IF(OR($C465="",G465=""),"",G465-F465)</f>
        <v/>
      </c>
      <c r="I465" s="32"/>
      <c r="J465" s="29"/>
      <c r="K465" s="29"/>
    </row>
    <row r="466" customFormat="false" ht="15" hidden="false" customHeight="false" outlineLevel="0" collapsed="false">
      <c r="A466" s="32"/>
      <c r="B466" s="29"/>
      <c r="C466" s="29"/>
      <c r="D466" s="28" t="str">
        <f aca="false">IF($C466="","",IFERROR(INDEX(المنتجات!$C$5:$C$24,MATCH($C466,المنتجات!$A$5:$A$24,0)),"كود غير موجود"))</f>
        <v/>
      </c>
      <c r="E466" s="24"/>
      <c r="F466" s="27" t="str">
        <f aca="false">IF($C466="","",N(E466)*IFERROR(INDEX(المنتجات!$G$5:$G$24,MATCH($C466,المنتجات!$A$5:$A$24,0)),0))</f>
        <v/>
      </c>
      <c r="G466" s="24"/>
      <c r="H466" s="27" t="str">
        <f aca="false">IF(OR($C466="",G466=""),"",G466-F466)</f>
        <v/>
      </c>
      <c r="I466" s="32"/>
      <c r="J466" s="29"/>
      <c r="K466" s="29"/>
    </row>
    <row r="467" customFormat="false" ht="15" hidden="false" customHeight="false" outlineLevel="0" collapsed="false">
      <c r="A467" s="32"/>
      <c r="B467" s="29"/>
      <c r="C467" s="29"/>
      <c r="D467" s="28" t="str">
        <f aca="false">IF($C467="","",IFERROR(INDEX(المنتجات!$C$5:$C$24,MATCH($C467,المنتجات!$A$5:$A$24,0)),"كود غير موجود"))</f>
        <v/>
      </c>
      <c r="E467" s="24"/>
      <c r="F467" s="27" t="str">
        <f aca="false">IF($C467="","",N(E467)*IFERROR(INDEX(المنتجات!$G$5:$G$24,MATCH($C467,المنتجات!$A$5:$A$24,0)),0))</f>
        <v/>
      </c>
      <c r="G467" s="24"/>
      <c r="H467" s="27" t="str">
        <f aca="false">IF(OR($C467="",G467=""),"",G467-F467)</f>
        <v/>
      </c>
      <c r="I467" s="32"/>
      <c r="J467" s="29"/>
      <c r="K467" s="29"/>
    </row>
    <row r="468" customFormat="false" ht="15" hidden="false" customHeight="false" outlineLevel="0" collapsed="false">
      <c r="A468" s="32"/>
      <c r="B468" s="29"/>
      <c r="C468" s="29"/>
      <c r="D468" s="28" t="str">
        <f aca="false">IF($C468="","",IFERROR(INDEX(المنتجات!$C$5:$C$24,MATCH($C468,المنتجات!$A$5:$A$24,0)),"كود غير موجود"))</f>
        <v/>
      </c>
      <c r="E468" s="24"/>
      <c r="F468" s="27" t="str">
        <f aca="false">IF($C468="","",N(E468)*IFERROR(INDEX(المنتجات!$G$5:$G$24,MATCH($C468,المنتجات!$A$5:$A$24,0)),0))</f>
        <v/>
      </c>
      <c r="G468" s="24"/>
      <c r="H468" s="27" t="str">
        <f aca="false">IF(OR($C468="",G468=""),"",G468-F468)</f>
        <v/>
      </c>
      <c r="I468" s="32"/>
      <c r="J468" s="29"/>
      <c r="K468" s="29"/>
    </row>
    <row r="469" customFormat="false" ht="15" hidden="false" customHeight="false" outlineLevel="0" collapsed="false">
      <c r="A469" s="32"/>
      <c r="B469" s="29"/>
      <c r="C469" s="29"/>
      <c r="D469" s="28" t="str">
        <f aca="false">IF($C469="","",IFERROR(INDEX(المنتجات!$C$5:$C$24,MATCH($C469,المنتجات!$A$5:$A$24,0)),"كود غير موجود"))</f>
        <v/>
      </c>
      <c r="E469" s="24"/>
      <c r="F469" s="27" t="str">
        <f aca="false">IF($C469="","",N(E469)*IFERROR(INDEX(المنتجات!$G$5:$G$24,MATCH($C469,المنتجات!$A$5:$A$24,0)),0))</f>
        <v/>
      </c>
      <c r="G469" s="24"/>
      <c r="H469" s="27" t="str">
        <f aca="false">IF(OR($C469="",G469=""),"",G469-F469)</f>
        <v/>
      </c>
      <c r="I469" s="32"/>
      <c r="J469" s="29"/>
      <c r="K469" s="29"/>
    </row>
    <row r="470" customFormat="false" ht="15" hidden="false" customHeight="false" outlineLevel="0" collapsed="false">
      <c r="A470" s="32"/>
      <c r="B470" s="29"/>
      <c r="C470" s="29"/>
      <c r="D470" s="28" t="str">
        <f aca="false">IF($C470="","",IFERROR(INDEX(المنتجات!$C$5:$C$24,MATCH($C470,المنتجات!$A$5:$A$24,0)),"كود غير موجود"))</f>
        <v/>
      </c>
      <c r="E470" s="24"/>
      <c r="F470" s="27" t="str">
        <f aca="false">IF($C470="","",N(E470)*IFERROR(INDEX(المنتجات!$G$5:$G$24,MATCH($C470,المنتجات!$A$5:$A$24,0)),0))</f>
        <v/>
      </c>
      <c r="G470" s="24"/>
      <c r="H470" s="27" t="str">
        <f aca="false">IF(OR($C470="",G470=""),"",G470-F470)</f>
        <v/>
      </c>
      <c r="I470" s="32"/>
      <c r="J470" s="29"/>
      <c r="K470" s="29"/>
    </row>
    <row r="471" customFormat="false" ht="15" hidden="false" customHeight="false" outlineLevel="0" collapsed="false">
      <c r="A471" s="32"/>
      <c r="B471" s="29"/>
      <c r="C471" s="29"/>
      <c r="D471" s="28" t="str">
        <f aca="false">IF($C471="","",IFERROR(INDEX(المنتجات!$C$5:$C$24,MATCH($C471,المنتجات!$A$5:$A$24,0)),"كود غير موجود"))</f>
        <v/>
      </c>
      <c r="E471" s="24"/>
      <c r="F471" s="27" t="str">
        <f aca="false">IF($C471="","",N(E471)*IFERROR(INDEX(المنتجات!$G$5:$G$24,MATCH($C471,المنتجات!$A$5:$A$24,0)),0))</f>
        <v/>
      </c>
      <c r="G471" s="24"/>
      <c r="H471" s="27" t="str">
        <f aca="false">IF(OR($C471="",G471=""),"",G471-F471)</f>
        <v/>
      </c>
      <c r="I471" s="32"/>
      <c r="J471" s="29"/>
      <c r="K471" s="29"/>
    </row>
    <row r="472" customFormat="false" ht="15" hidden="false" customHeight="false" outlineLevel="0" collapsed="false">
      <c r="A472" s="32"/>
      <c r="B472" s="29"/>
      <c r="C472" s="29"/>
      <c r="D472" s="28" t="str">
        <f aca="false">IF($C472="","",IFERROR(INDEX(المنتجات!$C$5:$C$24,MATCH($C472,المنتجات!$A$5:$A$24,0)),"كود غير موجود"))</f>
        <v/>
      </c>
      <c r="E472" s="24"/>
      <c r="F472" s="27" t="str">
        <f aca="false">IF($C472="","",N(E472)*IFERROR(INDEX(المنتجات!$G$5:$G$24,MATCH($C472,المنتجات!$A$5:$A$24,0)),0))</f>
        <v/>
      </c>
      <c r="G472" s="24"/>
      <c r="H472" s="27" t="str">
        <f aca="false">IF(OR($C472="",G472=""),"",G472-F472)</f>
        <v/>
      </c>
      <c r="I472" s="32"/>
      <c r="J472" s="29"/>
      <c r="K472" s="29"/>
    </row>
    <row r="473" customFormat="false" ht="15" hidden="false" customHeight="false" outlineLevel="0" collapsed="false">
      <c r="A473" s="32"/>
      <c r="B473" s="29"/>
      <c r="C473" s="29"/>
      <c r="D473" s="28" t="str">
        <f aca="false">IF($C473="","",IFERROR(INDEX(المنتجات!$C$5:$C$24,MATCH($C473,المنتجات!$A$5:$A$24,0)),"كود غير موجود"))</f>
        <v/>
      </c>
      <c r="E473" s="24"/>
      <c r="F473" s="27" t="str">
        <f aca="false">IF($C473="","",N(E473)*IFERROR(INDEX(المنتجات!$G$5:$G$24,MATCH($C473,المنتجات!$A$5:$A$24,0)),0))</f>
        <v/>
      </c>
      <c r="G473" s="24"/>
      <c r="H473" s="27" t="str">
        <f aca="false">IF(OR($C473="",G473=""),"",G473-F473)</f>
        <v/>
      </c>
      <c r="I473" s="32"/>
      <c r="J473" s="29"/>
      <c r="K473" s="29"/>
    </row>
    <row r="474" customFormat="false" ht="15" hidden="false" customHeight="false" outlineLevel="0" collapsed="false">
      <c r="A474" s="32"/>
      <c r="B474" s="29"/>
      <c r="C474" s="29"/>
      <c r="D474" s="28" t="str">
        <f aca="false">IF($C474="","",IFERROR(INDEX(المنتجات!$C$5:$C$24,MATCH($C474,المنتجات!$A$5:$A$24,0)),"كود غير موجود"))</f>
        <v/>
      </c>
      <c r="E474" s="24"/>
      <c r="F474" s="27" t="str">
        <f aca="false">IF($C474="","",N(E474)*IFERROR(INDEX(المنتجات!$G$5:$G$24,MATCH($C474,المنتجات!$A$5:$A$24,0)),0))</f>
        <v/>
      </c>
      <c r="G474" s="24"/>
      <c r="H474" s="27" t="str">
        <f aca="false">IF(OR($C474="",G474=""),"",G474-F474)</f>
        <v/>
      </c>
      <c r="I474" s="32"/>
      <c r="J474" s="29"/>
      <c r="K474" s="29"/>
    </row>
    <row r="475" customFormat="false" ht="15" hidden="false" customHeight="false" outlineLevel="0" collapsed="false">
      <c r="A475" s="32"/>
      <c r="B475" s="29"/>
      <c r="C475" s="29"/>
      <c r="D475" s="28" t="str">
        <f aca="false">IF($C475="","",IFERROR(INDEX(المنتجات!$C$5:$C$24,MATCH($C475,المنتجات!$A$5:$A$24,0)),"كود غير موجود"))</f>
        <v/>
      </c>
      <c r="E475" s="24"/>
      <c r="F475" s="27" t="str">
        <f aca="false">IF($C475="","",N(E475)*IFERROR(INDEX(المنتجات!$G$5:$G$24,MATCH($C475,المنتجات!$A$5:$A$24,0)),0))</f>
        <v/>
      </c>
      <c r="G475" s="24"/>
      <c r="H475" s="27" t="str">
        <f aca="false">IF(OR($C475="",G475=""),"",G475-F475)</f>
        <v/>
      </c>
      <c r="I475" s="32"/>
      <c r="J475" s="29"/>
      <c r="K475" s="29"/>
    </row>
    <row r="476" customFormat="false" ht="15" hidden="false" customHeight="false" outlineLevel="0" collapsed="false">
      <c r="A476" s="32"/>
      <c r="B476" s="29"/>
      <c r="C476" s="29"/>
      <c r="D476" s="28" t="str">
        <f aca="false">IF($C476="","",IFERROR(INDEX(المنتجات!$C$5:$C$24,MATCH($C476,المنتجات!$A$5:$A$24,0)),"كود غير موجود"))</f>
        <v/>
      </c>
      <c r="E476" s="24"/>
      <c r="F476" s="27" t="str">
        <f aca="false">IF($C476="","",N(E476)*IFERROR(INDEX(المنتجات!$G$5:$G$24,MATCH($C476,المنتجات!$A$5:$A$24,0)),0))</f>
        <v/>
      </c>
      <c r="G476" s="24"/>
      <c r="H476" s="27" t="str">
        <f aca="false">IF(OR($C476="",G476=""),"",G476-F476)</f>
        <v/>
      </c>
      <c r="I476" s="32"/>
      <c r="J476" s="29"/>
      <c r="K476" s="29"/>
    </row>
    <row r="477" customFormat="false" ht="15" hidden="false" customHeight="false" outlineLevel="0" collapsed="false">
      <c r="A477" s="32"/>
      <c r="B477" s="29"/>
      <c r="C477" s="29"/>
      <c r="D477" s="28" t="str">
        <f aca="false">IF($C477="","",IFERROR(INDEX(المنتجات!$C$5:$C$24,MATCH($C477,المنتجات!$A$5:$A$24,0)),"كود غير موجود"))</f>
        <v/>
      </c>
      <c r="E477" s="24"/>
      <c r="F477" s="27" t="str">
        <f aca="false">IF($C477="","",N(E477)*IFERROR(INDEX(المنتجات!$G$5:$G$24,MATCH($C477,المنتجات!$A$5:$A$24,0)),0))</f>
        <v/>
      </c>
      <c r="G477" s="24"/>
      <c r="H477" s="27" t="str">
        <f aca="false">IF(OR($C477="",G477=""),"",G477-F477)</f>
        <v/>
      </c>
      <c r="I477" s="32"/>
      <c r="J477" s="29"/>
      <c r="K477" s="29"/>
    </row>
    <row r="478" customFormat="false" ht="15" hidden="false" customHeight="false" outlineLevel="0" collapsed="false">
      <c r="A478" s="32"/>
      <c r="B478" s="29"/>
      <c r="C478" s="29"/>
      <c r="D478" s="28" t="str">
        <f aca="false">IF($C478="","",IFERROR(INDEX(المنتجات!$C$5:$C$24,MATCH($C478,المنتجات!$A$5:$A$24,0)),"كود غير موجود"))</f>
        <v/>
      </c>
      <c r="E478" s="24"/>
      <c r="F478" s="27" t="str">
        <f aca="false">IF($C478="","",N(E478)*IFERROR(INDEX(المنتجات!$G$5:$G$24,MATCH($C478,المنتجات!$A$5:$A$24,0)),0))</f>
        <v/>
      </c>
      <c r="G478" s="24"/>
      <c r="H478" s="27" t="str">
        <f aca="false">IF(OR($C478="",G478=""),"",G478-F478)</f>
        <v/>
      </c>
      <c r="I478" s="32"/>
      <c r="J478" s="29"/>
      <c r="K478" s="29"/>
    </row>
    <row r="479" customFormat="false" ht="15" hidden="false" customHeight="false" outlineLevel="0" collapsed="false">
      <c r="A479" s="32"/>
      <c r="B479" s="29"/>
      <c r="C479" s="29"/>
      <c r="D479" s="28" t="str">
        <f aca="false">IF($C479="","",IFERROR(INDEX(المنتجات!$C$5:$C$24,MATCH($C479,المنتجات!$A$5:$A$24,0)),"كود غير موجود"))</f>
        <v/>
      </c>
      <c r="E479" s="24"/>
      <c r="F479" s="27" t="str">
        <f aca="false">IF($C479="","",N(E479)*IFERROR(INDEX(المنتجات!$G$5:$G$24,MATCH($C479,المنتجات!$A$5:$A$24,0)),0))</f>
        <v/>
      </c>
      <c r="G479" s="24"/>
      <c r="H479" s="27" t="str">
        <f aca="false">IF(OR($C479="",G479=""),"",G479-F479)</f>
        <v/>
      </c>
      <c r="I479" s="32"/>
      <c r="J479" s="29"/>
      <c r="K479" s="29"/>
    </row>
    <row r="480" customFormat="false" ht="15" hidden="false" customHeight="false" outlineLevel="0" collapsed="false">
      <c r="A480" s="32"/>
      <c r="B480" s="29"/>
      <c r="C480" s="29"/>
      <c r="D480" s="28" t="str">
        <f aca="false">IF($C480="","",IFERROR(INDEX(المنتجات!$C$5:$C$24,MATCH($C480,المنتجات!$A$5:$A$24,0)),"كود غير موجود"))</f>
        <v/>
      </c>
      <c r="E480" s="24"/>
      <c r="F480" s="27" t="str">
        <f aca="false">IF($C480="","",N(E480)*IFERROR(INDEX(المنتجات!$G$5:$G$24,MATCH($C480,المنتجات!$A$5:$A$24,0)),0))</f>
        <v/>
      </c>
      <c r="G480" s="24"/>
      <c r="H480" s="27" t="str">
        <f aca="false">IF(OR($C480="",G480=""),"",G480-F480)</f>
        <v/>
      </c>
      <c r="I480" s="32"/>
      <c r="J480" s="29"/>
      <c r="K480" s="29"/>
    </row>
    <row r="481" customFormat="false" ht="15" hidden="false" customHeight="false" outlineLevel="0" collapsed="false">
      <c r="A481" s="32"/>
      <c r="B481" s="29"/>
      <c r="C481" s="29"/>
      <c r="D481" s="28" t="str">
        <f aca="false">IF($C481="","",IFERROR(INDEX(المنتجات!$C$5:$C$24,MATCH($C481,المنتجات!$A$5:$A$24,0)),"كود غير موجود"))</f>
        <v/>
      </c>
      <c r="E481" s="24"/>
      <c r="F481" s="27" t="str">
        <f aca="false">IF($C481="","",N(E481)*IFERROR(INDEX(المنتجات!$G$5:$G$24,MATCH($C481,المنتجات!$A$5:$A$24,0)),0))</f>
        <v/>
      </c>
      <c r="G481" s="24"/>
      <c r="H481" s="27" t="str">
        <f aca="false">IF(OR($C481="",G481=""),"",G481-F481)</f>
        <v/>
      </c>
      <c r="I481" s="32"/>
      <c r="J481" s="29"/>
      <c r="K481" s="29"/>
    </row>
    <row r="482" customFormat="false" ht="15" hidden="false" customHeight="false" outlineLevel="0" collapsed="false">
      <c r="A482" s="32"/>
      <c r="B482" s="29"/>
      <c r="C482" s="29"/>
      <c r="D482" s="28" t="str">
        <f aca="false">IF($C482="","",IFERROR(INDEX(المنتجات!$C$5:$C$24,MATCH($C482,المنتجات!$A$5:$A$24,0)),"كود غير موجود"))</f>
        <v/>
      </c>
      <c r="E482" s="24"/>
      <c r="F482" s="27" t="str">
        <f aca="false">IF($C482="","",N(E482)*IFERROR(INDEX(المنتجات!$G$5:$G$24,MATCH($C482,المنتجات!$A$5:$A$24,0)),0))</f>
        <v/>
      </c>
      <c r="G482" s="24"/>
      <c r="H482" s="27" t="str">
        <f aca="false">IF(OR($C482="",G482=""),"",G482-F482)</f>
        <v/>
      </c>
      <c r="I482" s="32"/>
      <c r="J482" s="29"/>
      <c r="K482" s="29"/>
    </row>
    <row r="483" customFormat="false" ht="15" hidden="false" customHeight="false" outlineLevel="0" collapsed="false">
      <c r="A483" s="32"/>
      <c r="B483" s="29"/>
      <c r="C483" s="29"/>
      <c r="D483" s="28" t="str">
        <f aca="false">IF($C483="","",IFERROR(INDEX(المنتجات!$C$5:$C$24,MATCH($C483,المنتجات!$A$5:$A$24,0)),"كود غير موجود"))</f>
        <v/>
      </c>
      <c r="E483" s="24"/>
      <c r="F483" s="27" t="str">
        <f aca="false">IF($C483="","",N(E483)*IFERROR(INDEX(المنتجات!$G$5:$G$24,MATCH($C483,المنتجات!$A$5:$A$24,0)),0))</f>
        <v/>
      </c>
      <c r="G483" s="24"/>
      <c r="H483" s="27" t="str">
        <f aca="false">IF(OR($C483="",G483=""),"",G483-F483)</f>
        <v/>
      </c>
      <c r="I483" s="32"/>
      <c r="J483" s="29"/>
      <c r="K483" s="29"/>
    </row>
    <row r="484" customFormat="false" ht="15" hidden="false" customHeight="false" outlineLevel="0" collapsed="false">
      <c r="A484" s="32"/>
      <c r="B484" s="29"/>
      <c r="C484" s="29"/>
      <c r="D484" s="28" t="str">
        <f aca="false">IF($C484="","",IFERROR(INDEX(المنتجات!$C$5:$C$24,MATCH($C484,المنتجات!$A$5:$A$24,0)),"كود غير موجود"))</f>
        <v/>
      </c>
      <c r="E484" s="24"/>
      <c r="F484" s="27" t="str">
        <f aca="false">IF($C484="","",N(E484)*IFERROR(INDEX(المنتجات!$G$5:$G$24,MATCH($C484,المنتجات!$A$5:$A$24,0)),0))</f>
        <v/>
      </c>
      <c r="G484" s="24"/>
      <c r="H484" s="27" t="str">
        <f aca="false">IF(OR($C484="",G484=""),"",G484-F484)</f>
        <v/>
      </c>
      <c r="I484" s="32"/>
      <c r="J484" s="29"/>
      <c r="K484" s="29"/>
    </row>
    <row r="485" customFormat="false" ht="15" hidden="false" customHeight="false" outlineLevel="0" collapsed="false">
      <c r="A485" s="32"/>
      <c r="B485" s="29"/>
      <c r="C485" s="29"/>
      <c r="D485" s="28" t="str">
        <f aca="false">IF($C485="","",IFERROR(INDEX(المنتجات!$C$5:$C$24,MATCH($C485,المنتجات!$A$5:$A$24,0)),"كود غير موجود"))</f>
        <v/>
      </c>
      <c r="E485" s="24"/>
      <c r="F485" s="27" t="str">
        <f aca="false">IF($C485="","",N(E485)*IFERROR(INDEX(المنتجات!$G$5:$G$24,MATCH($C485,المنتجات!$A$5:$A$24,0)),0))</f>
        <v/>
      </c>
      <c r="G485" s="24"/>
      <c r="H485" s="27" t="str">
        <f aca="false">IF(OR($C485="",G485=""),"",G485-F485)</f>
        <v/>
      </c>
      <c r="I485" s="32"/>
      <c r="J485" s="29"/>
      <c r="K485" s="29"/>
    </row>
    <row r="486" customFormat="false" ht="15" hidden="false" customHeight="false" outlineLevel="0" collapsed="false">
      <c r="A486" s="32"/>
      <c r="B486" s="29"/>
      <c r="C486" s="29"/>
      <c r="D486" s="28" t="str">
        <f aca="false">IF($C486="","",IFERROR(INDEX(المنتجات!$C$5:$C$24,MATCH($C486,المنتجات!$A$5:$A$24,0)),"كود غير موجود"))</f>
        <v/>
      </c>
      <c r="E486" s="24"/>
      <c r="F486" s="27" t="str">
        <f aca="false">IF($C486="","",N(E486)*IFERROR(INDEX(المنتجات!$G$5:$G$24,MATCH($C486,المنتجات!$A$5:$A$24,0)),0))</f>
        <v/>
      </c>
      <c r="G486" s="24"/>
      <c r="H486" s="27" t="str">
        <f aca="false">IF(OR($C486="",G486=""),"",G486-F486)</f>
        <v/>
      </c>
      <c r="I486" s="32"/>
      <c r="J486" s="29"/>
      <c r="K486" s="29"/>
    </row>
    <row r="487" customFormat="false" ht="15" hidden="false" customHeight="false" outlineLevel="0" collapsed="false">
      <c r="A487" s="32"/>
      <c r="B487" s="29"/>
      <c r="C487" s="29"/>
      <c r="D487" s="28" t="str">
        <f aca="false">IF($C487="","",IFERROR(INDEX(المنتجات!$C$5:$C$24,MATCH($C487,المنتجات!$A$5:$A$24,0)),"كود غير موجود"))</f>
        <v/>
      </c>
      <c r="E487" s="24"/>
      <c r="F487" s="27" t="str">
        <f aca="false">IF($C487="","",N(E487)*IFERROR(INDEX(المنتجات!$G$5:$G$24,MATCH($C487,المنتجات!$A$5:$A$24,0)),0))</f>
        <v/>
      </c>
      <c r="G487" s="24"/>
      <c r="H487" s="27" t="str">
        <f aca="false">IF(OR($C487="",G487=""),"",G487-F487)</f>
        <v/>
      </c>
      <c r="I487" s="32"/>
      <c r="J487" s="29"/>
      <c r="K487" s="29"/>
    </row>
    <row r="488" customFormat="false" ht="15" hidden="false" customHeight="false" outlineLevel="0" collapsed="false">
      <c r="A488" s="32"/>
      <c r="B488" s="29"/>
      <c r="C488" s="29"/>
      <c r="D488" s="28" t="str">
        <f aca="false">IF($C488="","",IFERROR(INDEX(المنتجات!$C$5:$C$24,MATCH($C488,المنتجات!$A$5:$A$24,0)),"كود غير موجود"))</f>
        <v/>
      </c>
      <c r="E488" s="24"/>
      <c r="F488" s="27" t="str">
        <f aca="false">IF($C488="","",N(E488)*IFERROR(INDEX(المنتجات!$G$5:$G$24,MATCH($C488,المنتجات!$A$5:$A$24,0)),0))</f>
        <v/>
      </c>
      <c r="G488" s="24"/>
      <c r="H488" s="27" t="str">
        <f aca="false">IF(OR($C488="",G488=""),"",G488-F488)</f>
        <v/>
      </c>
      <c r="I488" s="32"/>
      <c r="J488" s="29"/>
      <c r="K488" s="29"/>
    </row>
    <row r="489" customFormat="false" ht="15" hidden="false" customHeight="false" outlineLevel="0" collapsed="false">
      <c r="A489" s="32"/>
      <c r="B489" s="29"/>
      <c r="C489" s="29"/>
      <c r="D489" s="28" t="str">
        <f aca="false">IF($C489="","",IFERROR(INDEX(المنتجات!$C$5:$C$24,MATCH($C489,المنتجات!$A$5:$A$24,0)),"كود غير موجود"))</f>
        <v/>
      </c>
      <c r="E489" s="24"/>
      <c r="F489" s="27" t="str">
        <f aca="false">IF($C489="","",N(E489)*IFERROR(INDEX(المنتجات!$G$5:$G$24,MATCH($C489,المنتجات!$A$5:$A$24,0)),0))</f>
        <v/>
      </c>
      <c r="G489" s="24"/>
      <c r="H489" s="27" t="str">
        <f aca="false">IF(OR($C489="",G489=""),"",G489-F489)</f>
        <v/>
      </c>
      <c r="I489" s="32"/>
      <c r="J489" s="29"/>
      <c r="K489" s="29"/>
    </row>
    <row r="490" customFormat="false" ht="15" hidden="false" customHeight="false" outlineLevel="0" collapsed="false">
      <c r="A490" s="32"/>
      <c r="B490" s="29"/>
      <c r="C490" s="29"/>
      <c r="D490" s="28" t="str">
        <f aca="false">IF($C490="","",IFERROR(INDEX(المنتجات!$C$5:$C$24,MATCH($C490,المنتجات!$A$5:$A$24,0)),"كود غير موجود"))</f>
        <v/>
      </c>
      <c r="E490" s="24"/>
      <c r="F490" s="27" t="str">
        <f aca="false">IF($C490="","",N(E490)*IFERROR(INDEX(المنتجات!$G$5:$G$24,MATCH($C490,المنتجات!$A$5:$A$24,0)),0))</f>
        <v/>
      </c>
      <c r="G490" s="24"/>
      <c r="H490" s="27" t="str">
        <f aca="false">IF(OR($C490="",G490=""),"",G490-F490)</f>
        <v/>
      </c>
      <c r="I490" s="32"/>
      <c r="J490" s="29"/>
      <c r="K490" s="29"/>
    </row>
    <row r="491" customFormat="false" ht="15" hidden="false" customHeight="false" outlineLevel="0" collapsed="false">
      <c r="A491" s="32"/>
      <c r="B491" s="29"/>
      <c r="C491" s="29"/>
      <c r="D491" s="28" t="str">
        <f aca="false">IF($C491="","",IFERROR(INDEX(المنتجات!$C$5:$C$24,MATCH($C491,المنتجات!$A$5:$A$24,0)),"كود غير موجود"))</f>
        <v/>
      </c>
      <c r="E491" s="24"/>
      <c r="F491" s="27" t="str">
        <f aca="false">IF($C491="","",N(E491)*IFERROR(INDEX(المنتجات!$G$5:$G$24,MATCH($C491,المنتجات!$A$5:$A$24,0)),0))</f>
        <v/>
      </c>
      <c r="G491" s="24"/>
      <c r="H491" s="27" t="str">
        <f aca="false">IF(OR($C491="",G491=""),"",G491-F491)</f>
        <v/>
      </c>
      <c r="I491" s="32"/>
      <c r="J491" s="29"/>
      <c r="K491" s="29"/>
    </row>
    <row r="492" customFormat="false" ht="15" hidden="false" customHeight="false" outlineLevel="0" collapsed="false">
      <c r="A492" s="32"/>
      <c r="B492" s="29"/>
      <c r="C492" s="29"/>
      <c r="D492" s="28" t="str">
        <f aca="false">IF($C492="","",IFERROR(INDEX(المنتجات!$C$5:$C$24,MATCH($C492,المنتجات!$A$5:$A$24,0)),"كود غير موجود"))</f>
        <v/>
      </c>
      <c r="E492" s="24"/>
      <c r="F492" s="27" t="str">
        <f aca="false">IF($C492="","",N(E492)*IFERROR(INDEX(المنتجات!$G$5:$G$24,MATCH($C492,المنتجات!$A$5:$A$24,0)),0))</f>
        <v/>
      </c>
      <c r="G492" s="24"/>
      <c r="H492" s="27" t="str">
        <f aca="false">IF(OR($C492="",G492=""),"",G492-F492)</f>
        <v/>
      </c>
      <c r="I492" s="32"/>
      <c r="J492" s="29"/>
      <c r="K492" s="29"/>
    </row>
    <row r="493" customFormat="false" ht="15" hidden="false" customHeight="false" outlineLevel="0" collapsed="false">
      <c r="A493" s="32"/>
      <c r="B493" s="29"/>
      <c r="C493" s="29"/>
      <c r="D493" s="28" t="str">
        <f aca="false">IF($C493="","",IFERROR(INDEX(المنتجات!$C$5:$C$24,MATCH($C493,المنتجات!$A$5:$A$24,0)),"كود غير موجود"))</f>
        <v/>
      </c>
      <c r="E493" s="24"/>
      <c r="F493" s="27" t="str">
        <f aca="false">IF($C493="","",N(E493)*IFERROR(INDEX(المنتجات!$G$5:$G$24,MATCH($C493,المنتجات!$A$5:$A$24,0)),0))</f>
        <v/>
      </c>
      <c r="G493" s="24"/>
      <c r="H493" s="27" t="str">
        <f aca="false">IF(OR($C493="",G493=""),"",G493-F493)</f>
        <v/>
      </c>
      <c r="I493" s="32"/>
      <c r="J493" s="29"/>
      <c r="K493" s="29"/>
    </row>
    <row r="494" customFormat="false" ht="15" hidden="false" customHeight="false" outlineLevel="0" collapsed="false">
      <c r="A494" s="32"/>
      <c r="B494" s="29"/>
      <c r="C494" s="29"/>
      <c r="D494" s="28" t="str">
        <f aca="false">IF($C494="","",IFERROR(INDEX(المنتجات!$C$5:$C$24,MATCH($C494,المنتجات!$A$5:$A$24,0)),"كود غير موجود"))</f>
        <v/>
      </c>
      <c r="E494" s="24"/>
      <c r="F494" s="27" t="str">
        <f aca="false">IF($C494="","",N(E494)*IFERROR(INDEX(المنتجات!$G$5:$G$24,MATCH($C494,المنتجات!$A$5:$A$24,0)),0))</f>
        <v/>
      </c>
      <c r="G494" s="24"/>
      <c r="H494" s="27" t="str">
        <f aca="false">IF(OR($C494="",G494=""),"",G494-F494)</f>
        <v/>
      </c>
      <c r="I494" s="32"/>
      <c r="J494" s="29"/>
      <c r="K494" s="29"/>
    </row>
    <row r="495" customFormat="false" ht="15" hidden="false" customHeight="false" outlineLevel="0" collapsed="false">
      <c r="A495" s="32"/>
      <c r="B495" s="29"/>
      <c r="C495" s="29"/>
      <c r="D495" s="28" t="str">
        <f aca="false">IF($C495="","",IFERROR(INDEX(المنتجات!$C$5:$C$24,MATCH($C495,المنتجات!$A$5:$A$24,0)),"كود غير موجود"))</f>
        <v/>
      </c>
      <c r="E495" s="24"/>
      <c r="F495" s="27" t="str">
        <f aca="false">IF($C495="","",N(E495)*IFERROR(INDEX(المنتجات!$G$5:$G$24,MATCH($C495,المنتجات!$A$5:$A$24,0)),0))</f>
        <v/>
      </c>
      <c r="G495" s="24"/>
      <c r="H495" s="27" t="str">
        <f aca="false">IF(OR($C495="",G495=""),"",G495-F495)</f>
        <v/>
      </c>
      <c r="I495" s="32"/>
      <c r="J495" s="29"/>
      <c r="K495" s="29"/>
    </row>
    <row r="496" customFormat="false" ht="15" hidden="false" customHeight="false" outlineLevel="0" collapsed="false">
      <c r="A496" s="32"/>
      <c r="B496" s="29"/>
      <c r="C496" s="29"/>
      <c r="D496" s="28" t="str">
        <f aca="false">IF($C496="","",IFERROR(INDEX(المنتجات!$C$5:$C$24,MATCH($C496,المنتجات!$A$5:$A$24,0)),"كود غير موجود"))</f>
        <v/>
      </c>
      <c r="E496" s="24"/>
      <c r="F496" s="27" t="str">
        <f aca="false">IF($C496="","",N(E496)*IFERROR(INDEX(المنتجات!$G$5:$G$24,MATCH($C496,المنتجات!$A$5:$A$24,0)),0))</f>
        <v/>
      </c>
      <c r="G496" s="24"/>
      <c r="H496" s="27" t="str">
        <f aca="false">IF(OR($C496="",G496=""),"",G496-F496)</f>
        <v/>
      </c>
      <c r="I496" s="32"/>
      <c r="J496" s="29"/>
      <c r="K496" s="29"/>
    </row>
    <row r="497" customFormat="false" ht="15" hidden="false" customHeight="false" outlineLevel="0" collapsed="false">
      <c r="A497" s="32"/>
      <c r="B497" s="29"/>
      <c r="C497" s="29"/>
      <c r="D497" s="28" t="str">
        <f aca="false">IF($C497="","",IFERROR(INDEX(المنتجات!$C$5:$C$24,MATCH($C497,المنتجات!$A$5:$A$24,0)),"كود غير موجود"))</f>
        <v/>
      </c>
      <c r="E497" s="24"/>
      <c r="F497" s="27" t="str">
        <f aca="false">IF($C497="","",N(E497)*IFERROR(INDEX(المنتجات!$G$5:$G$24,MATCH($C497,المنتجات!$A$5:$A$24,0)),0))</f>
        <v/>
      </c>
      <c r="G497" s="24"/>
      <c r="H497" s="27" t="str">
        <f aca="false">IF(OR($C497="",G497=""),"",G497-F497)</f>
        <v/>
      </c>
      <c r="I497" s="32"/>
      <c r="J497" s="29"/>
      <c r="K497" s="29"/>
    </row>
    <row r="498" customFormat="false" ht="15" hidden="false" customHeight="false" outlineLevel="0" collapsed="false">
      <c r="A498" s="32"/>
      <c r="B498" s="29"/>
      <c r="C498" s="29"/>
      <c r="D498" s="28" t="str">
        <f aca="false">IF($C498="","",IFERROR(INDEX(المنتجات!$C$5:$C$24,MATCH($C498,المنتجات!$A$5:$A$24,0)),"كود غير موجود"))</f>
        <v/>
      </c>
      <c r="E498" s="24"/>
      <c r="F498" s="27" t="str">
        <f aca="false">IF($C498="","",N(E498)*IFERROR(INDEX(المنتجات!$G$5:$G$24,MATCH($C498,المنتجات!$A$5:$A$24,0)),0))</f>
        <v/>
      </c>
      <c r="G498" s="24"/>
      <c r="H498" s="27" t="str">
        <f aca="false">IF(OR($C498="",G498=""),"",G498-F498)</f>
        <v/>
      </c>
      <c r="I498" s="32"/>
      <c r="J498" s="29"/>
      <c r="K498" s="29"/>
    </row>
    <row r="499" customFormat="false" ht="15" hidden="false" customHeight="false" outlineLevel="0" collapsed="false">
      <c r="A499" s="32"/>
      <c r="B499" s="29"/>
      <c r="C499" s="29"/>
      <c r="D499" s="28" t="str">
        <f aca="false">IF($C499="","",IFERROR(INDEX(المنتجات!$C$5:$C$24,MATCH($C499,المنتجات!$A$5:$A$24,0)),"كود غير موجود"))</f>
        <v/>
      </c>
      <c r="E499" s="24"/>
      <c r="F499" s="27" t="str">
        <f aca="false">IF($C499="","",N(E499)*IFERROR(INDEX(المنتجات!$G$5:$G$24,MATCH($C499,المنتجات!$A$5:$A$24,0)),0))</f>
        <v/>
      </c>
      <c r="G499" s="24"/>
      <c r="H499" s="27" t="str">
        <f aca="false">IF(OR($C499="",G499=""),"",G499-F499)</f>
        <v/>
      </c>
      <c r="I499" s="32"/>
      <c r="J499" s="29"/>
      <c r="K499" s="29"/>
    </row>
    <row r="500" customFormat="false" ht="15" hidden="false" customHeight="false" outlineLevel="0" collapsed="false">
      <c r="A500" s="32"/>
      <c r="B500" s="29"/>
      <c r="C500" s="29"/>
      <c r="D500" s="28" t="str">
        <f aca="false">IF($C500="","",IFERROR(INDEX(المنتجات!$C$5:$C$24,MATCH($C500,المنتجات!$A$5:$A$24,0)),"كود غير موجود"))</f>
        <v/>
      </c>
      <c r="E500" s="24"/>
      <c r="F500" s="27" t="str">
        <f aca="false">IF($C500="","",N(E500)*IFERROR(INDEX(المنتجات!$G$5:$G$24,MATCH($C500,المنتجات!$A$5:$A$24,0)),0))</f>
        <v/>
      </c>
      <c r="G500" s="24"/>
      <c r="H500" s="27" t="str">
        <f aca="false">IF(OR($C500="",G500=""),"",G500-F500)</f>
        <v/>
      </c>
      <c r="I500" s="32"/>
      <c r="J500" s="29"/>
      <c r="K500" s="29"/>
    </row>
    <row r="501" customFormat="false" ht="15" hidden="false" customHeight="false" outlineLevel="0" collapsed="false">
      <c r="A501" s="32"/>
      <c r="B501" s="29"/>
      <c r="C501" s="29"/>
      <c r="D501" s="28" t="str">
        <f aca="false">IF($C501="","",IFERROR(INDEX(المنتجات!$C$5:$C$24,MATCH($C501,المنتجات!$A$5:$A$24,0)),"كود غير موجود"))</f>
        <v/>
      </c>
      <c r="E501" s="24"/>
      <c r="F501" s="27" t="str">
        <f aca="false">IF($C501="","",N(E501)*IFERROR(INDEX(المنتجات!$G$5:$G$24,MATCH($C501,المنتجات!$A$5:$A$24,0)),0))</f>
        <v/>
      </c>
      <c r="G501" s="24"/>
      <c r="H501" s="27" t="str">
        <f aca="false">IF(OR($C501="",G501=""),"",G501-F501)</f>
        <v/>
      </c>
      <c r="I501" s="32"/>
      <c r="J501" s="29"/>
      <c r="K501" s="29"/>
    </row>
    <row r="502" customFormat="false" ht="15" hidden="false" customHeight="false" outlineLevel="0" collapsed="false">
      <c r="A502" s="32"/>
      <c r="B502" s="29"/>
      <c r="C502" s="29"/>
      <c r="D502" s="28" t="str">
        <f aca="false">IF($C502="","",IFERROR(INDEX(المنتجات!$C$5:$C$24,MATCH($C502,المنتجات!$A$5:$A$24,0)),"كود غير موجود"))</f>
        <v/>
      </c>
      <c r="E502" s="24"/>
      <c r="F502" s="27" t="str">
        <f aca="false">IF($C502="","",N(E502)*IFERROR(INDEX(المنتجات!$G$5:$G$24,MATCH($C502,المنتجات!$A$5:$A$24,0)),0))</f>
        <v/>
      </c>
      <c r="G502" s="24"/>
      <c r="H502" s="27" t="str">
        <f aca="false">IF(OR($C502="",G502=""),"",G502-F502)</f>
        <v/>
      </c>
      <c r="I502" s="32"/>
      <c r="J502" s="29"/>
      <c r="K502" s="29"/>
    </row>
    <row r="503" customFormat="false" ht="15" hidden="false" customHeight="false" outlineLevel="0" collapsed="false">
      <c r="A503" s="32"/>
      <c r="B503" s="29"/>
      <c r="C503" s="29"/>
      <c r="D503" s="28" t="str">
        <f aca="false">IF($C503="","",IFERROR(INDEX(المنتجات!$C$5:$C$24,MATCH($C503,المنتجات!$A$5:$A$24,0)),"كود غير موجود"))</f>
        <v/>
      </c>
      <c r="E503" s="24"/>
      <c r="F503" s="27" t="str">
        <f aca="false">IF($C503="","",N(E503)*IFERROR(INDEX(المنتجات!$G$5:$G$24,MATCH($C503,المنتجات!$A$5:$A$24,0)),0))</f>
        <v/>
      </c>
      <c r="G503" s="24"/>
      <c r="H503" s="27" t="str">
        <f aca="false">IF(OR($C503="",G503=""),"",G503-F503)</f>
        <v/>
      </c>
      <c r="I503" s="32"/>
      <c r="J503" s="29"/>
      <c r="K503" s="29"/>
    </row>
    <row r="504" customFormat="false" ht="15" hidden="false" customHeight="false" outlineLevel="0" collapsed="false">
      <c r="A504" s="32"/>
      <c r="B504" s="29"/>
      <c r="C504" s="29"/>
      <c r="D504" s="28" t="str">
        <f aca="false">IF($C504="","",IFERROR(INDEX(المنتجات!$C$5:$C$24,MATCH($C504,المنتجات!$A$5:$A$24,0)),"كود غير موجود"))</f>
        <v/>
      </c>
      <c r="E504" s="24"/>
      <c r="F504" s="27" t="str">
        <f aca="false">IF($C504="","",N(E504)*IFERROR(INDEX(المنتجات!$G$5:$G$24,MATCH($C504,المنتجات!$A$5:$A$24,0)),0))</f>
        <v/>
      </c>
      <c r="G504" s="24"/>
      <c r="H504" s="27" t="str">
        <f aca="false">IF(OR($C504="",G504=""),"",G504-F504)</f>
        <v/>
      </c>
      <c r="I504" s="32"/>
      <c r="J504" s="29"/>
      <c r="K504" s="29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C504" type="list">
      <formula1>المنتجات!$A$5:$A$24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18" t="s">
        <v>184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31.5" hidden="false" customHeight="true" outlineLevel="0" collapsed="false">
      <c r="A2" s="19" t="s">
        <v>185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customFormat="false" ht="33.75" hidden="false" customHeight="true" outlineLevel="0" collapsed="false">
      <c r="A4" s="20" t="s">
        <v>177</v>
      </c>
      <c r="B4" s="20" t="s">
        <v>186</v>
      </c>
      <c r="C4" s="20" t="s">
        <v>187</v>
      </c>
      <c r="D4" s="20" t="s">
        <v>107</v>
      </c>
      <c r="E4" s="20" t="s">
        <v>60</v>
      </c>
      <c r="F4" s="20" t="s">
        <v>38</v>
      </c>
      <c r="G4" s="20" t="s">
        <v>111</v>
      </c>
      <c r="H4" s="20" t="s">
        <v>188</v>
      </c>
      <c r="I4" s="20" t="s">
        <v>189</v>
      </c>
      <c r="J4" s="20" t="s">
        <v>190</v>
      </c>
      <c r="K4" s="20" t="s">
        <v>191</v>
      </c>
      <c r="L4" s="20" t="s">
        <v>41</v>
      </c>
      <c r="M4" s="20" t="s">
        <v>192</v>
      </c>
      <c r="N4" s="20" t="s">
        <v>72</v>
      </c>
    </row>
    <row r="5" customFormat="false" ht="15" hidden="false" customHeight="false" outlineLevel="0" collapsed="false">
      <c r="A5" s="32"/>
      <c r="B5" s="29"/>
      <c r="C5" s="29"/>
      <c r="D5" s="29"/>
      <c r="E5" s="28" t="str">
        <f aca="false">IF($D5="","",IFERROR(INDEX(المنتجات!$C$5:$C$24,MATCH($D5,المنتجات!$A$5:$A$24,0)),"كود غير موجود"))</f>
        <v/>
      </c>
      <c r="F5" s="28" t="str">
        <f aca="false">IF($D5="","",IFERROR(INDEX(المنتجات!$B$5:$B$24,MATCH($D5,المنتجات!$A$5:$A$24,0)),""))</f>
        <v/>
      </c>
      <c r="G5" s="24"/>
      <c r="H5" s="25" t="str">
        <f aca="false">IF($D5="","",IFERROR(INDEX(المنتجات!$F$5:$F$24,MATCH($D5,المنتجات!$A$5:$A$24,0)),0))</f>
        <v/>
      </c>
      <c r="I5" s="30"/>
      <c r="J5" s="25" t="str">
        <f aca="false">IF($D5="","",N(G5)*H5-N(I5))</f>
        <v/>
      </c>
      <c r="K5" s="25" t="str">
        <f aca="false">IF($D5="","",N(G5)*IFERROR(INDEX(المنتجات!$H$5:$H$24,MATCH($D5,المنتجات!$A$5:$A$24,0)),0))</f>
        <v/>
      </c>
      <c r="L5" s="25" t="str">
        <f aca="false">IF($D5="","",J5-K5)</f>
        <v/>
      </c>
      <c r="M5" s="29"/>
      <c r="N5" s="29"/>
    </row>
    <row r="6" customFormat="false" ht="15" hidden="false" customHeight="false" outlineLevel="0" collapsed="false">
      <c r="A6" s="32"/>
      <c r="B6" s="29"/>
      <c r="C6" s="29"/>
      <c r="D6" s="29"/>
      <c r="E6" s="28" t="str">
        <f aca="false">IF($D6="","",IFERROR(INDEX(المنتجات!$C$5:$C$24,MATCH($D6,المنتجات!$A$5:$A$24,0)),"كود غير موجود"))</f>
        <v/>
      </c>
      <c r="F6" s="28" t="str">
        <f aca="false">IF($D6="","",IFERROR(INDEX(المنتجات!$B$5:$B$24,MATCH($D6,المنتجات!$A$5:$A$24,0)),""))</f>
        <v/>
      </c>
      <c r="G6" s="24"/>
      <c r="H6" s="25" t="str">
        <f aca="false">IF($D6="","",IFERROR(INDEX(المنتجات!$F$5:$F$24,MATCH($D6,المنتجات!$A$5:$A$24,0)),0))</f>
        <v/>
      </c>
      <c r="I6" s="30"/>
      <c r="J6" s="25" t="str">
        <f aca="false">IF($D6="","",N(G6)*H6-N(I6))</f>
        <v/>
      </c>
      <c r="K6" s="25" t="str">
        <f aca="false">IF($D6="","",N(G6)*IFERROR(INDEX(المنتجات!$H$5:$H$24,MATCH($D6,المنتجات!$A$5:$A$24,0)),0))</f>
        <v/>
      </c>
      <c r="L6" s="25" t="str">
        <f aca="false">IF($D6="","",J6-K6)</f>
        <v/>
      </c>
      <c r="M6" s="29"/>
      <c r="N6" s="29"/>
    </row>
    <row r="7" customFormat="false" ht="15" hidden="false" customHeight="false" outlineLevel="0" collapsed="false">
      <c r="A7" s="32"/>
      <c r="B7" s="29"/>
      <c r="C7" s="29"/>
      <c r="D7" s="29"/>
      <c r="E7" s="28" t="str">
        <f aca="false">IF($D7="","",IFERROR(INDEX(المنتجات!$C$5:$C$24,MATCH($D7,المنتجات!$A$5:$A$24,0)),"كود غير موجود"))</f>
        <v/>
      </c>
      <c r="F7" s="28" t="str">
        <f aca="false">IF($D7="","",IFERROR(INDEX(المنتجات!$B$5:$B$24,MATCH($D7,المنتجات!$A$5:$A$24,0)),""))</f>
        <v/>
      </c>
      <c r="G7" s="24"/>
      <c r="H7" s="25" t="str">
        <f aca="false">IF($D7="","",IFERROR(INDEX(المنتجات!$F$5:$F$24,MATCH($D7,المنتجات!$A$5:$A$24,0)),0))</f>
        <v/>
      </c>
      <c r="I7" s="30"/>
      <c r="J7" s="25" t="str">
        <f aca="false">IF($D7="","",N(G7)*H7-N(I7))</f>
        <v/>
      </c>
      <c r="K7" s="25" t="str">
        <f aca="false">IF($D7="","",N(G7)*IFERROR(INDEX(المنتجات!$H$5:$H$24,MATCH($D7,المنتجات!$A$5:$A$24,0)),0))</f>
        <v/>
      </c>
      <c r="L7" s="25" t="str">
        <f aca="false">IF($D7="","",J7-K7)</f>
        <v/>
      </c>
      <c r="M7" s="29"/>
      <c r="N7" s="29"/>
    </row>
    <row r="8" customFormat="false" ht="15" hidden="false" customHeight="false" outlineLevel="0" collapsed="false">
      <c r="A8" s="32"/>
      <c r="B8" s="29"/>
      <c r="C8" s="29"/>
      <c r="D8" s="29"/>
      <c r="E8" s="28" t="str">
        <f aca="false">IF($D8="","",IFERROR(INDEX(المنتجات!$C$5:$C$24,MATCH($D8,المنتجات!$A$5:$A$24,0)),"كود غير موجود"))</f>
        <v/>
      </c>
      <c r="F8" s="28" t="str">
        <f aca="false">IF($D8="","",IFERROR(INDEX(المنتجات!$B$5:$B$24,MATCH($D8,المنتجات!$A$5:$A$24,0)),""))</f>
        <v/>
      </c>
      <c r="G8" s="24"/>
      <c r="H8" s="25" t="str">
        <f aca="false">IF($D8="","",IFERROR(INDEX(المنتجات!$F$5:$F$24,MATCH($D8,المنتجات!$A$5:$A$24,0)),0))</f>
        <v/>
      </c>
      <c r="I8" s="30"/>
      <c r="J8" s="25" t="str">
        <f aca="false">IF($D8="","",N(G8)*H8-N(I8))</f>
        <v/>
      </c>
      <c r="K8" s="25" t="str">
        <f aca="false">IF($D8="","",N(G8)*IFERROR(INDEX(المنتجات!$H$5:$H$24,MATCH($D8,المنتجات!$A$5:$A$24,0)),0))</f>
        <v/>
      </c>
      <c r="L8" s="25" t="str">
        <f aca="false">IF($D8="","",J8-K8)</f>
        <v/>
      </c>
      <c r="M8" s="29"/>
      <c r="N8" s="29"/>
    </row>
    <row r="9" customFormat="false" ht="15" hidden="false" customHeight="false" outlineLevel="0" collapsed="false">
      <c r="A9" s="32"/>
      <c r="B9" s="29"/>
      <c r="C9" s="29"/>
      <c r="D9" s="29"/>
      <c r="E9" s="28" t="str">
        <f aca="false">IF($D9="","",IFERROR(INDEX(المنتجات!$C$5:$C$24,MATCH($D9,المنتجات!$A$5:$A$24,0)),"كود غير موجود"))</f>
        <v/>
      </c>
      <c r="F9" s="28" t="str">
        <f aca="false">IF($D9="","",IFERROR(INDEX(المنتجات!$B$5:$B$24,MATCH($D9,المنتجات!$A$5:$A$24,0)),""))</f>
        <v/>
      </c>
      <c r="G9" s="24"/>
      <c r="H9" s="25" t="str">
        <f aca="false">IF($D9="","",IFERROR(INDEX(المنتجات!$F$5:$F$24,MATCH($D9,المنتجات!$A$5:$A$24,0)),0))</f>
        <v/>
      </c>
      <c r="I9" s="30"/>
      <c r="J9" s="25" t="str">
        <f aca="false">IF($D9="","",N(G9)*H9-N(I9))</f>
        <v/>
      </c>
      <c r="K9" s="25" t="str">
        <f aca="false">IF($D9="","",N(G9)*IFERROR(INDEX(المنتجات!$H$5:$H$24,MATCH($D9,المنتجات!$A$5:$A$24,0)),0))</f>
        <v/>
      </c>
      <c r="L9" s="25" t="str">
        <f aca="false">IF($D9="","",J9-K9)</f>
        <v/>
      </c>
      <c r="M9" s="29"/>
      <c r="N9" s="29"/>
    </row>
    <row r="10" customFormat="false" ht="15" hidden="false" customHeight="false" outlineLevel="0" collapsed="false">
      <c r="A10" s="32"/>
      <c r="B10" s="29"/>
      <c r="C10" s="29"/>
      <c r="D10" s="29"/>
      <c r="E10" s="28" t="str">
        <f aca="false">IF($D10="","",IFERROR(INDEX(المنتجات!$C$5:$C$24,MATCH($D10,المنتجات!$A$5:$A$24,0)),"كود غير موجود"))</f>
        <v/>
      </c>
      <c r="F10" s="28" t="str">
        <f aca="false">IF($D10="","",IFERROR(INDEX(المنتجات!$B$5:$B$24,MATCH($D10,المنتجات!$A$5:$A$24,0)),""))</f>
        <v/>
      </c>
      <c r="G10" s="24"/>
      <c r="H10" s="25" t="str">
        <f aca="false">IF($D10="","",IFERROR(INDEX(المنتجات!$F$5:$F$24,MATCH($D10,المنتجات!$A$5:$A$24,0)),0))</f>
        <v/>
      </c>
      <c r="I10" s="30"/>
      <c r="J10" s="25" t="str">
        <f aca="false">IF($D10="","",N(G10)*H10-N(I10))</f>
        <v/>
      </c>
      <c r="K10" s="25" t="str">
        <f aca="false">IF($D10="","",N(G10)*IFERROR(INDEX(المنتجات!$H$5:$H$24,MATCH($D10,المنتجات!$A$5:$A$24,0)),0))</f>
        <v/>
      </c>
      <c r="L10" s="25" t="str">
        <f aca="false">IF($D10="","",J10-K10)</f>
        <v/>
      </c>
      <c r="M10" s="29"/>
      <c r="N10" s="29"/>
    </row>
    <row r="11" customFormat="false" ht="15" hidden="false" customHeight="false" outlineLevel="0" collapsed="false">
      <c r="A11" s="32"/>
      <c r="B11" s="29"/>
      <c r="C11" s="29"/>
      <c r="D11" s="29"/>
      <c r="E11" s="28" t="str">
        <f aca="false">IF($D11="","",IFERROR(INDEX(المنتجات!$C$5:$C$24,MATCH($D11,المنتجات!$A$5:$A$24,0)),"كود غير موجود"))</f>
        <v/>
      </c>
      <c r="F11" s="28" t="str">
        <f aca="false">IF($D11="","",IFERROR(INDEX(المنتجات!$B$5:$B$24,MATCH($D11,المنتجات!$A$5:$A$24,0)),""))</f>
        <v/>
      </c>
      <c r="G11" s="24"/>
      <c r="H11" s="25" t="str">
        <f aca="false">IF($D11="","",IFERROR(INDEX(المنتجات!$F$5:$F$24,MATCH($D11,المنتجات!$A$5:$A$24,0)),0))</f>
        <v/>
      </c>
      <c r="I11" s="30"/>
      <c r="J11" s="25" t="str">
        <f aca="false">IF($D11="","",N(G11)*H11-N(I11))</f>
        <v/>
      </c>
      <c r="K11" s="25" t="str">
        <f aca="false">IF($D11="","",N(G11)*IFERROR(INDEX(المنتجات!$H$5:$H$24,MATCH($D11,المنتجات!$A$5:$A$24,0)),0))</f>
        <v/>
      </c>
      <c r="L11" s="25" t="str">
        <f aca="false">IF($D11="","",J11-K11)</f>
        <v/>
      </c>
      <c r="M11" s="29"/>
      <c r="N11" s="29"/>
    </row>
    <row r="12" customFormat="false" ht="15" hidden="false" customHeight="false" outlineLevel="0" collapsed="false">
      <c r="A12" s="32"/>
      <c r="B12" s="29"/>
      <c r="C12" s="29"/>
      <c r="D12" s="29"/>
      <c r="E12" s="28" t="str">
        <f aca="false">IF($D12="","",IFERROR(INDEX(المنتجات!$C$5:$C$24,MATCH($D12,المنتجات!$A$5:$A$24,0)),"كود غير موجود"))</f>
        <v/>
      </c>
      <c r="F12" s="28" t="str">
        <f aca="false">IF($D12="","",IFERROR(INDEX(المنتجات!$B$5:$B$24,MATCH($D12,المنتجات!$A$5:$A$24,0)),""))</f>
        <v/>
      </c>
      <c r="G12" s="24"/>
      <c r="H12" s="25" t="str">
        <f aca="false">IF($D12="","",IFERROR(INDEX(المنتجات!$F$5:$F$24,MATCH($D12,المنتجات!$A$5:$A$24,0)),0))</f>
        <v/>
      </c>
      <c r="I12" s="30"/>
      <c r="J12" s="25" t="str">
        <f aca="false">IF($D12="","",N(G12)*H12-N(I12))</f>
        <v/>
      </c>
      <c r="K12" s="25" t="str">
        <f aca="false">IF($D12="","",N(G12)*IFERROR(INDEX(المنتجات!$H$5:$H$24,MATCH($D12,المنتجات!$A$5:$A$24,0)),0))</f>
        <v/>
      </c>
      <c r="L12" s="25" t="str">
        <f aca="false">IF($D12="","",J12-K12)</f>
        <v/>
      </c>
      <c r="M12" s="29"/>
      <c r="N12" s="29"/>
    </row>
    <row r="13" customFormat="false" ht="15" hidden="false" customHeight="false" outlineLevel="0" collapsed="false">
      <c r="A13" s="32"/>
      <c r="B13" s="29"/>
      <c r="C13" s="29"/>
      <c r="D13" s="29"/>
      <c r="E13" s="28" t="str">
        <f aca="false">IF($D13="","",IFERROR(INDEX(المنتجات!$C$5:$C$24,MATCH($D13,المنتجات!$A$5:$A$24,0)),"كود غير موجود"))</f>
        <v/>
      </c>
      <c r="F13" s="28" t="str">
        <f aca="false">IF($D13="","",IFERROR(INDEX(المنتجات!$B$5:$B$24,MATCH($D13,المنتجات!$A$5:$A$24,0)),""))</f>
        <v/>
      </c>
      <c r="G13" s="24"/>
      <c r="H13" s="25" t="str">
        <f aca="false">IF($D13="","",IFERROR(INDEX(المنتجات!$F$5:$F$24,MATCH($D13,المنتجات!$A$5:$A$24,0)),0))</f>
        <v/>
      </c>
      <c r="I13" s="30"/>
      <c r="J13" s="25" t="str">
        <f aca="false">IF($D13="","",N(G13)*H13-N(I13))</f>
        <v/>
      </c>
      <c r="K13" s="25" t="str">
        <f aca="false">IF($D13="","",N(G13)*IFERROR(INDEX(المنتجات!$H$5:$H$24,MATCH($D13,المنتجات!$A$5:$A$24,0)),0))</f>
        <v/>
      </c>
      <c r="L13" s="25" t="str">
        <f aca="false">IF($D13="","",J13-K13)</f>
        <v/>
      </c>
      <c r="M13" s="29"/>
      <c r="N13" s="29"/>
    </row>
    <row r="14" customFormat="false" ht="15" hidden="false" customHeight="false" outlineLevel="0" collapsed="false">
      <c r="A14" s="32"/>
      <c r="B14" s="29"/>
      <c r="C14" s="29"/>
      <c r="D14" s="29"/>
      <c r="E14" s="28" t="str">
        <f aca="false">IF($D14="","",IFERROR(INDEX(المنتجات!$C$5:$C$24,MATCH($D14,المنتجات!$A$5:$A$24,0)),"كود غير موجود"))</f>
        <v/>
      </c>
      <c r="F14" s="28" t="str">
        <f aca="false">IF($D14="","",IFERROR(INDEX(المنتجات!$B$5:$B$24,MATCH($D14,المنتجات!$A$5:$A$24,0)),""))</f>
        <v/>
      </c>
      <c r="G14" s="24"/>
      <c r="H14" s="25" t="str">
        <f aca="false">IF($D14="","",IFERROR(INDEX(المنتجات!$F$5:$F$24,MATCH($D14,المنتجات!$A$5:$A$24,0)),0))</f>
        <v/>
      </c>
      <c r="I14" s="30"/>
      <c r="J14" s="25" t="str">
        <f aca="false">IF($D14="","",N(G14)*H14-N(I14))</f>
        <v/>
      </c>
      <c r="K14" s="25" t="str">
        <f aca="false">IF($D14="","",N(G14)*IFERROR(INDEX(المنتجات!$H$5:$H$24,MATCH($D14,المنتجات!$A$5:$A$24,0)),0))</f>
        <v/>
      </c>
      <c r="L14" s="25" t="str">
        <f aca="false">IF($D14="","",J14-K14)</f>
        <v/>
      </c>
      <c r="M14" s="29"/>
      <c r="N14" s="29"/>
    </row>
    <row r="15" customFormat="false" ht="15" hidden="false" customHeight="false" outlineLevel="0" collapsed="false">
      <c r="A15" s="32"/>
      <c r="B15" s="29"/>
      <c r="C15" s="29"/>
      <c r="D15" s="29"/>
      <c r="E15" s="28" t="str">
        <f aca="false">IF($D15="","",IFERROR(INDEX(المنتجات!$C$5:$C$24,MATCH($D15,المنتجات!$A$5:$A$24,0)),"كود غير موجود"))</f>
        <v/>
      </c>
      <c r="F15" s="28" t="str">
        <f aca="false">IF($D15="","",IFERROR(INDEX(المنتجات!$B$5:$B$24,MATCH($D15,المنتجات!$A$5:$A$24,0)),""))</f>
        <v/>
      </c>
      <c r="G15" s="24"/>
      <c r="H15" s="25" t="str">
        <f aca="false">IF($D15="","",IFERROR(INDEX(المنتجات!$F$5:$F$24,MATCH($D15,المنتجات!$A$5:$A$24,0)),0))</f>
        <v/>
      </c>
      <c r="I15" s="30"/>
      <c r="J15" s="25" t="str">
        <f aca="false">IF($D15="","",N(G15)*H15-N(I15))</f>
        <v/>
      </c>
      <c r="K15" s="25" t="str">
        <f aca="false">IF($D15="","",N(G15)*IFERROR(INDEX(المنتجات!$H$5:$H$24,MATCH($D15,المنتجات!$A$5:$A$24,0)),0))</f>
        <v/>
      </c>
      <c r="L15" s="25" t="str">
        <f aca="false">IF($D15="","",J15-K15)</f>
        <v/>
      </c>
      <c r="M15" s="29"/>
      <c r="N15" s="29"/>
    </row>
    <row r="16" customFormat="false" ht="15" hidden="false" customHeight="false" outlineLevel="0" collapsed="false">
      <c r="A16" s="32"/>
      <c r="B16" s="29"/>
      <c r="C16" s="29"/>
      <c r="D16" s="29"/>
      <c r="E16" s="28" t="str">
        <f aca="false">IF($D16="","",IFERROR(INDEX(المنتجات!$C$5:$C$24,MATCH($D16,المنتجات!$A$5:$A$24,0)),"كود غير موجود"))</f>
        <v/>
      </c>
      <c r="F16" s="28" t="str">
        <f aca="false">IF($D16="","",IFERROR(INDEX(المنتجات!$B$5:$B$24,MATCH($D16,المنتجات!$A$5:$A$24,0)),""))</f>
        <v/>
      </c>
      <c r="G16" s="24"/>
      <c r="H16" s="25" t="str">
        <f aca="false">IF($D16="","",IFERROR(INDEX(المنتجات!$F$5:$F$24,MATCH($D16,المنتجات!$A$5:$A$24,0)),0))</f>
        <v/>
      </c>
      <c r="I16" s="30"/>
      <c r="J16" s="25" t="str">
        <f aca="false">IF($D16="","",N(G16)*H16-N(I16))</f>
        <v/>
      </c>
      <c r="K16" s="25" t="str">
        <f aca="false">IF($D16="","",N(G16)*IFERROR(INDEX(المنتجات!$H$5:$H$24,MATCH($D16,المنتجات!$A$5:$A$24,0)),0))</f>
        <v/>
      </c>
      <c r="L16" s="25" t="str">
        <f aca="false">IF($D16="","",J16-K16)</f>
        <v/>
      </c>
      <c r="M16" s="29"/>
      <c r="N16" s="29"/>
    </row>
    <row r="17" customFormat="false" ht="15" hidden="false" customHeight="false" outlineLevel="0" collapsed="false">
      <c r="A17" s="32"/>
      <c r="B17" s="29"/>
      <c r="C17" s="29"/>
      <c r="D17" s="29"/>
      <c r="E17" s="28" t="str">
        <f aca="false">IF($D17="","",IFERROR(INDEX(المنتجات!$C$5:$C$24,MATCH($D17,المنتجات!$A$5:$A$24,0)),"كود غير موجود"))</f>
        <v/>
      </c>
      <c r="F17" s="28" t="str">
        <f aca="false">IF($D17="","",IFERROR(INDEX(المنتجات!$B$5:$B$24,MATCH($D17,المنتجات!$A$5:$A$24,0)),""))</f>
        <v/>
      </c>
      <c r="G17" s="24"/>
      <c r="H17" s="25" t="str">
        <f aca="false">IF($D17="","",IFERROR(INDEX(المنتجات!$F$5:$F$24,MATCH($D17,المنتجات!$A$5:$A$24,0)),0))</f>
        <v/>
      </c>
      <c r="I17" s="30"/>
      <c r="J17" s="25" t="str">
        <f aca="false">IF($D17="","",N(G17)*H17-N(I17))</f>
        <v/>
      </c>
      <c r="K17" s="25" t="str">
        <f aca="false">IF($D17="","",N(G17)*IFERROR(INDEX(المنتجات!$H$5:$H$24,MATCH($D17,المنتجات!$A$5:$A$24,0)),0))</f>
        <v/>
      </c>
      <c r="L17" s="25" t="str">
        <f aca="false">IF($D17="","",J17-K17)</f>
        <v/>
      </c>
      <c r="M17" s="29"/>
      <c r="N17" s="29"/>
    </row>
    <row r="18" customFormat="false" ht="15" hidden="false" customHeight="false" outlineLevel="0" collapsed="false">
      <c r="A18" s="32"/>
      <c r="B18" s="29"/>
      <c r="C18" s="29"/>
      <c r="D18" s="29"/>
      <c r="E18" s="28" t="str">
        <f aca="false">IF($D18="","",IFERROR(INDEX(المنتجات!$C$5:$C$24,MATCH($D18,المنتجات!$A$5:$A$24,0)),"كود غير موجود"))</f>
        <v/>
      </c>
      <c r="F18" s="28" t="str">
        <f aca="false">IF($D18="","",IFERROR(INDEX(المنتجات!$B$5:$B$24,MATCH($D18,المنتجات!$A$5:$A$24,0)),""))</f>
        <v/>
      </c>
      <c r="G18" s="24"/>
      <c r="H18" s="25" t="str">
        <f aca="false">IF($D18="","",IFERROR(INDEX(المنتجات!$F$5:$F$24,MATCH($D18,المنتجات!$A$5:$A$24,0)),0))</f>
        <v/>
      </c>
      <c r="I18" s="30"/>
      <c r="J18" s="25" t="str">
        <f aca="false">IF($D18="","",N(G18)*H18-N(I18))</f>
        <v/>
      </c>
      <c r="K18" s="25" t="str">
        <f aca="false">IF($D18="","",N(G18)*IFERROR(INDEX(المنتجات!$H$5:$H$24,MATCH($D18,المنتجات!$A$5:$A$24,0)),0))</f>
        <v/>
      </c>
      <c r="L18" s="25" t="str">
        <f aca="false">IF($D18="","",J18-K18)</f>
        <v/>
      </c>
      <c r="M18" s="29"/>
      <c r="N18" s="29"/>
    </row>
    <row r="19" customFormat="false" ht="15" hidden="false" customHeight="false" outlineLevel="0" collapsed="false">
      <c r="A19" s="32"/>
      <c r="B19" s="29"/>
      <c r="C19" s="29"/>
      <c r="D19" s="29"/>
      <c r="E19" s="28" t="str">
        <f aca="false">IF($D19="","",IFERROR(INDEX(المنتجات!$C$5:$C$24,MATCH($D19,المنتجات!$A$5:$A$24,0)),"كود غير موجود"))</f>
        <v/>
      </c>
      <c r="F19" s="28" t="str">
        <f aca="false">IF($D19="","",IFERROR(INDEX(المنتجات!$B$5:$B$24,MATCH($D19,المنتجات!$A$5:$A$24,0)),""))</f>
        <v/>
      </c>
      <c r="G19" s="24"/>
      <c r="H19" s="25" t="str">
        <f aca="false">IF($D19="","",IFERROR(INDEX(المنتجات!$F$5:$F$24,MATCH($D19,المنتجات!$A$5:$A$24,0)),0))</f>
        <v/>
      </c>
      <c r="I19" s="30"/>
      <c r="J19" s="25" t="str">
        <f aca="false">IF($D19="","",N(G19)*H19-N(I19))</f>
        <v/>
      </c>
      <c r="K19" s="25" t="str">
        <f aca="false">IF($D19="","",N(G19)*IFERROR(INDEX(المنتجات!$H$5:$H$24,MATCH($D19,المنتجات!$A$5:$A$24,0)),0))</f>
        <v/>
      </c>
      <c r="L19" s="25" t="str">
        <f aca="false">IF($D19="","",J19-K19)</f>
        <v/>
      </c>
      <c r="M19" s="29"/>
      <c r="N19" s="29"/>
    </row>
    <row r="20" customFormat="false" ht="15" hidden="false" customHeight="false" outlineLevel="0" collapsed="false">
      <c r="A20" s="32"/>
      <c r="B20" s="29"/>
      <c r="C20" s="29"/>
      <c r="D20" s="29"/>
      <c r="E20" s="28" t="str">
        <f aca="false">IF($D20="","",IFERROR(INDEX(المنتجات!$C$5:$C$24,MATCH($D20,المنتجات!$A$5:$A$24,0)),"كود غير موجود"))</f>
        <v/>
      </c>
      <c r="F20" s="28" t="str">
        <f aca="false">IF($D20="","",IFERROR(INDEX(المنتجات!$B$5:$B$24,MATCH($D20,المنتجات!$A$5:$A$24,0)),""))</f>
        <v/>
      </c>
      <c r="G20" s="24"/>
      <c r="H20" s="25" t="str">
        <f aca="false">IF($D20="","",IFERROR(INDEX(المنتجات!$F$5:$F$24,MATCH($D20,المنتجات!$A$5:$A$24,0)),0))</f>
        <v/>
      </c>
      <c r="I20" s="30"/>
      <c r="J20" s="25" t="str">
        <f aca="false">IF($D20="","",N(G20)*H20-N(I20))</f>
        <v/>
      </c>
      <c r="K20" s="25" t="str">
        <f aca="false">IF($D20="","",N(G20)*IFERROR(INDEX(المنتجات!$H$5:$H$24,MATCH($D20,المنتجات!$A$5:$A$24,0)),0))</f>
        <v/>
      </c>
      <c r="L20" s="25" t="str">
        <f aca="false">IF($D20="","",J20-K20)</f>
        <v/>
      </c>
      <c r="M20" s="29"/>
      <c r="N20" s="29"/>
    </row>
    <row r="21" customFormat="false" ht="15" hidden="false" customHeight="false" outlineLevel="0" collapsed="false">
      <c r="A21" s="32"/>
      <c r="B21" s="29"/>
      <c r="C21" s="29"/>
      <c r="D21" s="29"/>
      <c r="E21" s="28" t="str">
        <f aca="false">IF($D21="","",IFERROR(INDEX(المنتجات!$C$5:$C$24,MATCH($D21,المنتجات!$A$5:$A$24,0)),"كود غير موجود"))</f>
        <v/>
      </c>
      <c r="F21" s="28" t="str">
        <f aca="false">IF($D21="","",IFERROR(INDEX(المنتجات!$B$5:$B$24,MATCH($D21,المنتجات!$A$5:$A$24,0)),""))</f>
        <v/>
      </c>
      <c r="G21" s="24"/>
      <c r="H21" s="25" t="str">
        <f aca="false">IF($D21="","",IFERROR(INDEX(المنتجات!$F$5:$F$24,MATCH($D21,المنتجات!$A$5:$A$24,0)),0))</f>
        <v/>
      </c>
      <c r="I21" s="30"/>
      <c r="J21" s="25" t="str">
        <f aca="false">IF($D21="","",N(G21)*H21-N(I21))</f>
        <v/>
      </c>
      <c r="K21" s="25" t="str">
        <f aca="false">IF($D21="","",N(G21)*IFERROR(INDEX(المنتجات!$H$5:$H$24,MATCH($D21,المنتجات!$A$5:$A$24,0)),0))</f>
        <v/>
      </c>
      <c r="L21" s="25" t="str">
        <f aca="false">IF($D21="","",J21-K21)</f>
        <v/>
      </c>
      <c r="M21" s="29"/>
      <c r="N21" s="29"/>
    </row>
    <row r="22" customFormat="false" ht="15" hidden="false" customHeight="false" outlineLevel="0" collapsed="false">
      <c r="A22" s="32"/>
      <c r="B22" s="29"/>
      <c r="C22" s="29"/>
      <c r="D22" s="29"/>
      <c r="E22" s="28" t="str">
        <f aca="false">IF($D22="","",IFERROR(INDEX(المنتجات!$C$5:$C$24,MATCH($D22,المنتجات!$A$5:$A$24,0)),"كود غير موجود"))</f>
        <v/>
      </c>
      <c r="F22" s="28" t="str">
        <f aca="false">IF($D22="","",IFERROR(INDEX(المنتجات!$B$5:$B$24,MATCH($D22,المنتجات!$A$5:$A$24,0)),""))</f>
        <v/>
      </c>
      <c r="G22" s="24"/>
      <c r="H22" s="25" t="str">
        <f aca="false">IF($D22="","",IFERROR(INDEX(المنتجات!$F$5:$F$24,MATCH($D22,المنتجات!$A$5:$A$24,0)),0))</f>
        <v/>
      </c>
      <c r="I22" s="30"/>
      <c r="J22" s="25" t="str">
        <f aca="false">IF($D22="","",N(G22)*H22-N(I22))</f>
        <v/>
      </c>
      <c r="K22" s="25" t="str">
        <f aca="false">IF($D22="","",N(G22)*IFERROR(INDEX(المنتجات!$H$5:$H$24,MATCH($D22,المنتجات!$A$5:$A$24,0)),0))</f>
        <v/>
      </c>
      <c r="L22" s="25" t="str">
        <f aca="false">IF($D22="","",J22-K22)</f>
        <v/>
      </c>
      <c r="M22" s="29"/>
      <c r="N22" s="29"/>
    </row>
    <row r="23" customFormat="false" ht="15" hidden="false" customHeight="false" outlineLevel="0" collapsed="false">
      <c r="A23" s="32"/>
      <c r="B23" s="29"/>
      <c r="C23" s="29"/>
      <c r="D23" s="29"/>
      <c r="E23" s="28" t="str">
        <f aca="false">IF($D23="","",IFERROR(INDEX(المنتجات!$C$5:$C$24,MATCH($D23,المنتجات!$A$5:$A$24,0)),"كود غير موجود"))</f>
        <v/>
      </c>
      <c r="F23" s="28" t="str">
        <f aca="false">IF($D23="","",IFERROR(INDEX(المنتجات!$B$5:$B$24,MATCH($D23,المنتجات!$A$5:$A$24,0)),""))</f>
        <v/>
      </c>
      <c r="G23" s="24"/>
      <c r="H23" s="25" t="str">
        <f aca="false">IF($D23="","",IFERROR(INDEX(المنتجات!$F$5:$F$24,MATCH($D23,المنتجات!$A$5:$A$24,0)),0))</f>
        <v/>
      </c>
      <c r="I23" s="30"/>
      <c r="J23" s="25" t="str">
        <f aca="false">IF($D23="","",N(G23)*H23-N(I23))</f>
        <v/>
      </c>
      <c r="K23" s="25" t="str">
        <f aca="false">IF($D23="","",N(G23)*IFERROR(INDEX(المنتجات!$H$5:$H$24,MATCH($D23,المنتجات!$A$5:$A$24,0)),0))</f>
        <v/>
      </c>
      <c r="L23" s="25" t="str">
        <f aca="false">IF($D23="","",J23-K23)</f>
        <v/>
      </c>
      <c r="M23" s="29"/>
      <c r="N23" s="29"/>
    </row>
    <row r="24" customFormat="false" ht="15" hidden="false" customHeight="false" outlineLevel="0" collapsed="false">
      <c r="A24" s="32"/>
      <c r="B24" s="29"/>
      <c r="C24" s="29"/>
      <c r="D24" s="29"/>
      <c r="E24" s="28" t="str">
        <f aca="false">IF($D24="","",IFERROR(INDEX(المنتجات!$C$5:$C$24,MATCH($D24,المنتجات!$A$5:$A$24,0)),"كود غير موجود"))</f>
        <v/>
      </c>
      <c r="F24" s="28" t="str">
        <f aca="false">IF($D24="","",IFERROR(INDEX(المنتجات!$B$5:$B$24,MATCH($D24,المنتجات!$A$5:$A$24,0)),""))</f>
        <v/>
      </c>
      <c r="G24" s="24"/>
      <c r="H24" s="25" t="str">
        <f aca="false">IF($D24="","",IFERROR(INDEX(المنتجات!$F$5:$F$24,MATCH($D24,المنتجات!$A$5:$A$24,0)),0))</f>
        <v/>
      </c>
      <c r="I24" s="30"/>
      <c r="J24" s="25" t="str">
        <f aca="false">IF($D24="","",N(G24)*H24-N(I24))</f>
        <v/>
      </c>
      <c r="K24" s="25" t="str">
        <f aca="false">IF($D24="","",N(G24)*IFERROR(INDEX(المنتجات!$H$5:$H$24,MATCH($D24,المنتجات!$A$5:$A$24,0)),0))</f>
        <v/>
      </c>
      <c r="L24" s="25" t="str">
        <f aca="false">IF($D24="","",J24-K24)</f>
        <v/>
      </c>
      <c r="M24" s="29"/>
      <c r="N24" s="29"/>
    </row>
    <row r="25" customFormat="false" ht="15" hidden="false" customHeight="false" outlineLevel="0" collapsed="false">
      <c r="A25" s="32"/>
      <c r="B25" s="29"/>
      <c r="C25" s="29"/>
      <c r="D25" s="29"/>
      <c r="E25" s="28" t="str">
        <f aca="false">IF($D25="","",IFERROR(INDEX(المنتجات!$C$5:$C$24,MATCH($D25,المنتجات!$A$5:$A$24,0)),"كود غير موجود"))</f>
        <v/>
      </c>
      <c r="F25" s="28" t="str">
        <f aca="false">IF($D25="","",IFERROR(INDEX(المنتجات!$B$5:$B$24,MATCH($D25,المنتجات!$A$5:$A$24,0)),""))</f>
        <v/>
      </c>
      <c r="G25" s="24"/>
      <c r="H25" s="25" t="str">
        <f aca="false">IF($D25="","",IFERROR(INDEX(المنتجات!$F$5:$F$24,MATCH($D25,المنتجات!$A$5:$A$24,0)),0))</f>
        <v/>
      </c>
      <c r="I25" s="30"/>
      <c r="J25" s="25" t="str">
        <f aca="false">IF($D25="","",N(G25)*H25-N(I25))</f>
        <v/>
      </c>
      <c r="K25" s="25" t="str">
        <f aca="false">IF($D25="","",N(G25)*IFERROR(INDEX(المنتجات!$H$5:$H$24,MATCH($D25,المنتجات!$A$5:$A$24,0)),0))</f>
        <v/>
      </c>
      <c r="L25" s="25" t="str">
        <f aca="false">IF($D25="","",J25-K25)</f>
        <v/>
      </c>
      <c r="M25" s="29"/>
      <c r="N25" s="29"/>
    </row>
    <row r="26" customFormat="false" ht="15" hidden="false" customHeight="false" outlineLevel="0" collapsed="false">
      <c r="A26" s="32"/>
      <c r="B26" s="29"/>
      <c r="C26" s="29"/>
      <c r="D26" s="29"/>
      <c r="E26" s="28" t="str">
        <f aca="false">IF($D26="","",IFERROR(INDEX(المنتجات!$C$5:$C$24,MATCH($D26,المنتجات!$A$5:$A$24,0)),"كود غير موجود"))</f>
        <v/>
      </c>
      <c r="F26" s="28" t="str">
        <f aca="false">IF($D26="","",IFERROR(INDEX(المنتجات!$B$5:$B$24,MATCH($D26,المنتجات!$A$5:$A$24,0)),""))</f>
        <v/>
      </c>
      <c r="G26" s="24"/>
      <c r="H26" s="25" t="str">
        <f aca="false">IF($D26="","",IFERROR(INDEX(المنتجات!$F$5:$F$24,MATCH($D26,المنتجات!$A$5:$A$24,0)),0))</f>
        <v/>
      </c>
      <c r="I26" s="30"/>
      <c r="J26" s="25" t="str">
        <f aca="false">IF($D26="","",N(G26)*H26-N(I26))</f>
        <v/>
      </c>
      <c r="K26" s="25" t="str">
        <f aca="false">IF($D26="","",N(G26)*IFERROR(INDEX(المنتجات!$H$5:$H$24,MATCH($D26,المنتجات!$A$5:$A$24,0)),0))</f>
        <v/>
      </c>
      <c r="L26" s="25" t="str">
        <f aca="false">IF($D26="","",J26-K26)</f>
        <v/>
      </c>
      <c r="M26" s="29"/>
      <c r="N26" s="29"/>
    </row>
    <row r="27" customFormat="false" ht="15" hidden="false" customHeight="false" outlineLevel="0" collapsed="false">
      <c r="A27" s="32"/>
      <c r="B27" s="29"/>
      <c r="C27" s="29"/>
      <c r="D27" s="29"/>
      <c r="E27" s="28" t="str">
        <f aca="false">IF($D27="","",IFERROR(INDEX(المنتجات!$C$5:$C$24,MATCH($D27,المنتجات!$A$5:$A$24,0)),"كود غير موجود"))</f>
        <v/>
      </c>
      <c r="F27" s="28" t="str">
        <f aca="false">IF($D27="","",IFERROR(INDEX(المنتجات!$B$5:$B$24,MATCH($D27,المنتجات!$A$5:$A$24,0)),""))</f>
        <v/>
      </c>
      <c r="G27" s="24"/>
      <c r="H27" s="25" t="str">
        <f aca="false">IF($D27="","",IFERROR(INDEX(المنتجات!$F$5:$F$24,MATCH($D27,المنتجات!$A$5:$A$24,0)),0))</f>
        <v/>
      </c>
      <c r="I27" s="30"/>
      <c r="J27" s="25" t="str">
        <f aca="false">IF($D27="","",N(G27)*H27-N(I27))</f>
        <v/>
      </c>
      <c r="K27" s="25" t="str">
        <f aca="false">IF($D27="","",N(G27)*IFERROR(INDEX(المنتجات!$H$5:$H$24,MATCH($D27,المنتجات!$A$5:$A$24,0)),0))</f>
        <v/>
      </c>
      <c r="L27" s="25" t="str">
        <f aca="false">IF($D27="","",J27-K27)</f>
        <v/>
      </c>
      <c r="M27" s="29"/>
      <c r="N27" s="29"/>
    </row>
    <row r="28" customFormat="false" ht="15" hidden="false" customHeight="false" outlineLevel="0" collapsed="false">
      <c r="A28" s="32"/>
      <c r="B28" s="29"/>
      <c r="C28" s="29"/>
      <c r="D28" s="29"/>
      <c r="E28" s="28" t="str">
        <f aca="false">IF($D28="","",IFERROR(INDEX(المنتجات!$C$5:$C$24,MATCH($D28,المنتجات!$A$5:$A$24,0)),"كود غير موجود"))</f>
        <v/>
      </c>
      <c r="F28" s="28" t="str">
        <f aca="false">IF($D28="","",IFERROR(INDEX(المنتجات!$B$5:$B$24,MATCH($D28,المنتجات!$A$5:$A$24,0)),""))</f>
        <v/>
      </c>
      <c r="G28" s="24"/>
      <c r="H28" s="25" t="str">
        <f aca="false">IF($D28="","",IFERROR(INDEX(المنتجات!$F$5:$F$24,MATCH($D28,المنتجات!$A$5:$A$24,0)),0))</f>
        <v/>
      </c>
      <c r="I28" s="30"/>
      <c r="J28" s="25" t="str">
        <f aca="false">IF($D28="","",N(G28)*H28-N(I28))</f>
        <v/>
      </c>
      <c r="K28" s="25" t="str">
        <f aca="false">IF($D28="","",N(G28)*IFERROR(INDEX(المنتجات!$H$5:$H$24,MATCH($D28,المنتجات!$A$5:$A$24,0)),0))</f>
        <v/>
      </c>
      <c r="L28" s="25" t="str">
        <f aca="false">IF($D28="","",J28-K28)</f>
        <v/>
      </c>
      <c r="M28" s="29"/>
      <c r="N28" s="29"/>
    </row>
    <row r="29" customFormat="false" ht="15" hidden="false" customHeight="false" outlineLevel="0" collapsed="false">
      <c r="A29" s="32"/>
      <c r="B29" s="29"/>
      <c r="C29" s="29"/>
      <c r="D29" s="29"/>
      <c r="E29" s="28" t="str">
        <f aca="false">IF($D29="","",IFERROR(INDEX(المنتجات!$C$5:$C$24,MATCH($D29,المنتجات!$A$5:$A$24,0)),"كود غير موجود"))</f>
        <v/>
      </c>
      <c r="F29" s="28" t="str">
        <f aca="false">IF($D29="","",IFERROR(INDEX(المنتجات!$B$5:$B$24,MATCH($D29,المنتجات!$A$5:$A$24,0)),""))</f>
        <v/>
      </c>
      <c r="G29" s="24"/>
      <c r="H29" s="25" t="str">
        <f aca="false">IF($D29="","",IFERROR(INDEX(المنتجات!$F$5:$F$24,MATCH($D29,المنتجات!$A$5:$A$24,0)),0))</f>
        <v/>
      </c>
      <c r="I29" s="30"/>
      <c r="J29" s="25" t="str">
        <f aca="false">IF($D29="","",N(G29)*H29-N(I29))</f>
        <v/>
      </c>
      <c r="K29" s="25" t="str">
        <f aca="false">IF($D29="","",N(G29)*IFERROR(INDEX(المنتجات!$H$5:$H$24,MATCH($D29,المنتجات!$A$5:$A$24,0)),0))</f>
        <v/>
      </c>
      <c r="L29" s="25" t="str">
        <f aca="false">IF($D29="","",J29-K29)</f>
        <v/>
      </c>
      <c r="M29" s="29"/>
      <c r="N29" s="29"/>
    </row>
    <row r="30" customFormat="false" ht="15" hidden="false" customHeight="false" outlineLevel="0" collapsed="false">
      <c r="A30" s="32"/>
      <c r="B30" s="29"/>
      <c r="C30" s="29"/>
      <c r="D30" s="29"/>
      <c r="E30" s="28" t="str">
        <f aca="false">IF($D30="","",IFERROR(INDEX(المنتجات!$C$5:$C$24,MATCH($D30,المنتجات!$A$5:$A$24,0)),"كود غير موجود"))</f>
        <v/>
      </c>
      <c r="F30" s="28" t="str">
        <f aca="false">IF($D30="","",IFERROR(INDEX(المنتجات!$B$5:$B$24,MATCH($D30,المنتجات!$A$5:$A$24,0)),""))</f>
        <v/>
      </c>
      <c r="G30" s="24"/>
      <c r="H30" s="25" t="str">
        <f aca="false">IF($D30="","",IFERROR(INDEX(المنتجات!$F$5:$F$24,MATCH($D30,المنتجات!$A$5:$A$24,0)),0))</f>
        <v/>
      </c>
      <c r="I30" s="30"/>
      <c r="J30" s="25" t="str">
        <f aca="false">IF($D30="","",N(G30)*H30-N(I30))</f>
        <v/>
      </c>
      <c r="K30" s="25" t="str">
        <f aca="false">IF($D30="","",N(G30)*IFERROR(INDEX(المنتجات!$H$5:$H$24,MATCH($D30,المنتجات!$A$5:$A$24,0)),0))</f>
        <v/>
      </c>
      <c r="L30" s="25" t="str">
        <f aca="false">IF($D30="","",J30-K30)</f>
        <v/>
      </c>
      <c r="M30" s="29"/>
      <c r="N30" s="29"/>
    </row>
    <row r="31" customFormat="false" ht="15" hidden="false" customHeight="false" outlineLevel="0" collapsed="false">
      <c r="A31" s="32"/>
      <c r="B31" s="29"/>
      <c r="C31" s="29"/>
      <c r="D31" s="29"/>
      <c r="E31" s="28" t="str">
        <f aca="false">IF($D31="","",IFERROR(INDEX(المنتجات!$C$5:$C$24,MATCH($D31,المنتجات!$A$5:$A$24,0)),"كود غير موجود"))</f>
        <v/>
      </c>
      <c r="F31" s="28" t="str">
        <f aca="false">IF($D31="","",IFERROR(INDEX(المنتجات!$B$5:$B$24,MATCH($D31,المنتجات!$A$5:$A$24,0)),""))</f>
        <v/>
      </c>
      <c r="G31" s="24"/>
      <c r="H31" s="25" t="str">
        <f aca="false">IF($D31="","",IFERROR(INDEX(المنتجات!$F$5:$F$24,MATCH($D31,المنتجات!$A$5:$A$24,0)),0))</f>
        <v/>
      </c>
      <c r="I31" s="30"/>
      <c r="J31" s="25" t="str">
        <f aca="false">IF($D31="","",N(G31)*H31-N(I31))</f>
        <v/>
      </c>
      <c r="K31" s="25" t="str">
        <f aca="false">IF($D31="","",N(G31)*IFERROR(INDEX(المنتجات!$H$5:$H$24,MATCH($D31,المنتجات!$A$5:$A$24,0)),0))</f>
        <v/>
      </c>
      <c r="L31" s="25" t="str">
        <f aca="false">IF($D31="","",J31-K31)</f>
        <v/>
      </c>
      <c r="M31" s="29"/>
      <c r="N31" s="29"/>
    </row>
    <row r="32" customFormat="false" ht="15" hidden="false" customHeight="false" outlineLevel="0" collapsed="false">
      <c r="A32" s="32"/>
      <c r="B32" s="29"/>
      <c r="C32" s="29"/>
      <c r="D32" s="29"/>
      <c r="E32" s="28" t="str">
        <f aca="false">IF($D32="","",IFERROR(INDEX(المنتجات!$C$5:$C$24,MATCH($D32,المنتجات!$A$5:$A$24,0)),"كود غير موجود"))</f>
        <v/>
      </c>
      <c r="F32" s="28" t="str">
        <f aca="false">IF($D32="","",IFERROR(INDEX(المنتجات!$B$5:$B$24,MATCH($D32,المنتجات!$A$5:$A$24,0)),""))</f>
        <v/>
      </c>
      <c r="G32" s="24"/>
      <c r="H32" s="25" t="str">
        <f aca="false">IF($D32="","",IFERROR(INDEX(المنتجات!$F$5:$F$24,MATCH($D32,المنتجات!$A$5:$A$24,0)),0))</f>
        <v/>
      </c>
      <c r="I32" s="30"/>
      <c r="J32" s="25" t="str">
        <f aca="false">IF($D32="","",N(G32)*H32-N(I32))</f>
        <v/>
      </c>
      <c r="K32" s="25" t="str">
        <f aca="false">IF($D32="","",N(G32)*IFERROR(INDEX(المنتجات!$H$5:$H$24,MATCH($D32,المنتجات!$A$5:$A$24,0)),0))</f>
        <v/>
      </c>
      <c r="L32" s="25" t="str">
        <f aca="false">IF($D32="","",J32-K32)</f>
        <v/>
      </c>
      <c r="M32" s="29"/>
      <c r="N32" s="29"/>
    </row>
    <row r="33" customFormat="false" ht="15" hidden="false" customHeight="false" outlineLevel="0" collapsed="false">
      <c r="A33" s="32"/>
      <c r="B33" s="29"/>
      <c r="C33" s="29"/>
      <c r="D33" s="29"/>
      <c r="E33" s="28" t="str">
        <f aca="false">IF($D33="","",IFERROR(INDEX(المنتجات!$C$5:$C$24,MATCH($D33,المنتجات!$A$5:$A$24,0)),"كود غير موجود"))</f>
        <v/>
      </c>
      <c r="F33" s="28" t="str">
        <f aca="false">IF($D33="","",IFERROR(INDEX(المنتجات!$B$5:$B$24,MATCH($D33,المنتجات!$A$5:$A$24,0)),""))</f>
        <v/>
      </c>
      <c r="G33" s="24"/>
      <c r="H33" s="25" t="str">
        <f aca="false">IF($D33="","",IFERROR(INDEX(المنتجات!$F$5:$F$24,MATCH($D33,المنتجات!$A$5:$A$24,0)),0))</f>
        <v/>
      </c>
      <c r="I33" s="30"/>
      <c r="J33" s="25" t="str">
        <f aca="false">IF($D33="","",N(G33)*H33-N(I33))</f>
        <v/>
      </c>
      <c r="K33" s="25" t="str">
        <f aca="false">IF($D33="","",N(G33)*IFERROR(INDEX(المنتجات!$H$5:$H$24,MATCH($D33,المنتجات!$A$5:$A$24,0)),0))</f>
        <v/>
      </c>
      <c r="L33" s="25" t="str">
        <f aca="false">IF($D33="","",J33-K33)</f>
        <v/>
      </c>
      <c r="M33" s="29"/>
      <c r="N33" s="29"/>
    </row>
    <row r="34" customFormat="false" ht="15" hidden="false" customHeight="false" outlineLevel="0" collapsed="false">
      <c r="A34" s="32"/>
      <c r="B34" s="29"/>
      <c r="C34" s="29"/>
      <c r="D34" s="29"/>
      <c r="E34" s="28" t="str">
        <f aca="false">IF($D34="","",IFERROR(INDEX(المنتجات!$C$5:$C$24,MATCH($D34,المنتجات!$A$5:$A$24,0)),"كود غير موجود"))</f>
        <v/>
      </c>
      <c r="F34" s="28" t="str">
        <f aca="false">IF($D34="","",IFERROR(INDEX(المنتجات!$B$5:$B$24,MATCH($D34,المنتجات!$A$5:$A$24,0)),""))</f>
        <v/>
      </c>
      <c r="G34" s="24"/>
      <c r="H34" s="25" t="str">
        <f aca="false">IF($D34="","",IFERROR(INDEX(المنتجات!$F$5:$F$24,MATCH($D34,المنتجات!$A$5:$A$24,0)),0))</f>
        <v/>
      </c>
      <c r="I34" s="30"/>
      <c r="J34" s="25" t="str">
        <f aca="false">IF($D34="","",N(G34)*H34-N(I34))</f>
        <v/>
      </c>
      <c r="K34" s="25" t="str">
        <f aca="false">IF($D34="","",N(G34)*IFERROR(INDEX(المنتجات!$H$5:$H$24,MATCH($D34,المنتجات!$A$5:$A$24,0)),0))</f>
        <v/>
      </c>
      <c r="L34" s="25" t="str">
        <f aca="false">IF($D34="","",J34-K34)</f>
        <v/>
      </c>
      <c r="M34" s="29"/>
      <c r="N34" s="29"/>
    </row>
    <row r="35" customFormat="false" ht="15" hidden="false" customHeight="false" outlineLevel="0" collapsed="false">
      <c r="A35" s="32"/>
      <c r="B35" s="29"/>
      <c r="C35" s="29"/>
      <c r="D35" s="29"/>
      <c r="E35" s="28" t="str">
        <f aca="false">IF($D35="","",IFERROR(INDEX(المنتجات!$C$5:$C$24,MATCH($D35,المنتجات!$A$5:$A$24,0)),"كود غير موجود"))</f>
        <v/>
      </c>
      <c r="F35" s="28" t="str">
        <f aca="false">IF($D35="","",IFERROR(INDEX(المنتجات!$B$5:$B$24,MATCH($D35,المنتجات!$A$5:$A$24,0)),""))</f>
        <v/>
      </c>
      <c r="G35" s="24"/>
      <c r="H35" s="25" t="str">
        <f aca="false">IF($D35="","",IFERROR(INDEX(المنتجات!$F$5:$F$24,MATCH($D35,المنتجات!$A$5:$A$24,0)),0))</f>
        <v/>
      </c>
      <c r="I35" s="30"/>
      <c r="J35" s="25" t="str">
        <f aca="false">IF($D35="","",N(G35)*H35-N(I35))</f>
        <v/>
      </c>
      <c r="K35" s="25" t="str">
        <f aca="false">IF($D35="","",N(G35)*IFERROR(INDEX(المنتجات!$H$5:$H$24,MATCH($D35,المنتجات!$A$5:$A$24,0)),0))</f>
        <v/>
      </c>
      <c r="L35" s="25" t="str">
        <f aca="false">IF($D35="","",J35-K35)</f>
        <v/>
      </c>
      <c r="M35" s="29"/>
      <c r="N35" s="29"/>
    </row>
    <row r="36" customFormat="false" ht="15" hidden="false" customHeight="false" outlineLevel="0" collapsed="false">
      <c r="A36" s="32"/>
      <c r="B36" s="29"/>
      <c r="C36" s="29"/>
      <c r="D36" s="29"/>
      <c r="E36" s="28" t="str">
        <f aca="false">IF($D36="","",IFERROR(INDEX(المنتجات!$C$5:$C$24,MATCH($D36,المنتجات!$A$5:$A$24,0)),"كود غير موجود"))</f>
        <v/>
      </c>
      <c r="F36" s="28" t="str">
        <f aca="false">IF($D36="","",IFERROR(INDEX(المنتجات!$B$5:$B$24,MATCH($D36,المنتجات!$A$5:$A$24,0)),""))</f>
        <v/>
      </c>
      <c r="G36" s="24"/>
      <c r="H36" s="25" t="str">
        <f aca="false">IF($D36="","",IFERROR(INDEX(المنتجات!$F$5:$F$24,MATCH($D36,المنتجات!$A$5:$A$24,0)),0))</f>
        <v/>
      </c>
      <c r="I36" s="30"/>
      <c r="J36" s="25" t="str">
        <f aca="false">IF($D36="","",N(G36)*H36-N(I36))</f>
        <v/>
      </c>
      <c r="K36" s="25" t="str">
        <f aca="false">IF($D36="","",N(G36)*IFERROR(INDEX(المنتجات!$H$5:$H$24,MATCH($D36,المنتجات!$A$5:$A$24,0)),0))</f>
        <v/>
      </c>
      <c r="L36" s="25" t="str">
        <f aca="false">IF($D36="","",J36-K36)</f>
        <v/>
      </c>
      <c r="M36" s="29"/>
      <c r="N36" s="29"/>
    </row>
    <row r="37" customFormat="false" ht="15" hidden="false" customHeight="false" outlineLevel="0" collapsed="false">
      <c r="A37" s="32"/>
      <c r="B37" s="29"/>
      <c r="C37" s="29"/>
      <c r="D37" s="29"/>
      <c r="E37" s="28" t="str">
        <f aca="false">IF($D37="","",IFERROR(INDEX(المنتجات!$C$5:$C$24,MATCH($D37,المنتجات!$A$5:$A$24,0)),"كود غير موجود"))</f>
        <v/>
      </c>
      <c r="F37" s="28" t="str">
        <f aca="false">IF($D37="","",IFERROR(INDEX(المنتجات!$B$5:$B$24,MATCH($D37,المنتجات!$A$5:$A$24,0)),""))</f>
        <v/>
      </c>
      <c r="G37" s="24"/>
      <c r="H37" s="25" t="str">
        <f aca="false">IF($D37="","",IFERROR(INDEX(المنتجات!$F$5:$F$24,MATCH($D37,المنتجات!$A$5:$A$24,0)),0))</f>
        <v/>
      </c>
      <c r="I37" s="30"/>
      <c r="J37" s="25" t="str">
        <f aca="false">IF($D37="","",N(G37)*H37-N(I37))</f>
        <v/>
      </c>
      <c r="K37" s="25" t="str">
        <f aca="false">IF($D37="","",N(G37)*IFERROR(INDEX(المنتجات!$H$5:$H$24,MATCH($D37,المنتجات!$A$5:$A$24,0)),0))</f>
        <v/>
      </c>
      <c r="L37" s="25" t="str">
        <f aca="false">IF($D37="","",J37-K37)</f>
        <v/>
      </c>
      <c r="M37" s="29"/>
      <c r="N37" s="29"/>
    </row>
    <row r="38" customFormat="false" ht="15" hidden="false" customHeight="false" outlineLevel="0" collapsed="false">
      <c r="A38" s="32"/>
      <c r="B38" s="29"/>
      <c r="C38" s="29"/>
      <c r="D38" s="29"/>
      <c r="E38" s="28" t="str">
        <f aca="false">IF($D38="","",IFERROR(INDEX(المنتجات!$C$5:$C$24,MATCH($D38,المنتجات!$A$5:$A$24,0)),"كود غير موجود"))</f>
        <v/>
      </c>
      <c r="F38" s="28" t="str">
        <f aca="false">IF($D38="","",IFERROR(INDEX(المنتجات!$B$5:$B$24,MATCH($D38,المنتجات!$A$5:$A$24,0)),""))</f>
        <v/>
      </c>
      <c r="G38" s="24"/>
      <c r="H38" s="25" t="str">
        <f aca="false">IF($D38="","",IFERROR(INDEX(المنتجات!$F$5:$F$24,MATCH($D38,المنتجات!$A$5:$A$24,0)),0))</f>
        <v/>
      </c>
      <c r="I38" s="30"/>
      <c r="J38" s="25" t="str">
        <f aca="false">IF($D38="","",N(G38)*H38-N(I38))</f>
        <v/>
      </c>
      <c r="K38" s="25" t="str">
        <f aca="false">IF($D38="","",N(G38)*IFERROR(INDEX(المنتجات!$H$5:$H$24,MATCH($D38,المنتجات!$A$5:$A$24,0)),0))</f>
        <v/>
      </c>
      <c r="L38" s="25" t="str">
        <f aca="false">IF($D38="","",J38-K38)</f>
        <v/>
      </c>
      <c r="M38" s="29"/>
      <c r="N38" s="29"/>
    </row>
    <row r="39" customFormat="false" ht="15" hidden="false" customHeight="false" outlineLevel="0" collapsed="false">
      <c r="A39" s="32"/>
      <c r="B39" s="29"/>
      <c r="C39" s="29"/>
      <c r="D39" s="29"/>
      <c r="E39" s="28" t="str">
        <f aca="false">IF($D39="","",IFERROR(INDEX(المنتجات!$C$5:$C$24,MATCH($D39,المنتجات!$A$5:$A$24,0)),"كود غير موجود"))</f>
        <v/>
      </c>
      <c r="F39" s="28" t="str">
        <f aca="false">IF($D39="","",IFERROR(INDEX(المنتجات!$B$5:$B$24,MATCH($D39,المنتجات!$A$5:$A$24,0)),""))</f>
        <v/>
      </c>
      <c r="G39" s="24"/>
      <c r="H39" s="25" t="str">
        <f aca="false">IF($D39="","",IFERROR(INDEX(المنتجات!$F$5:$F$24,MATCH($D39,المنتجات!$A$5:$A$24,0)),0))</f>
        <v/>
      </c>
      <c r="I39" s="30"/>
      <c r="J39" s="25" t="str">
        <f aca="false">IF($D39="","",N(G39)*H39-N(I39))</f>
        <v/>
      </c>
      <c r="K39" s="25" t="str">
        <f aca="false">IF($D39="","",N(G39)*IFERROR(INDEX(المنتجات!$H$5:$H$24,MATCH($D39,المنتجات!$A$5:$A$24,0)),0))</f>
        <v/>
      </c>
      <c r="L39" s="25" t="str">
        <f aca="false">IF($D39="","",J39-K39)</f>
        <v/>
      </c>
      <c r="M39" s="29"/>
      <c r="N39" s="29"/>
    </row>
    <row r="40" customFormat="false" ht="15" hidden="false" customHeight="false" outlineLevel="0" collapsed="false">
      <c r="A40" s="32"/>
      <c r="B40" s="29"/>
      <c r="C40" s="29"/>
      <c r="D40" s="29"/>
      <c r="E40" s="28" t="str">
        <f aca="false">IF($D40="","",IFERROR(INDEX(المنتجات!$C$5:$C$24,MATCH($D40,المنتجات!$A$5:$A$24,0)),"كود غير موجود"))</f>
        <v/>
      </c>
      <c r="F40" s="28" t="str">
        <f aca="false">IF($D40="","",IFERROR(INDEX(المنتجات!$B$5:$B$24,MATCH($D40,المنتجات!$A$5:$A$24,0)),""))</f>
        <v/>
      </c>
      <c r="G40" s="24"/>
      <c r="H40" s="25" t="str">
        <f aca="false">IF($D40="","",IFERROR(INDEX(المنتجات!$F$5:$F$24,MATCH($D40,المنتجات!$A$5:$A$24,0)),0))</f>
        <v/>
      </c>
      <c r="I40" s="30"/>
      <c r="J40" s="25" t="str">
        <f aca="false">IF($D40="","",N(G40)*H40-N(I40))</f>
        <v/>
      </c>
      <c r="K40" s="25" t="str">
        <f aca="false">IF($D40="","",N(G40)*IFERROR(INDEX(المنتجات!$H$5:$H$24,MATCH($D40,المنتجات!$A$5:$A$24,0)),0))</f>
        <v/>
      </c>
      <c r="L40" s="25" t="str">
        <f aca="false">IF($D40="","",J40-K40)</f>
        <v/>
      </c>
      <c r="M40" s="29"/>
      <c r="N40" s="29"/>
    </row>
    <row r="41" customFormat="false" ht="15" hidden="false" customHeight="false" outlineLevel="0" collapsed="false">
      <c r="A41" s="32"/>
      <c r="B41" s="29"/>
      <c r="C41" s="29"/>
      <c r="D41" s="29"/>
      <c r="E41" s="28" t="str">
        <f aca="false">IF($D41="","",IFERROR(INDEX(المنتجات!$C$5:$C$24,MATCH($D41,المنتجات!$A$5:$A$24,0)),"كود غير موجود"))</f>
        <v/>
      </c>
      <c r="F41" s="28" t="str">
        <f aca="false">IF($D41="","",IFERROR(INDEX(المنتجات!$B$5:$B$24,MATCH($D41,المنتجات!$A$5:$A$24,0)),""))</f>
        <v/>
      </c>
      <c r="G41" s="24"/>
      <c r="H41" s="25" t="str">
        <f aca="false">IF($D41="","",IFERROR(INDEX(المنتجات!$F$5:$F$24,MATCH($D41,المنتجات!$A$5:$A$24,0)),0))</f>
        <v/>
      </c>
      <c r="I41" s="30"/>
      <c r="J41" s="25" t="str">
        <f aca="false">IF($D41="","",N(G41)*H41-N(I41))</f>
        <v/>
      </c>
      <c r="K41" s="25" t="str">
        <f aca="false">IF($D41="","",N(G41)*IFERROR(INDEX(المنتجات!$H$5:$H$24,MATCH($D41,المنتجات!$A$5:$A$24,0)),0))</f>
        <v/>
      </c>
      <c r="L41" s="25" t="str">
        <f aca="false">IF($D41="","",J41-K41)</f>
        <v/>
      </c>
      <c r="M41" s="29"/>
      <c r="N41" s="29"/>
    </row>
    <row r="42" customFormat="false" ht="15" hidden="false" customHeight="false" outlineLevel="0" collapsed="false">
      <c r="A42" s="32"/>
      <c r="B42" s="29"/>
      <c r="C42" s="29"/>
      <c r="D42" s="29"/>
      <c r="E42" s="28" t="str">
        <f aca="false">IF($D42="","",IFERROR(INDEX(المنتجات!$C$5:$C$24,MATCH($D42,المنتجات!$A$5:$A$24,0)),"كود غير موجود"))</f>
        <v/>
      </c>
      <c r="F42" s="28" t="str">
        <f aca="false">IF($D42="","",IFERROR(INDEX(المنتجات!$B$5:$B$24,MATCH($D42,المنتجات!$A$5:$A$24,0)),""))</f>
        <v/>
      </c>
      <c r="G42" s="24"/>
      <c r="H42" s="25" t="str">
        <f aca="false">IF($D42="","",IFERROR(INDEX(المنتجات!$F$5:$F$24,MATCH($D42,المنتجات!$A$5:$A$24,0)),0))</f>
        <v/>
      </c>
      <c r="I42" s="30"/>
      <c r="J42" s="25" t="str">
        <f aca="false">IF($D42="","",N(G42)*H42-N(I42))</f>
        <v/>
      </c>
      <c r="K42" s="25" t="str">
        <f aca="false">IF($D42="","",N(G42)*IFERROR(INDEX(المنتجات!$H$5:$H$24,MATCH($D42,المنتجات!$A$5:$A$24,0)),0))</f>
        <v/>
      </c>
      <c r="L42" s="25" t="str">
        <f aca="false">IF($D42="","",J42-K42)</f>
        <v/>
      </c>
      <c r="M42" s="29"/>
      <c r="N42" s="29"/>
    </row>
    <row r="43" customFormat="false" ht="15" hidden="false" customHeight="false" outlineLevel="0" collapsed="false">
      <c r="A43" s="32"/>
      <c r="B43" s="29"/>
      <c r="C43" s="29"/>
      <c r="D43" s="29"/>
      <c r="E43" s="28" t="str">
        <f aca="false">IF($D43="","",IFERROR(INDEX(المنتجات!$C$5:$C$24,MATCH($D43,المنتجات!$A$5:$A$24,0)),"كود غير موجود"))</f>
        <v/>
      </c>
      <c r="F43" s="28" t="str">
        <f aca="false">IF($D43="","",IFERROR(INDEX(المنتجات!$B$5:$B$24,MATCH($D43,المنتجات!$A$5:$A$24,0)),""))</f>
        <v/>
      </c>
      <c r="G43" s="24"/>
      <c r="H43" s="25" t="str">
        <f aca="false">IF($D43="","",IFERROR(INDEX(المنتجات!$F$5:$F$24,MATCH($D43,المنتجات!$A$5:$A$24,0)),0))</f>
        <v/>
      </c>
      <c r="I43" s="30"/>
      <c r="J43" s="25" t="str">
        <f aca="false">IF($D43="","",N(G43)*H43-N(I43))</f>
        <v/>
      </c>
      <c r="K43" s="25" t="str">
        <f aca="false">IF($D43="","",N(G43)*IFERROR(INDEX(المنتجات!$H$5:$H$24,MATCH($D43,المنتجات!$A$5:$A$24,0)),0))</f>
        <v/>
      </c>
      <c r="L43" s="25" t="str">
        <f aca="false">IF($D43="","",J43-K43)</f>
        <v/>
      </c>
      <c r="M43" s="29"/>
      <c r="N43" s="29"/>
    </row>
    <row r="44" customFormat="false" ht="15" hidden="false" customHeight="false" outlineLevel="0" collapsed="false">
      <c r="A44" s="32"/>
      <c r="B44" s="29"/>
      <c r="C44" s="29"/>
      <c r="D44" s="29"/>
      <c r="E44" s="28" t="str">
        <f aca="false">IF($D44="","",IFERROR(INDEX(المنتجات!$C$5:$C$24,MATCH($D44,المنتجات!$A$5:$A$24,0)),"كود غير موجود"))</f>
        <v/>
      </c>
      <c r="F44" s="28" t="str">
        <f aca="false">IF($D44="","",IFERROR(INDEX(المنتجات!$B$5:$B$24,MATCH($D44,المنتجات!$A$5:$A$24,0)),""))</f>
        <v/>
      </c>
      <c r="G44" s="24"/>
      <c r="H44" s="25" t="str">
        <f aca="false">IF($D44="","",IFERROR(INDEX(المنتجات!$F$5:$F$24,MATCH($D44,المنتجات!$A$5:$A$24,0)),0))</f>
        <v/>
      </c>
      <c r="I44" s="30"/>
      <c r="J44" s="25" t="str">
        <f aca="false">IF($D44="","",N(G44)*H44-N(I44))</f>
        <v/>
      </c>
      <c r="K44" s="25" t="str">
        <f aca="false">IF($D44="","",N(G44)*IFERROR(INDEX(المنتجات!$H$5:$H$24,MATCH($D44,المنتجات!$A$5:$A$24,0)),0))</f>
        <v/>
      </c>
      <c r="L44" s="25" t="str">
        <f aca="false">IF($D44="","",J44-K44)</f>
        <v/>
      </c>
      <c r="M44" s="29"/>
      <c r="N44" s="29"/>
    </row>
    <row r="45" customFormat="false" ht="15" hidden="false" customHeight="false" outlineLevel="0" collapsed="false">
      <c r="A45" s="32"/>
      <c r="B45" s="29"/>
      <c r="C45" s="29"/>
      <c r="D45" s="29"/>
      <c r="E45" s="28" t="str">
        <f aca="false">IF($D45="","",IFERROR(INDEX(المنتجات!$C$5:$C$24,MATCH($D45,المنتجات!$A$5:$A$24,0)),"كود غير موجود"))</f>
        <v/>
      </c>
      <c r="F45" s="28" t="str">
        <f aca="false">IF($D45="","",IFERROR(INDEX(المنتجات!$B$5:$B$24,MATCH($D45,المنتجات!$A$5:$A$24,0)),""))</f>
        <v/>
      </c>
      <c r="G45" s="24"/>
      <c r="H45" s="25" t="str">
        <f aca="false">IF($D45="","",IFERROR(INDEX(المنتجات!$F$5:$F$24,MATCH($D45,المنتجات!$A$5:$A$24,0)),0))</f>
        <v/>
      </c>
      <c r="I45" s="30"/>
      <c r="J45" s="25" t="str">
        <f aca="false">IF($D45="","",N(G45)*H45-N(I45))</f>
        <v/>
      </c>
      <c r="K45" s="25" t="str">
        <f aca="false">IF($D45="","",N(G45)*IFERROR(INDEX(المنتجات!$H$5:$H$24,MATCH($D45,المنتجات!$A$5:$A$24,0)),0))</f>
        <v/>
      </c>
      <c r="L45" s="25" t="str">
        <f aca="false">IF($D45="","",J45-K45)</f>
        <v/>
      </c>
      <c r="M45" s="29"/>
      <c r="N45" s="29"/>
    </row>
    <row r="46" customFormat="false" ht="15" hidden="false" customHeight="false" outlineLevel="0" collapsed="false">
      <c r="A46" s="32"/>
      <c r="B46" s="29"/>
      <c r="C46" s="29"/>
      <c r="D46" s="29"/>
      <c r="E46" s="28" t="str">
        <f aca="false">IF($D46="","",IFERROR(INDEX(المنتجات!$C$5:$C$24,MATCH($D46,المنتجات!$A$5:$A$24,0)),"كود غير موجود"))</f>
        <v/>
      </c>
      <c r="F46" s="28" t="str">
        <f aca="false">IF($D46="","",IFERROR(INDEX(المنتجات!$B$5:$B$24,MATCH($D46,المنتجات!$A$5:$A$24,0)),""))</f>
        <v/>
      </c>
      <c r="G46" s="24"/>
      <c r="H46" s="25" t="str">
        <f aca="false">IF($D46="","",IFERROR(INDEX(المنتجات!$F$5:$F$24,MATCH($D46,المنتجات!$A$5:$A$24,0)),0))</f>
        <v/>
      </c>
      <c r="I46" s="30"/>
      <c r="J46" s="25" t="str">
        <f aca="false">IF($D46="","",N(G46)*H46-N(I46))</f>
        <v/>
      </c>
      <c r="K46" s="25" t="str">
        <f aca="false">IF($D46="","",N(G46)*IFERROR(INDEX(المنتجات!$H$5:$H$24,MATCH($D46,المنتجات!$A$5:$A$24,0)),0))</f>
        <v/>
      </c>
      <c r="L46" s="25" t="str">
        <f aca="false">IF($D46="","",J46-K46)</f>
        <v/>
      </c>
      <c r="M46" s="29"/>
      <c r="N46" s="29"/>
    </row>
    <row r="47" customFormat="false" ht="15" hidden="false" customHeight="false" outlineLevel="0" collapsed="false">
      <c r="A47" s="32"/>
      <c r="B47" s="29"/>
      <c r="C47" s="29"/>
      <c r="D47" s="29"/>
      <c r="E47" s="28" t="str">
        <f aca="false">IF($D47="","",IFERROR(INDEX(المنتجات!$C$5:$C$24,MATCH($D47,المنتجات!$A$5:$A$24,0)),"كود غير موجود"))</f>
        <v/>
      </c>
      <c r="F47" s="28" t="str">
        <f aca="false">IF($D47="","",IFERROR(INDEX(المنتجات!$B$5:$B$24,MATCH($D47,المنتجات!$A$5:$A$24,0)),""))</f>
        <v/>
      </c>
      <c r="G47" s="24"/>
      <c r="H47" s="25" t="str">
        <f aca="false">IF($D47="","",IFERROR(INDEX(المنتجات!$F$5:$F$24,MATCH($D47,المنتجات!$A$5:$A$24,0)),0))</f>
        <v/>
      </c>
      <c r="I47" s="30"/>
      <c r="J47" s="25" t="str">
        <f aca="false">IF($D47="","",N(G47)*H47-N(I47))</f>
        <v/>
      </c>
      <c r="K47" s="25" t="str">
        <f aca="false">IF($D47="","",N(G47)*IFERROR(INDEX(المنتجات!$H$5:$H$24,MATCH($D47,المنتجات!$A$5:$A$24,0)),0))</f>
        <v/>
      </c>
      <c r="L47" s="25" t="str">
        <f aca="false">IF($D47="","",J47-K47)</f>
        <v/>
      </c>
      <c r="M47" s="29"/>
      <c r="N47" s="29"/>
    </row>
    <row r="48" customFormat="false" ht="15" hidden="false" customHeight="false" outlineLevel="0" collapsed="false">
      <c r="A48" s="32"/>
      <c r="B48" s="29"/>
      <c r="C48" s="29"/>
      <c r="D48" s="29"/>
      <c r="E48" s="28" t="str">
        <f aca="false">IF($D48="","",IFERROR(INDEX(المنتجات!$C$5:$C$24,MATCH($D48,المنتجات!$A$5:$A$24,0)),"كود غير موجود"))</f>
        <v/>
      </c>
      <c r="F48" s="28" t="str">
        <f aca="false">IF($D48="","",IFERROR(INDEX(المنتجات!$B$5:$B$24,MATCH($D48,المنتجات!$A$5:$A$24,0)),""))</f>
        <v/>
      </c>
      <c r="G48" s="24"/>
      <c r="H48" s="25" t="str">
        <f aca="false">IF($D48="","",IFERROR(INDEX(المنتجات!$F$5:$F$24,MATCH($D48,المنتجات!$A$5:$A$24,0)),0))</f>
        <v/>
      </c>
      <c r="I48" s="30"/>
      <c r="J48" s="25" t="str">
        <f aca="false">IF($D48="","",N(G48)*H48-N(I48))</f>
        <v/>
      </c>
      <c r="K48" s="25" t="str">
        <f aca="false">IF($D48="","",N(G48)*IFERROR(INDEX(المنتجات!$H$5:$H$24,MATCH($D48,المنتجات!$A$5:$A$24,0)),0))</f>
        <v/>
      </c>
      <c r="L48" s="25" t="str">
        <f aca="false">IF($D48="","",J48-K48)</f>
        <v/>
      </c>
      <c r="M48" s="29"/>
      <c r="N48" s="29"/>
    </row>
    <row r="49" customFormat="false" ht="15" hidden="false" customHeight="false" outlineLevel="0" collapsed="false">
      <c r="A49" s="32"/>
      <c r="B49" s="29"/>
      <c r="C49" s="29"/>
      <c r="D49" s="29"/>
      <c r="E49" s="28" t="str">
        <f aca="false">IF($D49="","",IFERROR(INDEX(المنتجات!$C$5:$C$24,MATCH($D49,المنتجات!$A$5:$A$24,0)),"كود غير موجود"))</f>
        <v/>
      </c>
      <c r="F49" s="28" t="str">
        <f aca="false">IF($D49="","",IFERROR(INDEX(المنتجات!$B$5:$B$24,MATCH($D49,المنتجات!$A$5:$A$24,0)),""))</f>
        <v/>
      </c>
      <c r="G49" s="24"/>
      <c r="H49" s="25" t="str">
        <f aca="false">IF($D49="","",IFERROR(INDEX(المنتجات!$F$5:$F$24,MATCH($D49,المنتجات!$A$5:$A$24,0)),0))</f>
        <v/>
      </c>
      <c r="I49" s="30"/>
      <c r="J49" s="25" t="str">
        <f aca="false">IF($D49="","",N(G49)*H49-N(I49))</f>
        <v/>
      </c>
      <c r="K49" s="25" t="str">
        <f aca="false">IF($D49="","",N(G49)*IFERROR(INDEX(المنتجات!$H$5:$H$24,MATCH($D49,المنتجات!$A$5:$A$24,0)),0))</f>
        <v/>
      </c>
      <c r="L49" s="25" t="str">
        <f aca="false">IF($D49="","",J49-K49)</f>
        <v/>
      </c>
      <c r="M49" s="29"/>
      <c r="N49" s="29"/>
    </row>
    <row r="50" customFormat="false" ht="15" hidden="false" customHeight="false" outlineLevel="0" collapsed="false">
      <c r="A50" s="32"/>
      <c r="B50" s="29"/>
      <c r="C50" s="29"/>
      <c r="D50" s="29"/>
      <c r="E50" s="28" t="str">
        <f aca="false">IF($D50="","",IFERROR(INDEX(المنتجات!$C$5:$C$24,MATCH($D50,المنتجات!$A$5:$A$24,0)),"كود غير موجود"))</f>
        <v/>
      </c>
      <c r="F50" s="28" t="str">
        <f aca="false">IF($D50="","",IFERROR(INDEX(المنتجات!$B$5:$B$24,MATCH($D50,المنتجات!$A$5:$A$24,0)),""))</f>
        <v/>
      </c>
      <c r="G50" s="24"/>
      <c r="H50" s="25" t="str">
        <f aca="false">IF($D50="","",IFERROR(INDEX(المنتجات!$F$5:$F$24,MATCH($D50,المنتجات!$A$5:$A$24,0)),0))</f>
        <v/>
      </c>
      <c r="I50" s="30"/>
      <c r="J50" s="25" t="str">
        <f aca="false">IF($D50="","",N(G50)*H50-N(I50))</f>
        <v/>
      </c>
      <c r="K50" s="25" t="str">
        <f aca="false">IF($D50="","",N(G50)*IFERROR(INDEX(المنتجات!$H$5:$H$24,MATCH($D50,المنتجات!$A$5:$A$24,0)),0))</f>
        <v/>
      </c>
      <c r="L50" s="25" t="str">
        <f aca="false">IF($D50="","",J50-K50)</f>
        <v/>
      </c>
      <c r="M50" s="29"/>
      <c r="N50" s="29"/>
    </row>
    <row r="51" customFormat="false" ht="15" hidden="false" customHeight="false" outlineLevel="0" collapsed="false">
      <c r="A51" s="32"/>
      <c r="B51" s="29"/>
      <c r="C51" s="29"/>
      <c r="D51" s="29"/>
      <c r="E51" s="28" t="str">
        <f aca="false">IF($D51="","",IFERROR(INDEX(المنتجات!$C$5:$C$24,MATCH($D51,المنتجات!$A$5:$A$24,0)),"كود غير موجود"))</f>
        <v/>
      </c>
      <c r="F51" s="28" t="str">
        <f aca="false">IF($D51="","",IFERROR(INDEX(المنتجات!$B$5:$B$24,MATCH($D51,المنتجات!$A$5:$A$24,0)),""))</f>
        <v/>
      </c>
      <c r="G51" s="24"/>
      <c r="H51" s="25" t="str">
        <f aca="false">IF($D51="","",IFERROR(INDEX(المنتجات!$F$5:$F$24,MATCH($D51,المنتجات!$A$5:$A$24,0)),0))</f>
        <v/>
      </c>
      <c r="I51" s="30"/>
      <c r="J51" s="25" t="str">
        <f aca="false">IF($D51="","",N(G51)*H51-N(I51))</f>
        <v/>
      </c>
      <c r="K51" s="25" t="str">
        <f aca="false">IF($D51="","",N(G51)*IFERROR(INDEX(المنتجات!$H$5:$H$24,MATCH($D51,المنتجات!$A$5:$A$24,0)),0))</f>
        <v/>
      </c>
      <c r="L51" s="25" t="str">
        <f aca="false">IF($D51="","",J51-K51)</f>
        <v/>
      </c>
      <c r="M51" s="29"/>
      <c r="N51" s="29"/>
    </row>
    <row r="52" customFormat="false" ht="15" hidden="false" customHeight="false" outlineLevel="0" collapsed="false">
      <c r="A52" s="32"/>
      <c r="B52" s="29"/>
      <c r="C52" s="29"/>
      <c r="D52" s="29"/>
      <c r="E52" s="28" t="str">
        <f aca="false">IF($D52="","",IFERROR(INDEX(المنتجات!$C$5:$C$24,MATCH($D52,المنتجات!$A$5:$A$24,0)),"كود غير موجود"))</f>
        <v/>
      </c>
      <c r="F52" s="28" t="str">
        <f aca="false">IF($D52="","",IFERROR(INDEX(المنتجات!$B$5:$B$24,MATCH($D52,المنتجات!$A$5:$A$24,0)),""))</f>
        <v/>
      </c>
      <c r="G52" s="24"/>
      <c r="H52" s="25" t="str">
        <f aca="false">IF($D52="","",IFERROR(INDEX(المنتجات!$F$5:$F$24,MATCH($D52,المنتجات!$A$5:$A$24,0)),0))</f>
        <v/>
      </c>
      <c r="I52" s="30"/>
      <c r="J52" s="25" t="str">
        <f aca="false">IF($D52="","",N(G52)*H52-N(I52))</f>
        <v/>
      </c>
      <c r="K52" s="25" t="str">
        <f aca="false">IF($D52="","",N(G52)*IFERROR(INDEX(المنتجات!$H$5:$H$24,MATCH($D52,المنتجات!$A$5:$A$24,0)),0))</f>
        <v/>
      </c>
      <c r="L52" s="25" t="str">
        <f aca="false">IF($D52="","",J52-K52)</f>
        <v/>
      </c>
      <c r="M52" s="29"/>
      <c r="N52" s="29"/>
    </row>
    <row r="53" customFormat="false" ht="15" hidden="false" customHeight="false" outlineLevel="0" collapsed="false">
      <c r="A53" s="32"/>
      <c r="B53" s="29"/>
      <c r="C53" s="29"/>
      <c r="D53" s="29"/>
      <c r="E53" s="28" t="str">
        <f aca="false">IF($D53="","",IFERROR(INDEX(المنتجات!$C$5:$C$24,MATCH($D53,المنتجات!$A$5:$A$24,0)),"كود غير موجود"))</f>
        <v/>
      </c>
      <c r="F53" s="28" t="str">
        <f aca="false">IF($D53="","",IFERROR(INDEX(المنتجات!$B$5:$B$24,MATCH($D53,المنتجات!$A$5:$A$24,0)),""))</f>
        <v/>
      </c>
      <c r="G53" s="24"/>
      <c r="H53" s="25" t="str">
        <f aca="false">IF($D53="","",IFERROR(INDEX(المنتجات!$F$5:$F$24,MATCH($D53,المنتجات!$A$5:$A$24,0)),0))</f>
        <v/>
      </c>
      <c r="I53" s="30"/>
      <c r="J53" s="25" t="str">
        <f aca="false">IF($D53="","",N(G53)*H53-N(I53))</f>
        <v/>
      </c>
      <c r="K53" s="25" t="str">
        <f aca="false">IF($D53="","",N(G53)*IFERROR(INDEX(المنتجات!$H$5:$H$24,MATCH($D53,المنتجات!$A$5:$A$24,0)),0))</f>
        <v/>
      </c>
      <c r="L53" s="25" t="str">
        <f aca="false">IF($D53="","",J53-K53)</f>
        <v/>
      </c>
      <c r="M53" s="29"/>
      <c r="N53" s="29"/>
    </row>
    <row r="54" customFormat="false" ht="15" hidden="false" customHeight="false" outlineLevel="0" collapsed="false">
      <c r="A54" s="32"/>
      <c r="B54" s="29"/>
      <c r="C54" s="29"/>
      <c r="D54" s="29"/>
      <c r="E54" s="28" t="str">
        <f aca="false">IF($D54="","",IFERROR(INDEX(المنتجات!$C$5:$C$24,MATCH($D54,المنتجات!$A$5:$A$24,0)),"كود غير موجود"))</f>
        <v/>
      </c>
      <c r="F54" s="28" t="str">
        <f aca="false">IF($D54="","",IFERROR(INDEX(المنتجات!$B$5:$B$24,MATCH($D54,المنتجات!$A$5:$A$24,0)),""))</f>
        <v/>
      </c>
      <c r="G54" s="24"/>
      <c r="H54" s="25" t="str">
        <f aca="false">IF($D54="","",IFERROR(INDEX(المنتجات!$F$5:$F$24,MATCH($D54,المنتجات!$A$5:$A$24,0)),0))</f>
        <v/>
      </c>
      <c r="I54" s="30"/>
      <c r="J54" s="25" t="str">
        <f aca="false">IF($D54="","",N(G54)*H54-N(I54))</f>
        <v/>
      </c>
      <c r="K54" s="25" t="str">
        <f aca="false">IF($D54="","",N(G54)*IFERROR(INDEX(المنتجات!$H$5:$H$24,MATCH($D54,المنتجات!$A$5:$A$24,0)),0))</f>
        <v/>
      </c>
      <c r="L54" s="25" t="str">
        <f aca="false">IF($D54="","",J54-K54)</f>
        <v/>
      </c>
      <c r="M54" s="29"/>
      <c r="N54" s="29"/>
    </row>
    <row r="55" customFormat="false" ht="15" hidden="false" customHeight="false" outlineLevel="0" collapsed="false">
      <c r="A55" s="32"/>
      <c r="B55" s="29"/>
      <c r="C55" s="29"/>
      <c r="D55" s="29"/>
      <c r="E55" s="28" t="str">
        <f aca="false">IF($D55="","",IFERROR(INDEX(المنتجات!$C$5:$C$24,MATCH($D55,المنتجات!$A$5:$A$24,0)),"كود غير موجود"))</f>
        <v/>
      </c>
      <c r="F55" s="28" t="str">
        <f aca="false">IF($D55="","",IFERROR(INDEX(المنتجات!$B$5:$B$24,MATCH($D55,المنتجات!$A$5:$A$24,0)),""))</f>
        <v/>
      </c>
      <c r="G55" s="24"/>
      <c r="H55" s="25" t="str">
        <f aca="false">IF($D55="","",IFERROR(INDEX(المنتجات!$F$5:$F$24,MATCH($D55,المنتجات!$A$5:$A$24,0)),0))</f>
        <v/>
      </c>
      <c r="I55" s="30"/>
      <c r="J55" s="25" t="str">
        <f aca="false">IF($D55="","",N(G55)*H55-N(I55))</f>
        <v/>
      </c>
      <c r="K55" s="25" t="str">
        <f aca="false">IF($D55="","",N(G55)*IFERROR(INDEX(المنتجات!$H$5:$H$24,MATCH($D55,المنتجات!$A$5:$A$24,0)),0))</f>
        <v/>
      </c>
      <c r="L55" s="25" t="str">
        <f aca="false">IF($D55="","",J55-K55)</f>
        <v/>
      </c>
      <c r="M55" s="29"/>
      <c r="N55" s="29"/>
    </row>
    <row r="56" customFormat="false" ht="15" hidden="false" customHeight="false" outlineLevel="0" collapsed="false">
      <c r="A56" s="32"/>
      <c r="B56" s="29"/>
      <c r="C56" s="29"/>
      <c r="D56" s="29"/>
      <c r="E56" s="28" t="str">
        <f aca="false">IF($D56="","",IFERROR(INDEX(المنتجات!$C$5:$C$24,MATCH($D56,المنتجات!$A$5:$A$24,0)),"كود غير موجود"))</f>
        <v/>
      </c>
      <c r="F56" s="28" t="str">
        <f aca="false">IF($D56="","",IFERROR(INDEX(المنتجات!$B$5:$B$24,MATCH($D56,المنتجات!$A$5:$A$24,0)),""))</f>
        <v/>
      </c>
      <c r="G56" s="24"/>
      <c r="H56" s="25" t="str">
        <f aca="false">IF($D56="","",IFERROR(INDEX(المنتجات!$F$5:$F$24,MATCH($D56,المنتجات!$A$5:$A$24,0)),0))</f>
        <v/>
      </c>
      <c r="I56" s="30"/>
      <c r="J56" s="25" t="str">
        <f aca="false">IF($D56="","",N(G56)*H56-N(I56))</f>
        <v/>
      </c>
      <c r="K56" s="25" t="str">
        <f aca="false">IF($D56="","",N(G56)*IFERROR(INDEX(المنتجات!$H$5:$H$24,MATCH($D56,المنتجات!$A$5:$A$24,0)),0))</f>
        <v/>
      </c>
      <c r="L56" s="25" t="str">
        <f aca="false">IF($D56="","",J56-K56)</f>
        <v/>
      </c>
      <c r="M56" s="29"/>
      <c r="N56" s="29"/>
    </row>
    <row r="57" customFormat="false" ht="15" hidden="false" customHeight="false" outlineLevel="0" collapsed="false">
      <c r="A57" s="32"/>
      <c r="B57" s="29"/>
      <c r="C57" s="29"/>
      <c r="D57" s="29"/>
      <c r="E57" s="28" t="str">
        <f aca="false">IF($D57="","",IFERROR(INDEX(المنتجات!$C$5:$C$24,MATCH($D57,المنتجات!$A$5:$A$24,0)),"كود غير موجود"))</f>
        <v/>
      </c>
      <c r="F57" s="28" t="str">
        <f aca="false">IF($D57="","",IFERROR(INDEX(المنتجات!$B$5:$B$24,MATCH($D57,المنتجات!$A$5:$A$24,0)),""))</f>
        <v/>
      </c>
      <c r="G57" s="24"/>
      <c r="H57" s="25" t="str">
        <f aca="false">IF($D57="","",IFERROR(INDEX(المنتجات!$F$5:$F$24,MATCH($D57,المنتجات!$A$5:$A$24,0)),0))</f>
        <v/>
      </c>
      <c r="I57" s="30"/>
      <c r="J57" s="25" t="str">
        <f aca="false">IF($D57="","",N(G57)*H57-N(I57))</f>
        <v/>
      </c>
      <c r="K57" s="25" t="str">
        <f aca="false">IF($D57="","",N(G57)*IFERROR(INDEX(المنتجات!$H$5:$H$24,MATCH($D57,المنتجات!$A$5:$A$24,0)),0))</f>
        <v/>
      </c>
      <c r="L57" s="25" t="str">
        <f aca="false">IF($D57="","",J57-K57)</f>
        <v/>
      </c>
      <c r="M57" s="29"/>
      <c r="N57" s="29"/>
    </row>
    <row r="58" customFormat="false" ht="15" hidden="false" customHeight="false" outlineLevel="0" collapsed="false">
      <c r="A58" s="32"/>
      <c r="B58" s="29"/>
      <c r="C58" s="29"/>
      <c r="D58" s="29"/>
      <c r="E58" s="28" t="str">
        <f aca="false">IF($D58="","",IFERROR(INDEX(المنتجات!$C$5:$C$24,MATCH($D58,المنتجات!$A$5:$A$24,0)),"كود غير موجود"))</f>
        <v/>
      </c>
      <c r="F58" s="28" t="str">
        <f aca="false">IF($D58="","",IFERROR(INDEX(المنتجات!$B$5:$B$24,MATCH($D58,المنتجات!$A$5:$A$24,0)),""))</f>
        <v/>
      </c>
      <c r="G58" s="24"/>
      <c r="H58" s="25" t="str">
        <f aca="false">IF($D58="","",IFERROR(INDEX(المنتجات!$F$5:$F$24,MATCH($D58,المنتجات!$A$5:$A$24,0)),0))</f>
        <v/>
      </c>
      <c r="I58" s="30"/>
      <c r="J58" s="25" t="str">
        <f aca="false">IF($D58="","",N(G58)*H58-N(I58))</f>
        <v/>
      </c>
      <c r="K58" s="25" t="str">
        <f aca="false">IF($D58="","",N(G58)*IFERROR(INDEX(المنتجات!$H$5:$H$24,MATCH($D58,المنتجات!$A$5:$A$24,0)),0))</f>
        <v/>
      </c>
      <c r="L58" s="25" t="str">
        <f aca="false">IF($D58="","",J58-K58)</f>
        <v/>
      </c>
      <c r="M58" s="29"/>
      <c r="N58" s="29"/>
    </row>
    <row r="59" customFormat="false" ht="15" hidden="false" customHeight="false" outlineLevel="0" collapsed="false">
      <c r="A59" s="32"/>
      <c r="B59" s="29"/>
      <c r="C59" s="29"/>
      <c r="D59" s="29"/>
      <c r="E59" s="28" t="str">
        <f aca="false">IF($D59="","",IFERROR(INDEX(المنتجات!$C$5:$C$24,MATCH($D59,المنتجات!$A$5:$A$24,0)),"كود غير موجود"))</f>
        <v/>
      </c>
      <c r="F59" s="28" t="str">
        <f aca="false">IF($D59="","",IFERROR(INDEX(المنتجات!$B$5:$B$24,MATCH($D59,المنتجات!$A$5:$A$24,0)),""))</f>
        <v/>
      </c>
      <c r="G59" s="24"/>
      <c r="H59" s="25" t="str">
        <f aca="false">IF($D59="","",IFERROR(INDEX(المنتجات!$F$5:$F$24,MATCH($D59,المنتجات!$A$5:$A$24,0)),0))</f>
        <v/>
      </c>
      <c r="I59" s="30"/>
      <c r="J59" s="25" t="str">
        <f aca="false">IF($D59="","",N(G59)*H59-N(I59))</f>
        <v/>
      </c>
      <c r="K59" s="25" t="str">
        <f aca="false">IF($D59="","",N(G59)*IFERROR(INDEX(المنتجات!$H$5:$H$24,MATCH($D59,المنتجات!$A$5:$A$24,0)),0))</f>
        <v/>
      </c>
      <c r="L59" s="25" t="str">
        <f aca="false">IF($D59="","",J59-K59)</f>
        <v/>
      </c>
      <c r="M59" s="29"/>
      <c r="N59" s="29"/>
    </row>
    <row r="60" customFormat="false" ht="15" hidden="false" customHeight="false" outlineLevel="0" collapsed="false">
      <c r="A60" s="32"/>
      <c r="B60" s="29"/>
      <c r="C60" s="29"/>
      <c r="D60" s="29"/>
      <c r="E60" s="28" t="str">
        <f aca="false">IF($D60="","",IFERROR(INDEX(المنتجات!$C$5:$C$24,MATCH($D60,المنتجات!$A$5:$A$24,0)),"كود غير موجود"))</f>
        <v/>
      </c>
      <c r="F60" s="28" t="str">
        <f aca="false">IF($D60="","",IFERROR(INDEX(المنتجات!$B$5:$B$24,MATCH($D60,المنتجات!$A$5:$A$24,0)),""))</f>
        <v/>
      </c>
      <c r="G60" s="24"/>
      <c r="H60" s="25" t="str">
        <f aca="false">IF($D60="","",IFERROR(INDEX(المنتجات!$F$5:$F$24,MATCH($D60,المنتجات!$A$5:$A$24,0)),0))</f>
        <v/>
      </c>
      <c r="I60" s="30"/>
      <c r="J60" s="25" t="str">
        <f aca="false">IF($D60="","",N(G60)*H60-N(I60))</f>
        <v/>
      </c>
      <c r="K60" s="25" t="str">
        <f aca="false">IF($D60="","",N(G60)*IFERROR(INDEX(المنتجات!$H$5:$H$24,MATCH($D60,المنتجات!$A$5:$A$24,0)),0))</f>
        <v/>
      </c>
      <c r="L60" s="25" t="str">
        <f aca="false">IF($D60="","",J60-K60)</f>
        <v/>
      </c>
      <c r="M60" s="29"/>
      <c r="N60" s="29"/>
    </row>
    <row r="61" customFormat="false" ht="15" hidden="false" customHeight="false" outlineLevel="0" collapsed="false">
      <c r="A61" s="32"/>
      <c r="B61" s="29"/>
      <c r="C61" s="29"/>
      <c r="D61" s="29"/>
      <c r="E61" s="28" t="str">
        <f aca="false">IF($D61="","",IFERROR(INDEX(المنتجات!$C$5:$C$24,MATCH($D61,المنتجات!$A$5:$A$24,0)),"كود غير موجود"))</f>
        <v/>
      </c>
      <c r="F61" s="28" t="str">
        <f aca="false">IF($D61="","",IFERROR(INDEX(المنتجات!$B$5:$B$24,MATCH($D61,المنتجات!$A$5:$A$24,0)),""))</f>
        <v/>
      </c>
      <c r="G61" s="24"/>
      <c r="H61" s="25" t="str">
        <f aca="false">IF($D61="","",IFERROR(INDEX(المنتجات!$F$5:$F$24,MATCH($D61,المنتجات!$A$5:$A$24,0)),0))</f>
        <v/>
      </c>
      <c r="I61" s="30"/>
      <c r="J61" s="25" t="str">
        <f aca="false">IF($D61="","",N(G61)*H61-N(I61))</f>
        <v/>
      </c>
      <c r="K61" s="25" t="str">
        <f aca="false">IF($D61="","",N(G61)*IFERROR(INDEX(المنتجات!$H$5:$H$24,MATCH($D61,المنتجات!$A$5:$A$24,0)),0))</f>
        <v/>
      </c>
      <c r="L61" s="25" t="str">
        <f aca="false">IF($D61="","",J61-K61)</f>
        <v/>
      </c>
      <c r="M61" s="29"/>
      <c r="N61" s="29"/>
    </row>
    <row r="62" customFormat="false" ht="15" hidden="false" customHeight="false" outlineLevel="0" collapsed="false">
      <c r="A62" s="32"/>
      <c r="B62" s="29"/>
      <c r="C62" s="29"/>
      <c r="D62" s="29"/>
      <c r="E62" s="28" t="str">
        <f aca="false">IF($D62="","",IFERROR(INDEX(المنتجات!$C$5:$C$24,MATCH($D62,المنتجات!$A$5:$A$24,0)),"كود غير موجود"))</f>
        <v/>
      </c>
      <c r="F62" s="28" t="str">
        <f aca="false">IF($D62="","",IFERROR(INDEX(المنتجات!$B$5:$B$24,MATCH($D62,المنتجات!$A$5:$A$24,0)),""))</f>
        <v/>
      </c>
      <c r="G62" s="24"/>
      <c r="H62" s="25" t="str">
        <f aca="false">IF($D62="","",IFERROR(INDEX(المنتجات!$F$5:$F$24,MATCH($D62,المنتجات!$A$5:$A$24,0)),0))</f>
        <v/>
      </c>
      <c r="I62" s="30"/>
      <c r="J62" s="25" t="str">
        <f aca="false">IF($D62="","",N(G62)*H62-N(I62))</f>
        <v/>
      </c>
      <c r="K62" s="25" t="str">
        <f aca="false">IF($D62="","",N(G62)*IFERROR(INDEX(المنتجات!$H$5:$H$24,MATCH($D62,المنتجات!$A$5:$A$24,0)),0))</f>
        <v/>
      </c>
      <c r="L62" s="25" t="str">
        <f aca="false">IF($D62="","",J62-K62)</f>
        <v/>
      </c>
      <c r="M62" s="29"/>
      <c r="N62" s="29"/>
    </row>
    <row r="63" customFormat="false" ht="15" hidden="false" customHeight="false" outlineLevel="0" collapsed="false">
      <c r="A63" s="32"/>
      <c r="B63" s="29"/>
      <c r="C63" s="29"/>
      <c r="D63" s="29"/>
      <c r="E63" s="28" t="str">
        <f aca="false">IF($D63="","",IFERROR(INDEX(المنتجات!$C$5:$C$24,MATCH($D63,المنتجات!$A$5:$A$24,0)),"كود غير موجود"))</f>
        <v/>
      </c>
      <c r="F63" s="28" t="str">
        <f aca="false">IF($D63="","",IFERROR(INDEX(المنتجات!$B$5:$B$24,MATCH($D63,المنتجات!$A$5:$A$24,0)),""))</f>
        <v/>
      </c>
      <c r="G63" s="24"/>
      <c r="H63" s="25" t="str">
        <f aca="false">IF($D63="","",IFERROR(INDEX(المنتجات!$F$5:$F$24,MATCH($D63,المنتجات!$A$5:$A$24,0)),0))</f>
        <v/>
      </c>
      <c r="I63" s="30"/>
      <c r="J63" s="25" t="str">
        <f aca="false">IF($D63="","",N(G63)*H63-N(I63))</f>
        <v/>
      </c>
      <c r="K63" s="25" t="str">
        <f aca="false">IF($D63="","",N(G63)*IFERROR(INDEX(المنتجات!$H$5:$H$24,MATCH($D63,المنتجات!$A$5:$A$24,0)),0))</f>
        <v/>
      </c>
      <c r="L63" s="25" t="str">
        <f aca="false">IF($D63="","",J63-K63)</f>
        <v/>
      </c>
      <c r="M63" s="29"/>
      <c r="N63" s="29"/>
    </row>
    <row r="64" customFormat="false" ht="15" hidden="false" customHeight="false" outlineLevel="0" collapsed="false">
      <c r="A64" s="32"/>
      <c r="B64" s="29"/>
      <c r="C64" s="29"/>
      <c r="D64" s="29"/>
      <c r="E64" s="28" t="str">
        <f aca="false">IF($D64="","",IFERROR(INDEX(المنتجات!$C$5:$C$24,MATCH($D64,المنتجات!$A$5:$A$24,0)),"كود غير موجود"))</f>
        <v/>
      </c>
      <c r="F64" s="28" t="str">
        <f aca="false">IF($D64="","",IFERROR(INDEX(المنتجات!$B$5:$B$24,MATCH($D64,المنتجات!$A$5:$A$24,0)),""))</f>
        <v/>
      </c>
      <c r="G64" s="24"/>
      <c r="H64" s="25" t="str">
        <f aca="false">IF($D64="","",IFERROR(INDEX(المنتجات!$F$5:$F$24,MATCH($D64,المنتجات!$A$5:$A$24,0)),0))</f>
        <v/>
      </c>
      <c r="I64" s="30"/>
      <c r="J64" s="25" t="str">
        <f aca="false">IF($D64="","",N(G64)*H64-N(I64))</f>
        <v/>
      </c>
      <c r="K64" s="25" t="str">
        <f aca="false">IF($D64="","",N(G64)*IFERROR(INDEX(المنتجات!$H$5:$H$24,MATCH($D64,المنتجات!$A$5:$A$24,0)),0))</f>
        <v/>
      </c>
      <c r="L64" s="25" t="str">
        <f aca="false">IF($D64="","",J64-K64)</f>
        <v/>
      </c>
      <c r="M64" s="29"/>
      <c r="N64" s="29"/>
    </row>
    <row r="65" customFormat="false" ht="15" hidden="false" customHeight="false" outlineLevel="0" collapsed="false">
      <c r="A65" s="32"/>
      <c r="B65" s="29"/>
      <c r="C65" s="29"/>
      <c r="D65" s="29"/>
      <c r="E65" s="28" t="str">
        <f aca="false">IF($D65="","",IFERROR(INDEX(المنتجات!$C$5:$C$24,MATCH($D65,المنتجات!$A$5:$A$24,0)),"كود غير موجود"))</f>
        <v/>
      </c>
      <c r="F65" s="28" t="str">
        <f aca="false">IF($D65="","",IFERROR(INDEX(المنتجات!$B$5:$B$24,MATCH($D65,المنتجات!$A$5:$A$24,0)),""))</f>
        <v/>
      </c>
      <c r="G65" s="24"/>
      <c r="H65" s="25" t="str">
        <f aca="false">IF($D65="","",IFERROR(INDEX(المنتجات!$F$5:$F$24,MATCH($D65,المنتجات!$A$5:$A$24,0)),0))</f>
        <v/>
      </c>
      <c r="I65" s="30"/>
      <c r="J65" s="25" t="str">
        <f aca="false">IF($D65="","",N(G65)*H65-N(I65))</f>
        <v/>
      </c>
      <c r="K65" s="25" t="str">
        <f aca="false">IF($D65="","",N(G65)*IFERROR(INDEX(المنتجات!$H$5:$H$24,MATCH($D65,المنتجات!$A$5:$A$24,0)),0))</f>
        <v/>
      </c>
      <c r="L65" s="25" t="str">
        <f aca="false">IF($D65="","",J65-K65)</f>
        <v/>
      </c>
      <c r="M65" s="29"/>
      <c r="N65" s="29"/>
    </row>
    <row r="66" customFormat="false" ht="15" hidden="false" customHeight="false" outlineLevel="0" collapsed="false">
      <c r="A66" s="32"/>
      <c r="B66" s="29"/>
      <c r="C66" s="29"/>
      <c r="D66" s="29"/>
      <c r="E66" s="28" t="str">
        <f aca="false">IF($D66="","",IFERROR(INDEX(المنتجات!$C$5:$C$24,MATCH($D66,المنتجات!$A$5:$A$24,0)),"كود غير موجود"))</f>
        <v/>
      </c>
      <c r="F66" s="28" t="str">
        <f aca="false">IF($D66="","",IFERROR(INDEX(المنتجات!$B$5:$B$24,MATCH($D66,المنتجات!$A$5:$A$24,0)),""))</f>
        <v/>
      </c>
      <c r="G66" s="24"/>
      <c r="H66" s="25" t="str">
        <f aca="false">IF($D66="","",IFERROR(INDEX(المنتجات!$F$5:$F$24,MATCH($D66,المنتجات!$A$5:$A$24,0)),0))</f>
        <v/>
      </c>
      <c r="I66" s="30"/>
      <c r="J66" s="25" t="str">
        <f aca="false">IF($D66="","",N(G66)*H66-N(I66))</f>
        <v/>
      </c>
      <c r="K66" s="25" t="str">
        <f aca="false">IF($D66="","",N(G66)*IFERROR(INDEX(المنتجات!$H$5:$H$24,MATCH($D66,المنتجات!$A$5:$A$24,0)),0))</f>
        <v/>
      </c>
      <c r="L66" s="25" t="str">
        <f aca="false">IF($D66="","",J66-K66)</f>
        <v/>
      </c>
      <c r="M66" s="29"/>
      <c r="N66" s="29"/>
    </row>
    <row r="67" customFormat="false" ht="15" hidden="false" customHeight="false" outlineLevel="0" collapsed="false">
      <c r="A67" s="32"/>
      <c r="B67" s="29"/>
      <c r="C67" s="29"/>
      <c r="D67" s="29"/>
      <c r="E67" s="28" t="str">
        <f aca="false">IF($D67="","",IFERROR(INDEX(المنتجات!$C$5:$C$24,MATCH($D67,المنتجات!$A$5:$A$24,0)),"كود غير موجود"))</f>
        <v/>
      </c>
      <c r="F67" s="28" t="str">
        <f aca="false">IF($D67="","",IFERROR(INDEX(المنتجات!$B$5:$B$24,MATCH($D67,المنتجات!$A$5:$A$24,0)),""))</f>
        <v/>
      </c>
      <c r="G67" s="24"/>
      <c r="H67" s="25" t="str">
        <f aca="false">IF($D67="","",IFERROR(INDEX(المنتجات!$F$5:$F$24,MATCH($D67,المنتجات!$A$5:$A$24,0)),0))</f>
        <v/>
      </c>
      <c r="I67" s="30"/>
      <c r="J67" s="25" t="str">
        <f aca="false">IF($D67="","",N(G67)*H67-N(I67))</f>
        <v/>
      </c>
      <c r="K67" s="25" t="str">
        <f aca="false">IF($D67="","",N(G67)*IFERROR(INDEX(المنتجات!$H$5:$H$24,MATCH($D67,المنتجات!$A$5:$A$24,0)),0))</f>
        <v/>
      </c>
      <c r="L67" s="25" t="str">
        <f aca="false">IF($D67="","",J67-K67)</f>
        <v/>
      </c>
      <c r="M67" s="29"/>
      <c r="N67" s="29"/>
    </row>
    <row r="68" customFormat="false" ht="15" hidden="false" customHeight="false" outlineLevel="0" collapsed="false">
      <c r="A68" s="32"/>
      <c r="B68" s="29"/>
      <c r="C68" s="29"/>
      <c r="D68" s="29"/>
      <c r="E68" s="28" t="str">
        <f aca="false">IF($D68="","",IFERROR(INDEX(المنتجات!$C$5:$C$24,MATCH($D68,المنتجات!$A$5:$A$24,0)),"كود غير موجود"))</f>
        <v/>
      </c>
      <c r="F68" s="28" t="str">
        <f aca="false">IF($D68="","",IFERROR(INDEX(المنتجات!$B$5:$B$24,MATCH($D68,المنتجات!$A$5:$A$24,0)),""))</f>
        <v/>
      </c>
      <c r="G68" s="24"/>
      <c r="H68" s="25" t="str">
        <f aca="false">IF($D68="","",IFERROR(INDEX(المنتجات!$F$5:$F$24,MATCH($D68,المنتجات!$A$5:$A$24,0)),0))</f>
        <v/>
      </c>
      <c r="I68" s="30"/>
      <c r="J68" s="25" t="str">
        <f aca="false">IF($D68="","",N(G68)*H68-N(I68))</f>
        <v/>
      </c>
      <c r="K68" s="25" t="str">
        <f aca="false">IF($D68="","",N(G68)*IFERROR(INDEX(المنتجات!$H$5:$H$24,MATCH($D68,المنتجات!$A$5:$A$24,0)),0))</f>
        <v/>
      </c>
      <c r="L68" s="25" t="str">
        <f aca="false">IF($D68="","",J68-K68)</f>
        <v/>
      </c>
      <c r="M68" s="29"/>
      <c r="N68" s="29"/>
    </row>
    <row r="69" customFormat="false" ht="15" hidden="false" customHeight="false" outlineLevel="0" collapsed="false">
      <c r="A69" s="32"/>
      <c r="B69" s="29"/>
      <c r="C69" s="29"/>
      <c r="D69" s="29"/>
      <c r="E69" s="28" t="str">
        <f aca="false">IF($D69="","",IFERROR(INDEX(المنتجات!$C$5:$C$24,MATCH($D69,المنتجات!$A$5:$A$24,0)),"كود غير موجود"))</f>
        <v/>
      </c>
      <c r="F69" s="28" t="str">
        <f aca="false">IF($D69="","",IFERROR(INDEX(المنتجات!$B$5:$B$24,MATCH($D69,المنتجات!$A$5:$A$24,0)),""))</f>
        <v/>
      </c>
      <c r="G69" s="24"/>
      <c r="H69" s="25" t="str">
        <f aca="false">IF($D69="","",IFERROR(INDEX(المنتجات!$F$5:$F$24,MATCH($D69,المنتجات!$A$5:$A$24,0)),0))</f>
        <v/>
      </c>
      <c r="I69" s="30"/>
      <c r="J69" s="25" t="str">
        <f aca="false">IF($D69="","",N(G69)*H69-N(I69))</f>
        <v/>
      </c>
      <c r="K69" s="25" t="str">
        <f aca="false">IF($D69="","",N(G69)*IFERROR(INDEX(المنتجات!$H$5:$H$24,MATCH($D69,المنتجات!$A$5:$A$24,0)),0))</f>
        <v/>
      </c>
      <c r="L69" s="25" t="str">
        <f aca="false">IF($D69="","",J69-K69)</f>
        <v/>
      </c>
      <c r="M69" s="29"/>
      <c r="N69" s="29"/>
    </row>
    <row r="70" customFormat="false" ht="15" hidden="false" customHeight="false" outlineLevel="0" collapsed="false">
      <c r="A70" s="32"/>
      <c r="B70" s="29"/>
      <c r="C70" s="29"/>
      <c r="D70" s="29"/>
      <c r="E70" s="28" t="str">
        <f aca="false">IF($D70="","",IFERROR(INDEX(المنتجات!$C$5:$C$24,MATCH($D70,المنتجات!$A$5:$A$24,0)),"كود غير موجود"))</f>
        <v/>
      </c>
      <c r="F70" s="28" t="str">
        <f aca="false">IF($D70="","",IFERROR(INDEX(المنتجات!$B$5:$B$24,MATCH($D70,المنتجات!$A$5:$A$24,0)),""))</f>
        <v/>
      </c>
      <c r="G70" s="24"/>
      <c r="H70" s="25" t="str">
        <f aca="false">IF($D70="","",IFERROR(INDEX(المنتجات!$F$5:$F$24,MATCH($D70,المنتجات!$A$5:$A$24,0)),0))</f>
        <v/>
      </c>
      <c r="I70" s="30"/>
      <c r="J70" s="25" t="str">
        <f aca="false">IF($D70="","",N(G70)*H70-N(I70))</f>
        <v/>
      </c>
      <c r="K70" s="25" t="str">
        <f aca="false">IF($D70="","",N(G70)*IFERROR(INDEX(المنتجات!$H$5:$H$24,MATCH($D70,المنتجات!$A$5:$A$24,0)),0))</f>
        <v/>
      </c>
      <c r="L70" s="25" t="str">
        <f aca="false">IF($D70="","",J70-K70)</f>
        <v/>
      </c>
      <c r="M70" s="29"/>
      <c r="N70" s="29"/>
    </row>
    <row r="71" customFormat="false" ht="15" hidden="false" customHeight="false" outlineLevel="0" collapsed="false">
      <c r="A71" s="32"/>
      <c r="B71" s="29"/>
      <c r="C71" s="29"/>
      <c r="D71" s="29"/>
      <c r="E71" s="28" t="str">
        <f aca="false">IF($D71="","",IFERROR(INDEX(المنتجات!$C$5:$C$24,MATCH($D71,المنتجات!$A$5:$A$24,0)),"كود غير موجود"))</f>
        <v/>
      </c>
      <c r="F71" s="28" t="str">
        <f aca="false">IF($D71="","",IFERROR(INDEX(المنتجات!$B$5:$B$24,MATCH($D71,المنتجات!$A$5:$A$24,0)),""))</f>
        <v/>
      </c>
      <c r="G71" s="24"/>
      <c r="H71" s="25" t="str">
        <f aca="false">IF($D71="","",IFERROR(INDEX(المنتجات!$F$5:$F$24,MATCH($D71,المنتجات!$A$5:$A$24,0)),0))</f>
        <v/>
      </c>
      <c r="I71" s="30"/>
      <c r="J71" s="25" t="str">
        <f aca="false">IF($D71="","",N(G71)*H71-N(I71))</f>
        <v/>
      </c>
      <c r="K71" s="25" t="str">
        <f aca="false">IF($D71="","",N(G71)*IFERROR(INDEX(المنتجات!$H$5:$H$24,MATCH($D71,المنتجات!$A$5:$A$24,0)),0))</f>
        <v/>
      </c>
      <c r="L71" s="25" t="str">
        <f aca="false">IF($D71="","",J71-K71)</f>
        <v/>
      </c>
      <c r="M71" s="29"/>
      <c r="N71" s="29"/>
    </row>
    <row r="72" customFormat="false" ht="15" hidden="false" customHeight="false" outlineLevel="0" collapsed="false">
      <c r="A72" s="32"/>
      <c r="B72" s="29"/>
      <c r="C72" s="29"/>
      <c r="D72" s="29"/>
      <c r="E72" s="28" t="str">
        <f aca="false">IF($D72="","",IFERROR(INDEX(المنتجات!$C$5:$C$24,MATCH($D72,المنتجات!$A$5:$A$24,0)),"كود غير موجود"))</f>
        <v/>
      </c>
      <c r="F72" s="28" t="str">
        <f aca="false">IF($D72="","",IFERROR(INDEX(المنتجات!$B$5:$B$24,MATCH($D72,المنتجات!$A$5:$A$24,0)),""))</f>
        <v/>
      </c>
      <c r="G72" s="24"/>
      <c r="H72" s="25" t="str">
        <f aca="false">IF($D72="","",IFERROR(INDEX(المنتجات!$F$5:$F$24,MATCH($D72,المنتجات!$A$5:$A$24,0)),0))</f>
        <v/>
      </c>
      <c r="I72" s="30"/>
      <c r="J72" s="25" t="str">
        <f aca="false">IF($D72="","",N(G72)*H72-N(I72))</f>
        <v/>
      </c>
      <c r="K72" s="25" t="str">
        <f aca="false">IF($D72="","",N(G72)*IFERROR(INDEX(المنتجات!$H$5:$H$24,MATCH($D72,المنتجات!$A$5:$A$24,0)),0))</f>
        <v/>
      </c>
      <c r="L72" s="25" t="str">
        <f aca="false">IF($D72="","",J72-K72)</f>
        <v/>
      </c>
      <c r="M72" s="29"/>
      <c r="N72" s="29"/>
    </row>
    <row r="73" customFormat="false" ht="15" hidden="false" customHeight="false" outlineLevel="0" collapsed="false">
      <c r="A73" s="32"/>
      <c r="B73" s="29"/>
      <c r="C73" s="29"/>
      <c r="D73" s="29"/>
      <c r="E73" s="28" t="str">
        <f aca="false">IF($D73="","",IFERROR(INDEX(المنتجات!$C$5:$C$24,MATCH($D73,المنتجات!$A$5:$A$24,0)),"كود غير موجود"))</f>
        <v/>
      </c>
      <c r="F73" s="28" t="str">
        <f aca="false">IF($D73="","",IFERROR(INDEX(المنتجات!$B$5:$B$24,MATCH($D73,المنتجات!$A$5:$A$24,0)),""))</f>
        <v/>
      </c>
      <c r="G73" s="24"/>
      <c r="H73" s="25" t="str">
        <f aca="false">IF($D73="","",IFERROR(INDEX(المنتجات!$F$5:$F$24,MATCH($D73,المنتجات!$A$5:$A$24,0)),0))</f>
        <v/>
      </c>
      <c r="I73" s="30"/>
      <c r="J73" s="25" t="str">
        <f aca="false">IF($D73="","",N(G73)*H73-N(I73))</f>
        <v/>
      </c>
      <c r="K73" s="25" t="str">
        <f aca="false">IF($D73="","",N(G73)*IFERROR(INDEX(المنتجات!$H$5:$H$24,MATCH($D73,المنتجات!$A$5:$A$24,0)),0))</f>
        <v/>
      </c>
      <c r="L73" s="25" t="str">
        <f aca="false">IF($D73="","",J73-K73)</f>
        <v/>
      </c>
      <c r="M73" s="29"/>
      <c r="N73" s="29"/>
    </row>
    <row r="74" customFormat="false" ht="15" hidden="false" customHeight="false" outlineLevel="0" collapsed="false">
      <c r="A74" s="32"/>
      <c r="B74" s="29"/>
      <c r="C74" s="29"/>
      <c r="D74" s="29"/>
      <c r="E74" s="28" t="str">
        <f aca="false">IF($D74="","",IFERROR(INDEX(المنتجات!$C$5:$C$24,MATCH($D74,المنتجات!$A$5:$A$24,0)),"كود غير موجود"))</f>
        <v/>
      </c>
      <c r="F74" s="28" t="str">
        <f aca="false">IF($D74="","",IFERROR(INDEX(المنتجات!$B$5:$B$24,MATCH($D74,المنتجات!$A$5:$A$24,0)),""))</f>
        <v/>
      </c>
      <c r="G74" s="24"/>
      <c r="H74" s="25" t="str">
        <f aca="false">IF($D74="","",IFERROR(INDEX(المنتجات!$F$5:$F$24,MATCH($D74,المنتجات!$A$5:$A$24,0)),0))</f>
        <v/>
      </c>
      <c r="I74" s="30"/>
      <c r="J74" s="25" t="str">
        <f aca="false">IF($D74="","",N(G74)*H74-N(I74))</f>
        <v/>
      </c>
      <c r="K74" s="25" t="str">
        <f aca="false">IF($D74="","",N(G74)*IFERROR(INDEX(المنتجات!$H$5:$H$24,MATCH($D74,المنتجات!$A$5:$A$24,0)),0))</f>
        <v/>
      </c>
      <c r="L74" s="25" t="str">
        <f aca="false">IF($D74="","",J74-K74)</f>
        <v/>
      </c>
      <c r="M74" s="29"/>
      <c r="N74" s="29"/>
    </row>
    <row r="75" customFormat="false" ht="15" hidden="false" customHeight="false" outlineLevel="0" collapsed="false">
      <c r="A75" s="32"/>
      <c r="B75" s="29"/>
      <c r="C75" s="29"/>
      <c r="D75" s="29"/>
      <c r="E75" s="28" t="str">
        <f aca="false">IF($D75="","",IFERROR(INDEX(المنتجات!$C$5:$C$24,MATCH($D75,المنتجات!$A$5:$A$24,0)),"كود غير موجود"))</f>
        <v/>
      </c>
      <c r="F75" s="28" t="str">
        <f aca="false">IF($D75="","",IFERROR(INDEX(المنتجات!$B$5:$B$24,MATCH($D75,المنتجات!$A$5:$A$24,0)),""))</f>
        <v/>
      </c>
      <c r="G75" s="24"/>
      <c r="H75" s="25" t="str">
        <f aca="false">IF($D75="","",IFERROR(INDEX(المنتجات!$F$5:$F$24,MATCH($D75,المنتجات!$A$5:$A$24,0)),0))</f>
        <v/>
      </c>
      <c r="I75" s="30"/>
      <c r="J75" s="25" t="str">
        <f aca="false">IF($D75="","",N(G75)*H75-N(I75))</f>
        <v/>
      </c>
      <c r="K75" s="25" t="str">
        <f aca="false">IF($D75="","",N(G75)*IFERROR(INDEX(المنتجات!$H$5:$H$24,MATCH($D75,المنتجات!$A$5:$A$24,0)),0))</f>
        <v/>
      </c>
      <c r="L75" s="25" t="str">
        <f aca="false">IF($D75="","",J75-K75)</f>
        <v/>
      </c>
      <c r="M75" s="29"/>
      <c r="N75" s="29"/>
    </row>
    <row r="76" customFormat="false" ht="15" hidden="false" customHeight="false" outlineLevel="0" collapsed="false">
      <c r="A76" s="32"/>
      <c r="B76" s="29"/>
      <c r="C76" s="29"/>
      <c r="D76" s="29"/>
      <c r="E76" s="28" t="str">
        <f aca="false">IF($D76="","",IFERROR(INDEX(المنتجات!$C$5:$C$24,MATCH($D76,المنتجات!$A$5:$A$24,0)),"كود غير موجود"))</f>
        <v/>
      </c>
      <c r="F76" s="28" t="str">
        <f aca="false">IF($D76="","",IFERROR(INDEX(المنتجات!$B$5:$B$24,MATCH($D76,المنتجات!$A$5:$A$24,0)),""))</f>
        <v/>
      </c>
      <c r="G76" s="24"/>
      <c r="H76" s="25" t="str">
        <f aca="false">IF($D76="","",IFERROR(INDEX(المنتجات!$F$5:$F$24,MATCH($D76,المنتجات!$A$5:$A$24,0)),0))</f>
        <v/>
      </c>
      <c r="I76" s="30"/>
      <c r="J76" s="25" t="str">
        <f aca="false">IF($D76="","",N(G76)*H76-N(I76))</f>
        <v/>
      </c>
      <c r="K76" s="25" t="str">
        <f aca="false">IF($D76="","",N(G76)*IFERROR(INDEX(المنتجات!$H$5:$H$24,MATCH($D76,المنتجات!$A$5:$A$24,0)),0))</f>
        <v/>
      </c>
      <c r="L76" s="25" t="str">
        <f aca="false">IF($D76="","",J76-K76)</f>
        <v/>
      </c>
      <c r="M76" s="29"/>
      <c r="N76" s="29"/>
    </row>
    <row r="77" customFormat="false" ht="15" hidden="false" customHeight="false" outlineLevel="0" collapsed="false">
      <c r="A77" s="32"/>
      <c r="B77" s="29"/>
      <c r="C77" s="29"/>
      <c r="D77" s="29"/>
      <c r="E77" s="28" t="str">
        <f aca="false">IF($D77="","",IFERROR(INDEX(المنتجات!$C$5:$C$24,MATCH($D77,المنتجات!$A$5:$A$24,0)),"كود غير موجود"))</f>
        <v/>
      </c>
      <c r="F77" s="28" t="str">
        <f aca="false">IF($D77="","",IFERROR(INDEX(المنتجات!$B$5:$B$24,MATCH($D77,المنتجات!$A$5:$A$24,0)),""))</f>
        <v/>
      </c>
      <c r="G77" s="24"/>
      <c r="H77" s="25" t="str">
        <f aca="false">IF($D77="","",IFERROR(INDEX(المنتجات!$F$5:$F$24,MATCH($D77,المنتجات!$A$5:$A$24,0)),0))</f>
        <v/>
      </c>
      <c r="I77" s="30"/>
      <c r="J77" s="25" t="str">
        <f aca="false">IF($D77="","",N(G77)*H77-N(I77))</f>
        <v/>
      </c>
      <c r="K77" s="25" t="str">
        <f aca="false">IF($D77="","",N(G77)*IFERROR(INDEX(المنتجات!$H$5:$H$24,MATCH($D77,المنتجات!$A$5:$A$24,0)),0))</f>
        <v/>
      </c>
      <c r="L77" s="25" t="str">
        <f aca="false">IF($D77="","",J77-K77)</f>
        <v/>
      </c>
      <c r="M77" s="29"/>
      <c r="N77" s="29"/>
    </row>
    <row r="78" customFormat="false" ht="15" hidden="false" customHeight="false" outlineLevel="0" collapsed="false">
      <c r="A78" s="32"/>
      <c r="B78" s="29"/>
      <c r="C78" s="29"/>
      <c r="D78" s="29"/>
      <c r="E78" s="28" t="str">
        <f aca="false">IF($D78="","",IFERROR(INDEX(المنتجات!$C$5:$C$24,MATCH($D78,المنتجات!$A$5:$A$24,0)),"كود غير موجود"))</f>
        <v/>
      </c>
      <c r="F78" s="28" t="str">
        <f aca="false">IF($D78="","",IFERROR(INDEX(المنتجات!$B$5:$B$24,MATCH($D78,المنتجات!$A$5:$A$24,0)),""))</f>
        <v/>
      </c>
      <c r="G78" s="24"/>
      <c r="H78" s="25" t="str">
        <f aca="false">IF($D78="","",IFERROR(INDEX(المنتجات!$F$5:$F$24,MATCH($D78,المنتجات!$A$5:$A$24,0)),0))</f>
        <v/>
      </c>
      <c r="I78" s="30"/>
      <c r="J78" s="25" t="str">
        <f aca="false">IF($D78="","",N(G78)*H78-N(I78))</f>
        <v/>
      </c>
      <c r="K78" s="25" t="str">
        <f aca="false">IF($D78="","",N(G78)*IFERROR(INDEX(المنتجات!$H$5:$H$24,MATCH($D78,المنتجات!$A$5:$A$24,0)),0))</f>
        <v/>
      </c>
      <c r="L78" s="25" t="str">
        <f aca="false">IF($D78="","",J78-K78)</f>
        <v/>
      </c>
      <c r="M78" s="29"/>
      <c r="N78" s="29"/>
    </row>
    <row r="79" customFormat="false" ht="15" hidden="false" customHeight="false" outlineLevel="0" collapsed="false">
      <c r="A79" s="32"/>
      <c r="B79" s="29"/>
      <c r="C79" s="29"/>
      <c r="D79" s="29"/>
      <c r="E79" s="28" t="str">
        <f aca="false">IF($D79="","",IFERROR(INDEX(المنتجات!$C$5:$C$24,MATCH($D79,المنتجات!$A$5:$A$24,0)),"كود غير موجود"))</f>
        <v/>
      </c>
      <c r="F79" s="28" t="str">
        <f aca="false">IF($D79="","",IFERROR(INDEX(المنتجات!$B$5:$B$24,MATCH($D79,المنتجات!$A$5:$A$24,0)),""))</f>
        <v/>
      </c>
      <c r="G79" s="24"/>
      <c r="H79" s="25" t="str">
        <f aca="false">IF($D79="","",IFERROR(INDEX(المنتجات!$F$5:$F$24,MATCH($D79,المنتجات!$A$5:$A$24,0)),0))</f>
        <v/>
      </c>
      <c r="I79" s="30"/>
      <c r="J79" s="25" t="str">
        <f aca="false">IF($D79="","",N(G79)*H79-N(I79))</f>
        <v/>
      </c>
      <c r="K79" s="25" t="str">
        <f aca="false">IF($D79="","",N(G79)*IFERROR(INDEX(المنتجات!$H$5:$H$24,MATCH($D79,المنتجات!$A$5:$A$24,0)),0))</f>
        <v/>
      </c>
      <c r="L79" s="25" t="str">
        <f aca="false">IF($D79="","",J79-K79)</f>
        <v/>
      </c>
      <c r="M79" s="29"/>
      <c r="N79" s="29"/>
    </row>
    <row r="80" customFormat="false" ht="15" hidden="false" customHeight="false" outlineLevel="0" collapsed="false">
      <c r="A80" s="32"/>
      <c r="B80" s="29"/>
      <c r="C80" s="29"/>
      <c r="D80" s="29"/>
      <c r="E80" s="28" t="str">
        <f aca="false">IF($D80="","",IFERROR(INDEX(المنتجات!$C$5:$C$24,MATCH($D80,المنتجات!$A$5:$A$24,0)),"كود غير موجود"))</f>
        <v/>
      </c>
      <c r="F80" s="28" t="str">
        <f aca="false">IF($D80="","",IFERROR(INDEX(المنتجات!$B$5:$B$24,MATCH($D80,المنتجات!$A$5:$A$24,0)),""))</f>
        <v/>
      </c>
      <c r="G80" s="24"/>
      <c r="H80" s="25" t="str">
        <f aca="false">IF($D80="","",IFERROR(INDEX(المنتجات!$F$5:$F$24,MATCH($D80,المنتجات!$A$5:$A$24,0)),0))</f>
        <v/>
      </c>
      <c r="I80" s="30"/>
      <c r="J80" s="25" t="str">
        <f aca="false">IF($D80="","",N(G80)*H80-N(I80))</f>
        <v/>
      </c>
      <c r="K80" s="25" t="str">
        <f aca="false">IF($D80="","",N(G80)*IFERROR(INDEX(المنتجات!$H$5:$H$24,MATCH($D80,المنتجات!$A$5:$A$24,0)),0))</f>
        <v/>
      </c>
      <c r="L80" s="25" t="str">
        <f aca="false">IF($D80="","",J80-K80)</f>
        <v/>
      </c>
      <c r="M80" s="29"/>
      <c r="N80" s="29"/>
    </row>
    <row r="81" customFormat="false" ht="15" hidden="false" customHeight="false" outlineLevel="0" collapsed="false">
      <c r="A81" s="32"/>
      <c r="B81" s="29"/>
      <c r="C81" s="29"/>
      <c r="D81" s="29"/>
      <c r="E81" s="28" t="str">
        <f aca="false">IF($D81="","",IFERROR(INDEX(المنتجات!$C$5:$C$24,MATCH($D81,المنتجات!$A$5:$A$24,0)),"كود غير موجود"))</f>
        <v/>
      </c>
      <c r="F81" s="28" t="str">
        <f aca="false">IF($D81="","",IFERROR(INDEX(المنتجات!$B$5:$B$24,MATCH($D81,المنتجات!$A$5:$A$24,0)),""))</f>
        <v/>
      </c>
      <c r="G81" s="24"/>
      <c r="H81" s="25" t="str">
        <f aca="false">IF($D81="","",IFERROR(INDEX(المنتجات!$F$5:$F$24,MATCH($D81,المنتجات!$A$5:$A$24,0)),0))</f>
        <v/>
      </c>
      <c r="I81" s="30"/>
      <c r="J81" s="25" t="str">
        <f aca="false">IF($D81="","",N(G81)*H81-N(I81))</f>
        <v/>
      </c>
      <c r="K81" s="25" t="str">
        <f aca="false">IF($D81="","",N(G81)*IFERROR(INDEX(المنتجات!$H$5:$H$24,MATCH($D81,المنتجات!$A$5:$A$24,0)),0))</f>
        <v/>
      </c>
      <c r="L81" s="25" t="str">
        <f aca="false">IF($D81="","",J81-K81)</f>
        <v/>
      </c>
      <c r="M81" s="29"/>
      <c r="N81" s="29"/>
    </row>
    <row r="82" customFormat="false" ht="15" hidden="false" customHeight="false" outlineLevel="0" collapsed="false">
      <c r="A82" s="32"/>
      <c r="B82" s="29"/>
      <c r="C82" s="29"/>
      <c r="D82" s="29"/>
      <c r="E82" s="28" t="str">
        <f aca="false">IF($D82="","",IFERROR(INDEX(المنتجات!$C$5:$C$24,MATCH($D82,المنتجات!$A$5:$A$24,0)),"كود غير موجود"))</f>
        <v/>
      </c>
      <c r="F82" s="28" t="str">
        <f aca="false">IF($D82="","",IFERROR(INDEX(المنتجات!$B$5:$B$24,MATCH($D82,المنتجات!$A$5:$A$24,0)),""))</f>
        <v/>
      </c>
      <c r="G82" s="24"/>
      <c r="H82" s="25" t="str">
        <f aca="false">IF($D82="","",IFERROR(INDEX(المنتجات!$F$5:$F$24,MATCH($D82,المنتجات!$A$5:$A$24,0)),0))</f>
        <v/>
      </c>
      <c r="I82" s="30"/>
      <c r="J82" s="25" t="str">
        <f aca="false">IF($D82="","",N(G82)*H82-N(I82))</f>
        <v/>
      </c>
      <c r="K82" s="25" t="str">
        <f aca="false">IF($D82="","",N(G82)*IFERROR(INDEX(المنتجات!$H$5:$H$24,MATCH($D82,المنتجات!$A$5:$A$24,0)),0))</f>
        <v/>
      </c>
      <c r="L82" s="25" t="str">
        <f aca="false">IF($D82="","",J82-K82)</f>
        <v/>
      </c>
      <c r="M82" s="29"/>
      <c r="N82" s="29"/>
    </row>
    <row r="83" customFormat="false" ht="15" hidden="false" customHeight="false" outlineLevel="0" collapsed="false">
      <c r="A83" s="32"/>
      <c r="B83" s="29"/>
      <c r="C83" s="29"/>
      <c r="D83" s="29"/>
      <c r="E83" s="28" t="str">
        <f aca="false">IF($D83="","",IFERROR(INDEX(المنتجات!$C$5:$C$24,MATCH($D83,المنتجات!$A$5:$A$24,0)),"كود غير موجود"))</f>
        <v/>
      </c>
      <c r="F83" s="28" t="str">
        <f aca="false">IF($D83="","",IFERROR(INDEX(المنتجات!$B$5:$B$24,MATCH($D83,المنتجات!$A$5:$A$24,0)),""))</f>
        <v/>
      </c>
      <c r="G83" s="24"/>
      <c r="H83" s="25" t="str">
        <f aca="false">IF($D83="","",IFERROR(INDEX(المنتجات!$F$5:$F$24,MATCH($D83,المنتجات!$A$5:$A$24,0)),0))</f>
        <v/>
      </c>
      <c r="I83" s="30"/>
      <c r="J83" s="25" t="str">
        <f aca="false">IF($D83="","",N(G83)*H83-N(I83))</f>
        <v/>
      </c>
      <c r="K83" s="25" t="str">
        <f aca="false">IF($D83="","",N(G83)*IFERROR(INDEX(المنتجات!$H$5:$H$24,MATCH($D83,المنتجات!$A$5:$A$24,0)),0))</f>
        <v/>
      </c>
      <c r="L83" s="25" t="str">
        <f aca="false">IF($D83="","",J83-K83)</f>
        <v/>
      </c>
      <c r="M83" s="29"/>
      <c r="N83" s="29"/>
    </row>
    <row r="84" customFormat="false" ht="15" hidden="false" customHeight="false" outlineLevel="0" collapsed="false">
      <c r="A84" s="32"/>
      <c r="B84" s="29"/>
      <c r="C84" s="29"/>
      <c r="D84" s="29"/>
      <c r="E84" s="28" t="str">
        <f aca="false">IF($D84="","",IFERROR(INDEX(المنتجات!$C$5:$C$24,MATCH($D84,المنتجات!$A$5:$A$24,0)),"كود غير موجود"))</f>
        <v/>
      </c>
      <c r="F84" s="28" t="str">
        <f aca="false">IF($D84="","",IFERROR(INDEX(المنتجات!$B$5:$B$24,MATCH($D84,المنتجات!$A$5:$A$24,0)),""))</f>
        <v/>
      </c>
      <c r="G84" s="24"/>
      <c r="H84" s="25" t="str">
        <f aca="false">IF($D84="","",IFERROR(INDEX(المنتجات!$F$5:$F$24,MATCH($D84,المنتجات!$A$5:$A$24,0)),0))</f>
        <v/>
      </c>
      <c r="I84" s="30"/>
      <c r="J84" s="25" t="str">
        <f aca="false">IF($D84="","",N(G84)*H84-N(I84))</f>
        <v/>
      </c>
      <c r="K84" s="25" t="str">
        <f aca="false">IF($D84="","",N(G84)*IFERROR(INDEX(المنتجات!$H$5:$H$24,MATCH($D84,المنتجات!$A$5:$A$24,0)),0))</f>
        <v/>
      </c>
      <c r="L84" s="25" t="str">
        <f aca="false">IF($D84="","",J84-K84)</f>
        <v/>
      </c>
      <c r="M84" s="29"/>
      <c r="N84" s="29"/>
    </row>
    <row r="85" customFormat="false" ht="15" hidden="false" customHeight="false" outlineLevel="0" collapsed="false">
      <c r="A85" s="32"/>
      <c r="B85" s="29"/>
      <c r="C85" s="29"/>
      <c r="D85" s="29"/>
      <c r="E85" s="28" t="str">
        <f aca="false">IF($D85="","",IFERROR(INDEX(المنتجات!$C$5:$C$24,MATCH($D85,المنتجات!$A$5:$A$24,0)),"كود غير موجود"))</f>
        <v/>
      </c>
      <c r="F85" s="28" t="str">
        <f aca="false">IF($D85="","",IFERROR(INDEX(المنتجات!$B$5:$B$24,MATCH($D85,المنتجات!$A$5:$A$24,0)),""))</f>
        <v/>
      </c>
      <c r="G85" s="24"/>
      <c r="H85" s="25" t="str">
        <f aca="false">IF($D85="","",IFERROR(INDEX(المنتجات!$F$5:$F$24,MATCH($D85,المنتجات!$A$5:$A$24,0)),0))</f>
        <v/>
      </c>
      <c r="I85" s="30"/>
      <c r="J85" s="25" t="str">
        <f aca="false">IF($D85="","",N(G85)*H85-N(I85))</f>
        <v/>
      </c>
      <c r="K85" s="25" t="str">
        <f aca="false">IF($D85="","",N(G85)*IFERROR(INDEX(المنتجات!$H$5:$H$24,MATCH($D85,المنتجات!$A$5:$A$24,0)),0))</f>
        <v/>
      </c>
      <c r="L85" s="25" t="str">
        <f aca="false">IF($D85="","",J85-K85)</f>
        <v/>
      </c>
      <c r="M85" s="29"/>
      <c r="N85" s="29"/>
    </row>
    <row r="86" customFormat="false" ht="15" hidden="false" customHeight="false" outlineLevel="0" collapsed="false">
      <c r="A86" s="32"/>
      <c r="B86" s="29"/>
      <c r="C86" s="29"/>
      <c r="D86" s="29"/>
      <c r="E86" s="28" t="str">
        <f aca="false">IF($D86="","",IFERROR(INDEX(المنتجات!$C$5:$C$24,MATCH($D86,المنتجات!$A$5:$A$24,0)),"كود غير موجود"))</f>
        <v/>
      </c>
      <c r="F86" s="28" t="str">
        <f aca="false">IF($D86="","",IFERROR(INDEX(المنتجات!$B$5:$B$24,MATCH($D86,المنتجات!$A$5:$A$24,0)),""))</f>
        <v/>
      </c>
      <c r="G86" s="24"/>
      <c r="H86" s="25" t="str">
        <f aca="false">IF($D86="","",IFERROR(INDEX(المنتجات!$F$5:$F$24,MATCH($D86,المنتجات!$A$5:$A$24,0)),0))</f>
        <v/>
      </c>
      <c r="I86" s="30"/>
      <c r="J86" s="25" t="str">
        <f aca="false">IF($D86="","",N(G86)*H86-N(I86))</f>
        <v/>
      </c>
      <c r="K86" s="25" t="str">
        <f aca="false">IF($D86="","",N(G86)*IFERROR(INDEX(المنتجات!$H$5:$H$24,MATCH($D86,المنتجات!$A$5:$A$24,0)),0))</f>
        <v/>
      </c>
      <c r="L86" s="25" t="str">
        <f aca="false">IF($D86="","",J86-K86)</f>
        <v/>
      </c>
      <c r="M86" s="29"/>
      <c r="N86" s="29"/>
    </row>
    <row r="87" customFormat="false" ht="15" hidden="false" customHeight="false" outlineLevel="0" collapsed="false">
      <c r="A87" s="32"/>
      <c r="B87" s="29"/>
      <c r="C87" s="29"/>
      <c r="D87" s="29"/>
      <c r="E87" s="28" t="str">
        <f aca="false">IF($D87="","",IFERROR(INDEX(المنتجات!$C$5:$C$24,MATCH($D87,المنتجات!$A$5:$A$24,0)),"كود غير موجود"))</f>
        <v/>
      </c>
      <c r="F87" s="28" t="str">
        <f aca="false">IF($D87="","",IFERROR(INDEX(المنتجات!$B$5:$B$24,MATCH($D87,المنتجات!$A$5:$A$24,0)),""))</f>
        <v/>
      </c>
      <c r="G87" s="24"/>
      <c r="H87" s="25" t="str">
        <f aca="false">IF($D87="","",IFERROR(INDEX(المنتجات!$F$5:$F$24,MATCH($D87,المنتجات!$A$5:$A$24,0)),0))</f>
        <v/>
      </c>
      <c r="I87" s="30"/>
      <c r="J87" s="25" t="str">
        <f aca="false">IF($D87="","",N(G87)*H87-N(I87))</f>
        <v/>
      </c>
      <c r="K87" s="25" t="str">
        <f aca="false">IF($D87="","",N(G87)*IFERROR(INDEX(المنتجات!$H$5:$H$24,MATCH($D87,المنتجات!$A$5:$A$24,0)),0))</f>
        <v/>
      </c>
      <c r="L87" s="25" t="str">
        <f aca="false">IF($D87="","",J87-K87)</f>
        <v/>
      </c>
      <c r="M87" s="29"/>
      <c r="N87" s="29"/>
    </row>
    <row r="88" customFormat="false" ht="15" hidden="false" customHeight="false" outlineLevel="0" collapsed="false">
      <c r="A88" s="32"/>
      <c r="B88" s="29"/>
      <c r="C88" s="29"/>
      <c r="D88" s="29"/>
      <c r="E88" s="28" t="str">
        <f aca="false">IF($D88="","",IFERROR(INDEX(المنتجات!$C$5:$C$24,MATCH($D88,المنتجات!$A$5:$A$24,0)),"كود غير موجود"))</f>
        <v/>
      </c>
      <c r="F88" s="28" t="str">
        <f aca="false">IF($D88="","",IFERROR(INDEX(المنتجات!$B$5:$B$24,MATCH($D88,المنتجات!$A$5:$A$24,0)),""))</f>
        <v/>
      </c>
      <c r="G88" s="24"/>
      <c r="H88" s="25" t="str">
        <f aca="false">IF($D88="","",IFERROR(INDEX(المنتجات!$F$5:$F$24,MATCH($D88,المنتجات!$A$5:$A$24,0)),0))</f>
        <v/>
      </c>
      <c r="I88" s="30"/>
      <c r="J88" s="25" t="str">
        <f aca="false">IF($D88="","",N(G88)*H88-N(I88))</f>
        <v/>
      </c>
      <c r="K88" s="25" t="str">
        <f aca="false">IF($D88="","",N(G88)*IFERROR(INDEX(المنتجات!$H$5:$H$24,MATCH($D88,المنتجات!$A$5:$A$24,0)),0))</f>
        <v/>
      </c>
      <c r="L88" s="25" t="str">
        <f aca="false">IF($D88="","",J88-K88)</f>
        <v/>
      </c>
      <c r="M88" s="29"/>
      <c r="N88" s="29"/>
    </row>
    <row r="89" customFormat="false" ht="15" hidden="false" customHeight="false" outlineLevel="0" collapsed="false">
      <c r="A89" s="32"/>
      <c r="B89" s="29"/>
      <c r="C89" s="29"/>
      <c r="D89" s="29"/>
      <c r="E89" s="28" t="str">
        <f aca="false">IF($D89="","",IFERROR(INDEX(المنتجات!$C$5:$C$24,MATCH($D89,المنتجات!$A$5:$A$24,0)),"كود غير موجود"))</f>
        <v/>
      </c>
      <c r="F89" s="28" t="str">
        <f aca="false">IF($D89="","",IFERROR(INDEX(المنتجات!$B$5:$B$24,MATCH($D89,المنتجات!$A$5:$A$24,0)),""))</f>
        <v/>
      </c>
      <c r="G89" s="24"/>
      <c r="H89" s="25" t="str">
        <f aca="false">IF($D89="","",IFERROR(INDEX(المنتجات!$F$5:$F$24,MATCH($D89,المنتجات!$A$5:$A$24,0)),0))</f>
        <v/>
      </c>
      <c r="I89" s="30"/>
      <c r="J89" s="25" t="str">
        <f aca="false">IF($D89="","",N(G89)*H89-N(I89))</f>
        <v/>
      </c>
      <c r="K89" s="25" t="str">
        <f aca="false">IF($D89="","",N(G89)*IFERROR(INDEX(المنتجات!$H$5:$H$24,MATCH($D89,المنتجات!$A$5:$A$24,0)),0))</f>
        <v/>
      </c>
      <c r="L89" s="25" t="str">
        <f aca="false">IF($D89="","",J89-K89)</f>
        <v/>
      </c>
      <c r="M89" s="29"/>
      <c r="N89" s="29"/>
    </row>
    <row r="90" customFormat="false" ht="15" hidden="false" customHeight="false" outlineLevel="0" collapsed="false">
      <c r="A90" s="32"/>
      <c r="B90" s="29"/>
      <c r="C90" s="29"/>
      <c r="D90" s="29"/>
      <c r="E90" s="28" t="str">
        <f aca="false">IF($D90="","",IFERROR(INDEX(المنتجات!$C$5:$C$24,MATCH($D90,المنتجات!$A$5:$A$24,0)),"كود غير موجود"))</f>
        <v/>
      </c>
      <c r="F90" s="28" t="str">
        <f aca="false">IF($D90="","",IFERROR(INDEX(المنتجات!$B$5:$B$24,MATCH($D90,المنتجات!$A$5:$A$24,0)),""))</f>
        <v/>
      </c>
      <c r="G90" s="24"/>
      <c r="H90" s="25" t="str">
        <f aca="false">IF($D90="","",IFERROR(INDEX(المنتجات!$F$5:$F$24,MATCH($D90,المنتجات!$A$5:$A$24,0)),0))</f>
        <v/>
      </c>
      <c r="I90" s="30"/>
      <c r="J90" s="25" t="str">
        <f aca="false">IF($D90="","",N(G90)*H90-N(I90))</f>
        <v/>
      </c>
      <c r="K90" s="25" t="str">
        <f aca="false">IF($D90="","",N(G90)*IFERROR(INDEX(المنتجات!$H$5:$H$24,MATCH($D90,المنتجات!$A$5:$A$24,0)),0))</f>
        <v/>
      </c>
      <c r="L90" s="25" t="str">
        <f aca="false">IF($D90="","",J90-K90)</f>
        <v/>
      </c>
      <c r="M90" s="29"/>
      <c r="N90" s="29"/>
    </row>
    <row r="91" customFormat="false" ht="15" hidden="false" customHeight="false" outlineLevel="0" collapsed="false">
      <c r="A91" s="32"/>
      <c r="B91" s="29"/>
      <c r="C91" s="29"/>
      <c r="D91" s="29"/>
      <c r="E91" s="28" t="str">
        <f aca="false">IF($D91="","",IFERROR(INDEX(المنتجات!$C$5:$C$24,MATCH($D91,المنتجات!$A$5:$A$24,0)),"كود غير موجود"))</f>
        <v/>
      </c>
      <c r="F91" s="28" t="str">
        <f aca="false">IF($D91="","",IFERROR(INDEX(المنتجات!$B$5:$B$24,MATCH($D91,المنتجات!$A$5:$A$24,0)),""))</f>
        <v/>
      </c>
      <c r="G91" s="24"/>
      <c r="H91" s="25" t="str">
        <f aca="false">IF($D91="","",IFERROR(INDEX(المنتجات!$F$5:$F$24,MATCH($D91,المنتجات!$A$5:$A$24,0)),0))</f>
        <v/>
      </c>
      <c r="I91" s="30"/>
      <c r="J91" s="25" t="str">
        <f aca="false">IF($D91="","",N(G91)*H91-N(I91))</f>
        <v/>
      </c>
      <c r="K91" s="25" t="str">
        <f aca="false">IF($D91="","",N(G91)*IFERROR(INDEX(المنتجات!$H$5:$H$24,MATCH($D91,المنتجات!$A$5:$A$24,0)),0))</f>
        <v/>
      </c>
      <c r="L91" s="25" t="str">
        <f aca="false">IF($D91="","",J91-K91)</f>
        <v/>
      </c>
      <c r="M91" s="29"/>
      <c r="N91" s="29"/>
    </row>
    <row r="92" customFormat="false" ht="15" hidden="false" customHeight="false" outlineLevel="0" collapsed="false">
      <c r="A92" s="32"/>
      <c r="B92" s="29"/>
      <c r="C92" s="29"/>
      <c r="D92" s="29"/>
      <c r="E92" s="28" t="str">
        <f aca="false">IF($D92="","",IFERROR(INDEX(المنتجات!$C$5:$C$24,MATCH($D92,المنتجات!$A$5:$A$24,0)),"كود غير موجود"))</f>
        <v/>
      </c>
      <c r="F92" s="28" t="str">
        <f aca="false">IF($D92="","",IFERROR(INDEX(المنتجات!$B$5:$B$24,MATCH($D92,المنتجات!$A$5:$A$24,0)),""))</f>
        <v/>
      </c>
      <c r="G92" s="24"/>
      <c r="H92" s="25" t="str">
        <f aca="false">IF($D92="","",IFERROR(INDEX(المنتجات!$F$5:$F$24,MATCH($D92,المنتجات!$A$5:$A$24,0)),0))</f>
        <v/>
      </c>
      <c r="I92" s="30"/>
      <c r="J92" s="25" t="str">
        <f aca="false">IF($D92="","",N(G92)*H92-N(I92))</f>
        <v/>
      </c>
      <c r="K92" s="25" t="str">
        <f aca="false">IF($D92="","",N(G92)*IFERROR(INDEX(المنتجات!$H$5:$H$24,MATCH($D92,المنتجات!$A$5:$A$24,0)),0))</f>
        <v/>
      </c>
      <c r="L92" s="25" t="str">
        <f aca="false">IF($D92="","",J92-K92)</f>
        <v/>
      </c>
      <c r="M92" s="29"/>
      <c r="N92" s="29"/>
    </row>
    <row r="93" customFormat="false" ht="15" hidden="false" customHeight="false" outlineLevel="0" collapsed="false">
      <c r="A93" s="32"/>
      <c r="B93" s="29"/>
      <c r="C93" s="29"/>
      <c r="D93" s="29"/>
      <c r="E93" s="28" t="str">
        <f aca="false">IF($D93="","",IFERROR(INDEX(المنتجات!$C$5:$C$24,MATCH($D93,المنتجات!$A$5:$A$24,0)),"كود غير موجود"))</f>
        <v/>
      </c>
      <c r="F93" s="28" t="str">
        <f aca="false">IF($D93="","",IFERROR(INDEX(المنتجات!$B$5:$B$24,MATCH($D93,المنتجات!$A$5:$A$24,0)),""))</f>
        <v/>
      </c>
      <c r="G93" s="24"/>
      <c r="H93" s="25" t="str">
        <f aca="false">IF($D93="","",IFERROR(INDEX(المنتجات!$F$5:$F$24,MATCH($D93,المنتجات!$A$5:$A$24,0)),0))</f>
        <v/>
      </c>
      <c r="I93" s="30"/>
      <c r="J93" s="25" t="str">
        <f aca="false">IF($D93="","",N(G93)*H93-N(I93))</f>
        <v/>
      </c>
      <c r="K93" s="25" t="str">
        <f aca="false">IF($D93="","",N(G93)*IFERROR(INDEX(المنتجات!$H$5:$H$24,MATCH($D93,المنتجات!$A$5:$A$24,0)),0))</f>
        <v/>
      </c>
      <c r="L93" s="25" t="str">
        <f aca="false">IF($D93="","",J93-K93)</f>
        <v/>
      </c>
      <c r="M93" s="29"/>
      <c r="N93" s="29"/>
    </row>
    <row r="94" customFormat="false" ht="15" hidden="false" customHeight="false" outlineLevel="0" collapsed="false">
      <c r="A94" s="32"/>
      <c r="B94" s="29"/>
      <c r="C94" s="29"/>
      <c r="D94" s="29"/>
      <c r="E94" s="28" t="str">
        <f aca="false">IF($D94="","",IFERROR(INDEX(المنتجات!$C$5:$C$24,MATCH($D94,المنتجات!$A$5:$A$24,0)),"كود غير موجود"))</f>
        <v/>
      </c>
      <c r="F94" s="28" t="str">
        <f aca="false">IF($D94="","",IFERROR(INDEX(المنتجات!$B$5:$B$24,MATCH($D94,المنتجات!$A$5:$A$24,0)),""))</f>
        <v/>
      </c>
      <c r="G94" s="24"/>
      <c r="H94" s="25" t="str">
        <f aca="false">IF($D94="","",IFERROR(INDEX(المنتجات!$F$5:$F$24,MATCH($D94,المنتجات!$A$5:$A$24,0)),0))</f>
        <v/>
      </c>
      <c r="I94" s="30"/>
      <c r="J94" s="25" t="str">
        <f aca="false">IF($D94="","",N(G94)*H94-N(I94))</f>
        <v/>
      </c>
      <c r="K94" s="25" t="str">
        <f aca="false">IF($D94="","",N(G94)*IFERROR(INDEX(المنتجات!$H$5:$H$24,MATCH($D94,المنتجات!$A$5:$A$24,0)),0))</f>
        <v/>
      </c>
      <c r="L94" s="25" t="str">
        <f aca="false">IF($D94="","",J94-K94)</f>
        <v/>
      </c>
      <c r="M94" s="29"/>
      <c r="N94" s="29"/>
    </row>
    <row r="95" customFormat="false" ht="15" hidden="false" customHeight="false" outlineLevel="0" collapsed="false">
      <c r="A95" s="32"/>
      <c r="B95" s="29"/>
      <c r="C95" s="29"/>
      <c r="D95" s="29"/>
      <c r="E95" s="28" t="str">
        <f aca="false">IF($D95="","",IFERROR(INDEX(المنتجات!$C$5:$C$24,MATCH($D95,المنتجات!$A$5:$A$24,0)),"كود غير موجود"))</f>
        <v/>
      </c>
      <c r="F95" s="28" t="str">
        <f aca="false">IF($D95="","",IFERROR(INDEX(المنتجات!$B$5:$B$24,MATCH($D95,المنتجات!$A$5:$A$24,0)),""))</f>
        <v/>
      </c>
      <c r="G95" s="24"/>
      <c r="H95" s="25" t="str">
        <f aca="false">IF($D95="","",IFERROR(INDEX(المنتجات!$F$5:$F$24,MATCH($D95,المنتجات!$A$5:$A$24,0)),0))</f>
        <v/>
      </c>
      <c r="I95" s="30"/>
      <c r="J95" s="25" t="str">
        <f aca="false">IF($D95="","",N(G95)*H95-N(I95))</f>
        <v/>
      </c>
      <c r="K95" s="25" t="str">
        <f aca="false">IF($D95="","",N(G95)*IFERROR(INDEX(المنتجات!$H$5:$H$24,MATCH($D95,المنتجات!$A$5:$A$24,0)),0))</f>
        <v/>
      </c>
      <c r="L95" s="25" t="str">
        <f aca="false">IF($D95="","",J95-K95)</f>
        <v/>
      </c>
      <c r="M95" s="29"/>
      <c r="N95" s="29"/>
    </row>
    <row r="96" customFormat="false" ht="15" hidden="false" customHeight="false" outlineLevel="0" collapsed="false">
      <c r="A96" s="32"/>
      <c r="B96" s="29"/>
      <c r="C96" s="29"/>
      <c r="D96" s="29"/>
      <c r="E96" s="28" t="str">
        <f aca="false">IF($D96="","",IFERROR(INDEX(المنتجات!$C$5:$C$24,MATCH($D96,المنتجات!$A$5:$A$24,0)),"كود غير موجود"))</f>
        <v/>
      </c>
      <c r="F96" s="28" t="str">
        <f aca="false">IF($D96="","",IFERROR(INDEX(المنتجات!$B$5:$B$24,MATCH($D96,المنتجات!$A$5:$A$24,0)),""))</f>
        <v/>
      </c>
      <c r="G96" s="24"/>
      <c r="H96" s="25" t="str">
        <f aca="false">IF($D96="","",IFERROR(INDEX(المنتجات!$F$5:$F$24,MATCH($D96,المنتجات!$A$5:$A$24,0)),0))</f>
        <v/>
      </c>
      <c r="I96" s="30"/>
      <c r="J96" s="25" t="str">
        <f aca="false">IF($D96="","",N(G96)*H96-N(I96))</f>
        <v/>
      </c>
      <c r="K96" s="25" t="str">
        <f aca="false">IF($D96="","",N(G96)*IFERROR(INDEX(المنتجات!$H$5:$H$24,MATCH($D96,المنتجات!$A$5:$A$24,0)),0))</f>
        <v/>
      </c>
      <c r="L96" s="25" t="str">
        <f aca="false">IF($D96="","",J96-K96)</f>
        <v/>
      </c>
      <c r="M96" s="29"/>
      <c r="N96" s="29"/>
    </row>
    <row r="97" customFormat="false" ht="15" hidden="false" customHeight="false" outlineLevel="0" collapsed="false">
      <c r="A97" s="32"/>
      <c r="B97" s="29"/>
      <c r="C97" s="29"/>
      <c r="D97" s="29"/>
      <c r="E97" s="28" t="str">
        <f aca="false">IF($D97="","",IFERROR(INDEX(المنتجات!$C$5:$C$24,MATCH($D97,المنتجات!$A$5:$A$24,0)),"كود غير موجود"))</f>
        <v/>
      </c>
      <c r="F97" s="28" t="str">
        <f aca="false">IF($D97="","",IFERROR(INDEX(المنتجات!$B$5:$B$24,MATCH($D97,المنتجات!$A$5:$A$24,0)),""))</f>
        <v/>
      </c>
      <c r="G97" s="24"/>
      <c r="H97" s="25" t="str">
        <f aca="false">IF($D97="","",IFERROR(INDEX(المنتجات!$F$5:$F$24,MATCH($D97,المنتجات!$A$5:$A$24,0)),0))</f>
        <v/>
      </c>
      <c r="I97" s="30"/>
      <c r="J97" s="25" t="str">
        <f aca="false">IF($D97="","",N(G97)*H97-N(I97))</f>
        <v/>
      </c>
      <c r="K97" s="25" t="str">
        <f aca="false">IF($D97="","",N(G97)*IFERROR(INDEX(المنتجات!$H$5:$H$24,MATCH($D97,المنتجات!$A$5:$A$24,0)),0))</f>
        <v/>
      </c>
      <c r="L97" s="25" t="str">
        <f aca="false">IF($D97="","",J97-K97)</f>
        <v/>
      </c>
      <c r="M97" s="29"/>
      <c r="N97" s="29"/>
    </row>
    <row r="98" customFormat="false" ht="15" hidden="false" customHeight="false" outlineLevel="0" collapsed="false">
      <c r="A98" s="32"/>
      <c r="B98" s="29"/>
      <c r="C98" s="29"/>
      <c r="D98" s="29"/>
      <c r="E98" s="28" t="str">
        <f aca="false">IF($D98="","",IFERROR(INDEX(المنتجات!$C$5:$C$24,MATCH($D98,المنتجات!$A$5:$A$24,0)),"كود غير موجود"))</f>
        <v/>
      </c>
      <c r="F98" s="28" t="str">
        <f aca="false">IF($D98="","",IFERROR(INDEX(المنتجات!$B$5:$B$24,MATCH($D98,المنتجات!$A$5:$A$24,0)),""))</f>
        <v/>
      </c>
      <c r="G98" s="24"/>
      <c r="H98" s="25" t="str">
        <f aca="false">IF($D98="","",IFERROR(INDEX(المنتجات!$F$5:$F$24,MATCH($D98,المنتجات!$A$5:$A$24,0)),0))</f>
        <v/>
      </c>
      <c r="I98" s="30"/>
      <c r="J98" s="25" t="str">
        <f aca="false">IF($D98="","",N(G98)*H98-N(I98))</f>
        <v/>
      </c>
      <c r="K98" s="25" t="str">
        <f aca="false">IF($D98="","",N(G98)*IFERROR(INDEX(المنتجات!$H$5:$H$24,MATCH($D98,المنتجات!$A$5:$A$24,0)),0))</f>
        <v/>
      </c>
      <c r="L98" s="25" t="str">
        <f aca="false">IF($D98="","",J98-K98)</f>
        <v/>
      </c>
      <c r="M98" s="29"/>
      <c r="N98" s="29"/>
    </row>
    <row r="99" customFormat="false" ht="15" hidden="false" customHeight="false" outlineLevel="0" collapsed="false">
      <c r="A99" s="32"/>
      <c r="B99" s="29"/>
      <c r="C99" s="29"/>
      <c r="D99" s="29"/>
      <c r="E99" s="28" t="str">
        <f aca="false">IF($D99="","",IFERROR(INDEX(المنتجات!$C$5:$C$24,MATCH($D99,المنتجات!$A$5:$A$24,0)),"كود غير موجود"))</f>
        <v/>
      </c>
      <c r="F99" s="28" t="str">
        <f aca="false">IF($D99="","",IFERROR(INDEX(المنتجات!$B$5:$B$24,MATCH($D99,المنتجات!$A$5:$A$24,0)),""))</f>
        <v/>
      </c>
      <c r="G99" s="24"/>
      <c r="H99" s="25" t="str">
        <f aca="false">IF($D99="","",IFERROR(INDEX(المنتجات!$F$5:$F$24,MATCH($D99,المنتجات!$A$5:$A$24,0)),0))</f>
        <v/>
      </c>
      <c r="I99" s="30"/>
      <c r="J99" s="25" t="str">
        <f aca="false">IF($D99="","",N(G99)*H99-N(I99))</f>
        <v/>
      </c>
      <c r="K99" s="25" t="str">
        <f aca="false">IF($D99="","",N(G99)*IFERROR(INDEX(المنتجات!$H$5:$H$24,MATCH($D99,المنتجات!$A$5:$A$24,0)),0))</f>
        <v/>
      </c>
      <c r="L99" s="25" t="str">
        <f aca="false">IF($D99="","",J99-K99)</f>
        <v/>
      </c>
      <c r="M99" s="29"/>
      <c r="N99" s="29"/>
    </row>
    <row r="100" customFormat="false" ht="15" hidden="false" customHeight="false" outlineLevel="0" collapsed="false">
      <c r="A100" s="32"/>
      <c r="B100" s="29"/>
      <c r="C100" s="29"/>
      <c r="D100" s="29"/>
      <c r="E100" s="28" t="str">
        <f aca="false">IF($D100="","",IFERROR(INDEX(المنتجات!$C$5:$C$24,MATCH($D100,المنتجات!$A$5:$A$24,0)),"كود غير موجود"))</f>
        <v/>
      </c>
      <c r="F100" s="28" t="str">
        <f aca="false">IF($D100="","",IFERROR(INDEX(المنتجات!$B$5:$B$24,MATCH($D100,المنتجات!$A$5:$A$24,0)),""))</f>
        <v/>
      </c>
      <c r="G100" s="24"/>
      <c r="H100" s="25" t="str">
        <f aca="false">IF($D100="","",IFERROR(INDEX(المنتجات!$F$5:$F$24,MATCH($D100,المنتجات!$A$5:$A$24,0)),0))</f>
        <v/>
      </c>
      <c r="I100" s="30"/>
      <c r="J100" s="25" t="str">
        <f aca="false">IF($D100="","",N(G100)*H100-N(I100))</f>
        <v/>
      </c>
      <c r="K100" s="25" t="str">
        <f aca="false">IF($D100="","",N(G100)*IFERROR(INDEX(المنتجات!$H$5:$H$24,MATCH($D100,المنتجات!$A$5:$A$24,0)),0))</f>
        <v/>
      </c>
      <c r="L100" s="25" t="str">
        <f aca="false">IF($D100="","",J100-K100)</f>
        <v/>
      </c>
      <c r="M100" s="29"/>
      <c r="N100" s="29"/>
    </row>
    <row r="101" customFormat="false" ht="15" hidden="false" customHeight="false" outlineLevel="0" collapsed="false">
      <c r="A101" s="32"/>
      <c r="B101" s="29"/>
      <c r="C101" s="29"/>
      <c r="D101" s="29"/>
      <c r="E101" s="28" t="str">
        <f aca="false">IF($D101="","",IFERROR(INDEX(المنتجات!$C$5:$C$24,MATCH($D101,المنتجات!$A$5:$A$24,0)),"كود غير موجود"))</f>
        <v/>
      </c>
      <c r="F101" s="28" t="str">
        <f aca="false">IF($D101="","",IFERROR(INDEX(المنتجات!$B$5:$B$24,MATCH($D101,المنتجات!$A$5:$A$24,0)),""))</f>
        <v/>
      </c>
      <c r="G101" s="24"/>
      <c r="H101" s="25" t="str">
        <f aca="false">IF($D101="","",IFERROR(INDEX(المنتجات!$F$5:$F$24,MATCH($D101,المنتجات!$A$5:$A$24,0)),0))</f>
        <v/>
      </c>
      <c r="I101" s="30"/>
      <c r="J101" s="25" t="str">
        <f aca="false">IF($D101="","",N(G101)*H101-N(I101))</f>
        <v/>
      </c>
      <c r="K101" s="25" t="str">
        <f aca="false">IF($D101="","",N(G101)*IFERROR(INDEX(المنتجات!$H$5:$H$24,MATCH($D101,المنتجات!$A$5:$A$24,0)),0))</f>
        <v/>
      </c>
      <c r="L101" s="25" t="str">
        <f aca="false">IF($D101="","",J101-K101)</f>
        <v/>
      </c>
      <c r="M101" s="29"/>
      <c r="N101" s="29"/>
    </row>
    <row r="102" customFormat="false" ht="15" hidden="false" customHeight="false" outlineLevel="0" collapsed="false">
      <c r="A102" s="32"/>
      <c r="B102" s="29"/>
      <c r="C102" s="29"/>
      <c r="D102" s="29"/>
      <c r="E102" s="28" t="str">
        <f aca="false">IF($D102="","",IFERROR(INDEX(المنتجات!$C$5:$C$24,MATCH($D102,المنتجات!$A$5:$A$24,0)),"كود غير موجود"))</f>
        <v/>
      </c>
      <c r="F102" s="28" t="str">
        <f aca="false">IF($D102="","",IFERROR(INDEX(المنتجات!$B$5:$B$24,MATCH($D102,المنتجات!$A$5:$A$24,0)),""))</f>
        <v/>
      </c>
      <c r="G102" s="24"/>
      <c r="H102" s="25" t="str">
        <f aca="false">IF($D102="","",IFERROR(INDEX(المنتجات!$F$5:$F$24,MATCH($D102,المنتجات!$A$5:$A$24,0)),0))</f>
        <v/>
      </c>
      <c r="I102" s="30"/>
      <c r="J102" s="25" t="str">
        <f aca="false">IF($D102="","",N(G102)*H102-N(I102))</f>
        <v/>
      </c>
      <c r="K102" s="25" t="str">
        <f aca="false">IF($D102="","",N(G102)*IFERROR(INDEX(المنتجات!$H$5:$H$24,MATCH($D102,المنتجات!$A$5:$A$24,0)),0))</f>
        <v/>
      </c>
      <c r="L102" s="25" t="str">
        <f aca="false">IF($D102="","",J102-K102)</f>
        <v/>
      </c>
      <c r="M102" s="29"/>
      <c r="N102" s="29"/>
    </row>
    <row r="103" customFormat="false" ht="15" hidden="false" customHeight="false" outlineLevel="0" collapsed="false">
      <c r="A103" s="32"/>
      <c r="B103" s="29"/>
      <c r="C103" s="29"/>
      <c r="D103" s="29"/>
      <c r="E103" s="28" t="str">
        <f aca="false">IF($D103="","",IFERROR(INDEX(المنتجات!$C$5:$C$24,MATCH($D103,المنتجات!$A$5:$A$24,0)),"كود غير موجود"))</f>
        <v/>
      </c>
      <c r="F103" s="28" t="str">
        <f aca="false">IF($D103="","",IFERROR(INDEX(المنتجات!$B$5:$B$24,MATCH($D103,المنتجات!$A$5:$A$24,0)),""))</f>
        <v/>
      </c>
      <c r="G103" s="24"/>
      <c r="H103" s="25" t="str">
        <f aca="false">IF($D103="","",IFERROR(INDEX(المنتجات!$F$5:$F$24,MATCH($D103,المنتجات!$A$5:$A$24,0)),0))</f>
        <v/>
      </c>
      <c r="I103" s="30"/>
      <c r="J103" s="25" t="str">
        <f aca="false">IF($D103="","",N(G103)*H103-N(I103))</f>
        <v/>
      </c>
      <c r="K103" s="25" t="str">
        <f aca="false">IF($D103="","",N(G103)*IFERROR(INDEX(المنتجات!$H$5:$H$24,MATCH($D103,المنتجات!$A$5:$A$24,0)),0))</f>
        <v/>
      </c>
      <c r="L103" s="25" t="str">
        <f aca="false">IF($D103="","",J103-K103)</f>
        <v/>
      </c>
      <c r="M103" s="29"/>
      <c r="N103" s="29"/>
    </row>
    <row r="104" customFormat="false" ht="15" hidden="false" customHeight="false" outlineLevel="0" collapsed="false">
      <c r="A104" s="32"/>
      <c r="B104" s="29"/>
      <c r="C104" s="29"/>
      <c r="D104" s="29"/>
      <c r="E104" s="28" t="str">
        <f aca="false">IF($D104="","",IFERROR(INDEX(المنتجات!$C$5:$C$24,MATCH($D104,المنتجات!$A$5:$A$24,0)),"كود غير موجود"))</f>
        <v/>
      </c>
      <c r="F104" s="28" t="str">
        <f aca="false">IF($D104="","",IFERROR(INDEX(المنتجات!$B$5:$B$24,MATCH($D104,المنتجات!$A$5:$A$24,0)),""))</f>
        <v/>
      </c>
      <c r="G104" s="24"/>
      <c r="H104" s="25" t="str">
        <f aca="false">IF($D104="","",IFERROR(INDEX(المنتجات!$F$5:$F$24,MATCH($D104,المنتجات!$A$5:$A$24,0)),0))</f>
        <v/>
      </c>
      <c r="I104" s="30"/>
      <c r="J104" s="25" t="str">
        <f aca="false">IF($D104="","",N(G104)*H104-N(I104))</f>
        <v/>
      </c>
      <c r="K104" s="25" t="str">
        <f aca="false">IF($D104="","",N(G104)*IFERROR(INDEX(المنتجات!$H$5:$H$24,MATCH($D104,المنتجات!$A$5:$A$24,0)),0))</f>
        <v/>
      </c>
      <c r="L104" s="25" t="str">
        <f aca="false">IF($D104="","",J104-K104)</f>
        <v/>
      </c>
      <c r="M104" s="29"/>
      <c r="N104" s="29"/>
    </row>
    <row r="105" customFormat="false" ht="15" hidden="false" customHeight="false" outlineLevel="0" collapsed="false">
      <c r="A105" s="32"/>
      <c r="B105" s="29"/>
      <c r="C105" s="29"/>
      <c r="D105" s="29"/>
      <c r="E105" s="28" t="str">
        <f aca="false">IF($D105="","",IFERROR(INDEX(المنتجات!$C$5:$C$24,MATCH($D105,المنتجات!$A$5:$A$24,0)),"كود غير موجود"))</f>
        <v/>
      </c>
      <c r="F105" s="28" t="str">
        <f aca="false">IF($D105="","",IFERROR(INDEX(المنتجات!$B$5:$B$24,MATCH($D105,المنتجات!$A$5:$A$24,0)),""))</f>
        <v/>
      </c>
      <c r="G105" s="24"/>
      <c r="H105" s="25" t="str">
        <f aca="false">IF($D105="","",IFERROR(INDEX(المنتجات!$F$5:$F$24,MATCH($D105,المنتجات!$A$5:$A$24,0)),0))</f>
        <v/>
      </c>
      <c r="I105" s="30"/>
      <c r="J105" s="25" t="str">
        <f aca="false">IF($D105="","",N(G105)*H105-N(I105))</f>
        <v/>
      </c>
      <c r="K105" s="25" t="str">
        <f aca="false">IF($D105="","",N(G105)*IFERROR(INDEX(المنتجات!$H$5:$H$24,MATCH($D105,المنتجات!$A$5:$A$24,0)),0))</f>
        <v/>
      </c>
      <c r="L105" s="25" t="str">
        <f aca="false">IF($D105="","",J105-K105)</f>
        <v/>
      </c>
      <c r="M105" s="29"/>
      <c r="N105" s="29"/>
    </row>
    <row r="106" customFormat="false" ht="15" hidden="false" customHeight="false" outlineLevel="0" collapsed="false">
      <c r="A106" s="32"/>
      <c r="B106" s="29"/>
      <c r="C106" s="29"/>
      <c r="D106" s="29"/>
      <c r="E106" s="28" t="str">
        <f aca="false">IF($D106="","",IFERROR(INDEX(المنتجات!$C$5:$C$24,MATCH($D106,المنتجات!$A$5:$A$24,0)),"كود غير موجود"))</f>
        <v/>
      </c>
      <c r="F106" s="28" t="str">
        <f aca="false">IF($D106="","",IFERROR(INDEX(المنتجات!$B$5:$B$24,MATCH($D106,المنتجات!$A$5:$A$24,0)),""))</f>
        <v/>
      </c>
      <c r="G106" s="24"/>
      <c r="H106" s="25" t="str">
        <f aca="false">IF($D106="","",IFERROR(INDEX(المنتجات!$F$5:$F$24,MATCH($D106,المنتجات!$A$5:$A$24,0)),0))</f>
        <v/>
      </c>
      <c r="I106" s="30"/>
      <c r="J106" s="25" t="str">
        <f aca="false">IF($D106="","",N(G106)*H106-N(I106))</f>
        <v/>
      </c>
      <c r="K106" s="25" t="str">
        <f aca="false">IF($D106="","",N(G106)*IFERROR(INDEX(المنتجات!$H$5:$H$24,MATCH($D106,المنتجات!$A$5:$A$24,0)),0))</f>
        <v/>
      </c>
      <c r="L106" s="25" t="str">
        <f aca="false">IF($D106="","",J106-K106)</f>
        <v/>
      </c>
      <c r="M106" s="29"/>
      <c r="N106" s="29"/>
    </row>
    <row r="107" customFormat="false" ht="15" hidden="false" customHeight="false" outlineLevel="0" collapsed="false">
      <c r="A107" s="32"/>
      <c r="B107" s="29"/>
      <c r="C107" s="29"/>
      <c r="D107" s="29"/>
      <c r="E107" s="28" t="str">
        <f aca="false">IF($D107="","",IFERROR(INDEX(المنتجات!$C$5:$C$24,MATCH($D107,المنتجات!$A$5:$A$24,0)),"كود غير موجود"))</f>
        <v/>
      </c>
      <c r="F107" s="28" t="str">
        <f aca="false">IF($D107="","",IFERROR(INDEX(المنتجات!$B$5:$B$24,MATCH($D107,المنتجات!$A$5:$A$24,0)),""))</f>
        <v/>
      </c>
      <c r="G107" s="24"/>
      <c r="H107" s="25" t="str">
        <f aca="false">IF($D107="","",IFERROR(INDEX(المنتجات!$F$5:$F$24,MATCH($D107,المنتجات!$A$5:$A$24,0)),0))</f>
        <v/>
      </c>
      <c r="I107" s="30"/>
      <c r="J107" s="25" t="str">
        <f aca="false">IF($D107="","",N(G107)*H107-N(I107))</f>
        <v/>
      </c>
      <c r="K107" s="25" t="str">
        <f aca="false">IF($D107="","",N(G107)*IFERROR(INDEX(المنتجات!$H$5:$H$24,MATCH($D107,المنتجات!$A$5:$A$24,0)),0))</f>
        <v/>
      </c>
      <c r="L107" s="25" t="str">
        <f aca="false">IF($D107="","",J107-K107)</f>
        <v/>
      </c>
      <c r="M107" s="29"/>
      <c r="N107" s="29"/>
    </row>
    <row r="108" customFormat="false" ht="15" hidden="false" customHeight="false" outlineLevel="0" collapsed="false">
      <c r="A108" s="32"/>
      <c r="B108" s="29"/>
      <c r="C108" s="29"/>
      <c r="D108" s="29"/>
      <c r="E108" s="28" t="str">
        <f aca="false">IF($D108="","",IFERROR(INDEX(المنتجات!$C$5:$C$24,MATCH($D108,المنتجات!$A$5:$A$24,0)),"كود غير موجود"))</f>
        <v/>
      </c>
      <c r="F108" s="28" t="str">
        <f aca="false">IF($D108="","",IFERROR(INDEX(المنتجات!$B$5:$B$24,MATCH($D108,المنتجات!$A$5:$A$24,0)),""))</f>
        <v/>
      </c>
      <c r="G108" s="24"/>
      <c r="H108" s="25" t="str">
        <f aca="false">IF($D108="","",IFERROR(INDEX(المنتجات!$F$5:$F$24,MATCH($D108,المنتجات!$A$5:$A$24,0)),0))</f>
        <v/>
      </c>
      <c r="I108" s="30"/>
      <c r="J108" s="25" t="str">
        <f aca="false">IF($D108="","",N(G108)*H108-N(I108))</f>
        <v/>
      </c>
      <c r="K108" s="25" t="str">
        <f aca="false">IF($D108="","",N(G108)*IFERROR(INDEX(المنتجات!$H$5:$H$24,MATCH($D108,المنتجات!$A$5:$A$24,0)),0))</f>
        <v/>
      </c>
      <c r="L108" s="25" t="str">
        <f aca="false">IF($D108="","",J108-K108)</f>
        <v/>
      </c>
      <c r="M108" s="29"/>
      <c r="N108" s="29"/>
    </row>
    <row r="109" customFormat="false" ht="15" hidden="false" customHeight="false" outlineLevel="0" collapsed="false">
      <c r="A109" s="32"/>
      <c r="B109" s="29"/>
      <c r="C109" s="29"/>
      <c r="D109" s="29"/>
      <c r="E109" s="28" t="str">
        <f aca="false">IF($D109="","",IFERROR(INDEX(المنتجات!$C$5:$C$24,MATCH($D109,المنتجات!$A$5:$A$24,0)),"كود غير موجود"))</f>
        <v/>
      </c>
      <c r="F109" s="28" t="str">
        <f aca="false">IF($D109="","",IFERROR(INDEX(المنتجات!$B$5:$B$24,MATCH($D109,المنتجات!$A$5:$A$24,0)),""))</f>
        <v/>
      </c>
      <c r="G109" s="24"/>
      <c r="H109" s="25" t="str">
        <f aca="false">IF($D109="","",IFERROR(INDEX(المنتجات!$F$5:$F$24,MATCH($D109,المنتجات!$A$5:$A$24,0)),0))</f>
        <v/>
      </c>
      <c r="I109" s="30"/>
      <c r="J109" s="25" t="str">
        <f aca="false">IF($D109="","",N(G109)*H109-N(I109))</f>
        <v/>
      </c>
      <c r="K109" s="25" t="str">
        <f aca="false">IF($D109="","",N(G109)*IFERROR(INDEX(المنتجات!$H$5:$H$24,MATCH($D109,المنتجات!$A$5:$A$24,0)),0))</f>
        <v/>
      </c>
      <c r="L109" s="25" t="str">
        <f aca="false">IF($D109="","",J109-K109)</f>
        <v/>
      </c>
      <c r="M109" s="29"/>
      <c r="N109" s="29"/>
    </row>
    <row r="110" customFormat="false" ht="15" hidden="false" customHeight="false" outlineLevel="0" collapsed="false">
      <c r="A110" s="32"/>
      <c r="B110" s="29"/>
      <c r="C110" s="29"/>
      <c r="D110" s="29"/>
      <c r="E110" s="28" t="str">
        <f aca="false">IF($D110="","",IFERROR(INDEX(المنتجات!$C$5:$C$24,MATCH($D110,المنتجات!$A$5:$A$24,0)),"كود غير موجود"))</f>
        <v/>
      </c>
      <c r="F110" s="28" t="str">
        <f aca="false">IF($D110="","",IFERROR(INDEX(المنتجات!$B$5:$B$24,MATCH($D110,المنتجات!$A$5:$A$24,0)),""))</f>
        <v/>
      </c>
      <c r="G110" s="24"/>
      <c r="H110" s="25" t="str">
        <f aca="false">IF($D110="","",IFERROR(INDEX(المنتجات!$F$5:$F$24,MATCH($D110,المنتجات!$A$5:$A$24,0)),0))</f>
        <v/>
      </c>
      <c r="I110" s="30"/>
      <c r="J110" s="25" t="str">
        <f aca="false">IF($D110="","",N(G110)*H110-N(I110))</f>
        <v/>
      </c>
      <c r="K110" s="25" t="str">
        <f aca="false">IF($D110="","",N(G110)*IFERROR(INDEX(المنتجات!$H$5:$H$24,MATCH($D110,المنتجات!$A$5:$A$24,0)),0))</f>
        <v/>
      </c>
      <c r="L110" s="25" t="str">
        <f aca="false">IF($D110="","",J110-K110)</f>
        <v/>
      </c>
      <c r="M110" s="29"/>
      <c r="N110" s="29"/>
    </row>
    <row r="111" customFormat="false" ht="15" hidden="false" customHeight="false" outlineLevel="0" collapsed="false">
      <c r="A111" s="32"/>
      <c r="B111" s="29"/>
      <c r="C111" s="29"/>
      <c r="D111" s="29"/>
      <c r="E111" s="28" t="str">
        <f aca="false">IF($D111="","",IFERROR(INDEX(المنتجات!$C$5:$C$24,MATCH($D111,المنتجات!$A$5:$A$24,0)),"كود غير موجود"))</f>
        <v/>
      </c>
      <c r="F111" s="28" t="str">
        <f aca="false">IF($D111="","",IFERROR(INDEX(المنتجات!$B$5:$B$24,MATCH($D111,المنتجات!$A$5:$A$24,0)),""))</f>
        <v/>
      </c>
      <c r="G111" s="24"/>
      <c r="H111" s="25" t="str">
        <f aca="false">IF($D111="","",IFERROR(INDEX(المنتجات!$F$5:$F$24,MATCH($D111,المنتجات!$A$5:$A$24,0)),0))</f>
        <v/>
      </c>
      <c r="I111" s="30"/>
      <c r="J111" s="25" t="str">
        <f aca="false">IF($D111="","",N(G111)*H111-N(I111))</f>
        <v/>
      </c>
      <c r="K111" s="25" t="str">
        <f aca="false">IF($D111="","",N(G111)*IFERROR(INDEX(المنتجات!$H$5:$H$24,MATCH($D111,المنتجات!$A$5:$A$24,0)),0))</f>
        <v/>
      </c>
      <c r="L111" s="25" t="str">
        <f aca="false">IF($D111="","",J111-K111)</f>
        <v/>
      </c>
      <c r="M111" s="29"/>
      <c r="N111" s="29"/>
    </row>
    <row r="112" customFormat="false" ht="15" hidden="false" customHeight="false" outlineLevel="0" collapsed="false">
      <c r="A112" s="32"/>
      <c r="B112" s="29"/>
      <c r="C112" s="29"/>
      <c r="D112" s="29"/>
      <c r="E112" s="28" t="str">
        <f aca="false">IF($D112="","",IFERROR(INDEX(المنتجات!$C$5:$C$24,MATCH($D112,المنتجات!$A$5:$A$24,0)),"كود غير موجود"))</f>
        <v/>
      </c>
      <c r="F112" s="28" t="str">
        <f aca="false">IF($D112="","",IFERROR(INDEX(المنتجات!$B$5:$B$24,MATCH($D112,المنتجات!$A$5:$A$24,0)),""))</f>
        <v/>
      </c>
      <c r="G112" s="24"/>
      <c r="H112" s="25" t="str">
        <f aca="false">IF($D112="","",IFERROR(INDEX(المنتجات!$F$5:$F$24,MATCH($D112,المنتجات!$A$5:$A$24,0)),0))</f>
        <v/>
      </c>
      <c r="I112" s="30"/>
      <c r="J112" s="25" t="str">
        <f aca="false">IF($D112="","",N(G112)*H112-N(I112))</f>
        <v/>
      </c>
      <c r="K112" s="25" t="str">
        <f aca="false">IF($D112="","",N(G112)*IFERROR(INDEX(المنتجات!$H$5:$H$24,MATCH($D112,المنتجات!$A$5:$A$24,0)),0))</f>
        <v/>
      </c>
      <c r="L112" s="25" t="str">
        <f aca="false">IF($D112="","",J112-K112)</f>
        <v/>
      </c>
      <c r="M112" s="29"/>
      <c r="N112" s="29"/>
    </row>
    <row r="113" customFormat="false" ht="15" hidden="false" customHeight="false" outlineLevel="0" collapsed="false">
      <c r="A113" s="32"/>
      <c r="B113" s="29"/>
      <c r="C113" s="29"/>
      <c r="D113" s="29"/>
      <c r="E113" s="28" t="str">
        <f aca="false">IF($D113="","",IFERROR(INDEX(المنتجات!$C$5:$C$24,MATCH($D113,المنتجات!$A$5:$A$24,0)),"كود غير موجود"))</f>
        <v/>
      </c>
      <c r="F113" s="28" t="str">
        <f aca="false">IF($D113="","",IFERROR(INDEX(المنتجات!$B$5:$B$24,MATCH($D113,المنتجات!$A$5:$A$24,0)),""))</f>
        <v/>
      </c>
      <c r="G113" s="24"/>
      <c r="H113" s="25" t="str">
        <f aca="false">IF($D113="","",IFERROR(INDEX(المنتجات!$F$5:$F$24,MATCH($D113,المنتجات!$A$5:$A$24,0)),0))</f>
        <v/>
      </c>
      <c r="I113" s="30"/>
      <c r="J113" s="25" t="str">
        <f aca="false">IF($D113="","",N(G113)*H113-N(I113))</f>
        <v/>
      </c>
      <c r="K113" s="25" t="str">
        <f aca="false">IF($D113="","",N(G113)*IFERROR(INDEX(المنتجات!$H$5:$H$24,MATCH($D113,المنتجات!$A$5:$A$24,0)),0))</f>
        <v/>
      </c>
      <c r="L113" s="25" t="str">
        <f aca="false">IF($D113="","",J113-K113)</f>
        <v/>
      </c>
      <c r="M113" s="29"/>
      <c r="N113" s="29"/>
    </row>
    <row r="114" customFormat="false" ht="15" hidden="false" customHeight="false" outlineLevel="0" collapsed="false">
      <c r="A114" s="32"/>
      <c r="B114" s="29"/>
      <c r="C114" s="29"/>
      <c r="D114" s="29"/>
      <c r="E114" s="28" t="str">
        <f aca="false">IF($D114="","",IFERROR(INDEX(المنتجات!$C$5:$C$24,MATCH($D114,المنتجات!$A$5:$A$24,0)),"كود غير موجود"))</f>
        <v/>
      </c>
      <c r="F114" s="28" t="str">
        <f aca="false">IF($D114="","",IFERROR(INDEX(المنتجات!$B$5:$B$24,MATCH($D114,المنتجات!$A$5:$A$24,0)),""))</f>
        <v/>
      </c>
      <c r="G114" s="24"/>
      <c r="H114" s="25" t="str">
        <f aca="false">IF($D114="","",IFERROR(INDEX(المنتجات!$F$5:$F$24,MATCH($D114,المنتجات!$A$5:$A$24,0)),0))</f>
        <v/>
      </c>
      <c r="I114" s="30"/>
      <c r="J114" s="25" t="str">
        <f aca="false">IF($D114="","",N(G114)*H114-N(I114))</f>
        <v/>
      </c>
      <c r="K114" s="25" t="str">
        <f aca="false">IF($D114="","",N(G114)*IFERROR(INDEX(المنتجات!$H$5:$H$24,MATCH($D114,المنتجات!$A$5:$A$24,0)),0))</f>
        <v/>
      </c>
      <c r="L114" s="25" t="str">
        <f aca="false">IF($D114="","",J114-K114)</f>
        <v/>
      </c>
      <c r="M114" s="29"/>
      <c r="N114" s="29"/>
    </row>
    <row r="115" customFormat="false" ht="15" hidden="false" customHeight="false" outlineLevel="0" collapsed="false">
      <c r="A115" s="32"/>
      <c r="B115" s="29"/>
      <c r="C115" s="29"/>
      <c r="D115" s="29"/>
      <c r="E115" s="28" t="str">
        <f aca="false">IF($D115="","",IFERROR(INDEX(المنتجات!$C$5:$C$24,MATCH($D115,المنتجات!$A$5:$A$24,0)),"كود غير موجود"))</f>
        <v/>
      </c>
      <c r="F115" s="28" t="str">
        <f aca="false">IF($D115="","",IFERROR(INDEX(المنتجات!$B$5:$B$24,MATCH($D115,المنتجات!$A$5:$A$24,0)),""))</f>
        <v/>
      </c>
      <c r="G115" s="24"/>
      <c r="H115" s="25" t="str">
        <f aca="false">IF($D115="","",IFERROR(INDEX(المنتجات!$F$5:$F$24,MATCH($D115,المنتجات!$A$5:$A$24,0)),0))</f>
        <v/>
      </c>
      <c r="I115" s="30"/>
      <c r="J115" s="25" t="str">
        <f aca="false">IF($D115="","",N(G115)*H115-N(I115))</f>
        <v/>
      </c>
      <c r="K115" s="25" t="str">
        <f aca="false">IF($D115="","",N(G115)*IFERROR(INDEX(المنتجات!$H$5:$H$24,MATCH($D115,المنتجات!$A$5:$A$24,0)),0))</f>
        <v/>
      </c>
      <c r="L115" s="25" t="str">
        <f aca="false">IF($D115="","",J115-K115)</f>
        <v/>
      </c>
      <c r="M115" s="29"/>
      <c r="N115" s="29"/>
    </row>
    <row r="116" customFormat="false" ht="15" hidden="false" customHeight="false" outlineLevel="0" collapsed="false">
      <c r="A116" s="32"/>
      <c r="B116" s="29"/>
      <c r="C116" s="29"/>
      <c r="D116" s="29"/>
      <c r="E116" s="28" t="str">
        <f aca="false">IF($D116="","",IFERROR(INDEX(المنتجات!$C$5:$C$24,MATCH($D116,المنتجات!$A$5:$A$24,0)),"كود غير موجود"))</f>
        <v/>
      </c>
      <c r="F116" s="28" t="str">
        <f aca="false">IF($D116="","",IFERROR(INDEX(المنتجات!$B$5:$B$24,MATCH($D116,المنتجات!$A$5:$A$24,0)),""))</f>
        <v/>
      </c>
      <c r="G116" s="24"/>
      <c r="H116" s="25" t="str">
        <f aca="false">IF($D116="","",IFERROR(INDEX(المنتجات!$F$5:$F$24,MATCH($D116,المنتجات!$A$5:$A$24,0)),0))</f>
        <v/>
      </c>
      <c r="I116" s="30"/>
      <c r="J116" s="25" t="str">
        <f aca="false">IF($D116="","",N(G116)*H116-N(I116))</f>
        <v/>
      </c>
      <c r="K116" s="25" t="str">
        <f aca="false">IF($D116="","",N(G116)*IFERROR(INDEX(المنتجات!$H$5:$H$24,MATCH($D116,المنتجات!$A$5:$A$24,0)),0))</f>
        <v/>
      </c>
      <c r="L116" s="25" t="str">
        <f aca="false">IF($D116="","",J116-K116)</f>
        <v/>
      </c>
      <c r="M116" s="29"/>
      <c r="N116" s="29"/>
    </row>
    <row r="117" customFormat="false" ht="15" hidden="false" customHeight="false" outlineLevel="0" collapsed="false">
      <c r="A117" s="32"/>
      <c r="B117" s="29"/>
      <c r="C117" s="29"/>
      <c r="D117" s="29"/>
      <c r="E117" s="28" t="str">
        <f aca="false">IF($D117="","",IFERROR(INDEX(المنتجات!$C$5:$C$24,MATCH($D117,المنتجات!$A$5:$A$24,0)),"كود غير موجود"))</f>
        <v/>
      </c>
      <c r="F117" s="28" t="str">
        <f aca="false">IF($D117="","",IFERROR(INDEX(المنتجات!$B$5:$B$24,MATCH($D117,المنتجات!$A$5:$A$24,0)),""))</f>
        <v/>
      </c>
      <c r="G117" s="24"/>
      <c r="H117" s="25" t="str">
        <f aca="false">IF($D117="","",IFERROR(INDEX(المنتجات!$F$5:$F$24,MATCH($D117,المنتجات!$A$5:$A$24,0)),0))</f>
        <v/>
      </c>
      <c r="I117" s="30"/>
      <c r="J117" s="25" t="str">
        <f aca="false">IF($D117="","",N(G117)*H117-N(I117))</f>
        <v/>
      </c>
      <c r="K117" s="25" t="str">
        <f aca="false">IF($D117="","",N(G117)*IFERROR(INDEX(المنتجات!$H$5:$H$24,MATCH($D117,المنتجات!$A$5:$A$24,0)),0))</f>
        <v/>
      </c>
      <c r="L117" s="25" t="str">
        <f aca="false">IF($D117="","",J117-K117)</f>
        <v/>
      </c>
      <c r="M117" s="29"/>
      <c r="N117" s="29"/>
    </row>
    <row r="118" customFormat="false" ht="15" hidden="false" customHeight="false" outlineLevel="0" collapsed="false">
      <c r="A118" s="32"/>
      <c r="B118" s="29"/>
      <c r="C118" s="29"/>
      <c r="D118" s="29"/>
      <c r="E118" s="28" t="str">
        <f aca="false">IF($D118="","",IFERROR(INDEX(المنتجات!$C$5:$C$24,MATCH($D118,المنتجات!$A$5:$A$24,0)),"كود غير موجود"))</f>
        <v/>
      </c>
      <c r="F118" s="28" t="str">
        <f aca="false">IF($D118="","",IFERROR(INDEX(المنتجات!$B$5:$B$24,MATCH($D118,المنتجات!$A$5:$A$24,0)),""))</f>
        <v/>
      </c>
      <c r="G118" s="24"/>
      <c r="H118" s="25" t="str">
        <f aca="false">IF($D118="","",IFERROR(INDEX(المنتجات!$F$5:$F$24,MATCH($D118,المنتجات!$A$5:$A$24,0)),0))</f>
        <v/>
      </c>
      <c r="I118" s="30"/>
      <c r="J118" s="25" t="str">
        <f aca="false">IF($D118="","",N(G118)*H118-N(I118))</f>
        <v/>
      </c>
      <c r="K118" s="25" t="str">
        <f aca="false">IF($D118="","",N(G118)*IFERROR(INDEX(المنتجات!$H$5:$H$24,MATCH($D118,المنتجات!$A$5:$A$24,0)),0))</f>
        <v/>
      </c>
      <c r="L118" s="25" t="str">
        <f aca="false">IF($D118="","",J118-K118)</f>
        <v/>
      </c>
      <c r="M118" s="29"/>
      <c r="N118" s="29"/>
    </row>
    <row r="119" customFormat="false" ht="15" hidden="false" customHeight="false" outlineLevel="0" collapsed="false">
      <c r="A119" s="32"/>
      <c r="B119" s="29"/>
      <c r="C119" s="29"/>
      <c r="D119" s="29"/>
      <c r="E119" s="28" t="str">
        <f aca="false">IF($D119="","",IFERROR(INDEX(المنتجات!$C$5:$C$24,MATCH($D119,المنتجات!$A$5:$A$24,0)),"كود غير موجود"))</f>
        <v/>
      </c>
      <c r="F119" s="28" t="str">
        <f aca="false">IF($D119="","",IFERROR(INDEX(المنتجات!$B$5:$B$24,MATCH($D119,المنتجات!$A$5:$A$24,0)),""))</f>
        <v/>
      </c>
      <c r="G119" s="24"/>
      <c r="H119" s="25" t="str">
        <f aca="false">IF($D119="","",IFERROR(INDEX(المنتجات!$F$5:$F$24,MATCH($D119,المنتجات!$A$5:$A$24,0)),0))</f>
        <v/>
      </c>
      <c r="I119" s="30"/>
      <c r="J119" s="25" t="str">
        <f aca="false">IF($D119="","",N(G119)*H119-N(I119))</f>
        <v/>
      </c>
      <c r="K119" s="25" t="str">
        <f aca="false">IF($D119="","",N(G119)*IFERROR(INDEX(المنتجات!$H$5:$H$24,MATCH($D119,المنتجات!$A$5:$A$24,0)),0))</f>
        <v/>
      </c>
      <c r="L119" s="25" t="str">
        <f aca="false">IF($D119="","",J119-K119)</f>
        <v/>
      </c>
      <c r="M119" s="29"/>
      <c r="N119" s="29"/>
    </row>
    <row r="120" customFormat="false" ht="15" hidden="false" customHeight="false" outlineLevel="0" collapsed="false">
      <c r="A120" s="32"/>
      <c r="B120" s="29"/>
      <c r="C120" s="29"/>
      <c r="D120" s="29"/>
      <c r="E120" s="28" t="str">
        <f aca="false">IF($D120="","",IFERROR(INDEX(المنتجات!$C$5:$C$24,MATCH($D120,المنتجات!$A$5:$A$24,0)),"كود غير موجود"))</f>
        <v/>
      </c>
      <c r="F120" s="28" t="str">
        <f aca="false">IF($D120="","",IFERROR(INDEX(المنتجات!$B$5:$B$24,MATCH($D120,المنتجات!$A$5:$A$24,0)),""))</f>
        <v/>
      </c>
      <c r="G120" s="24"/>
      <c r="H120" s="25" t="str">
        <f aca="false">IF($D120="","",IFERROR(INDEX(المنتجات!$F$5:$F$24,MATCH($D120,المنتجات!$A$5:$A$24,0)),0))</f>
        <v/>
      </c>
      <c r="I120" s="30"/>
      <c r="J120" s="25" t="str">
        <f aca="false">IF($D120="","",N(G120)*H120-N(I120))</f>
        <v/>
      </c>
      <c r="K120" s="25" t="str">
        <f aca="false">IF($D120="","",N(G120)*IFERROR(INDEX(المنتجات!$H$5:$H$24,MATCH($D120,المنتجات!$A$5:$A$24,0)),0))</f>
        <v/>
      </c>
      <c r="L120" s="25" t="str">
        <f aca="false">IF($D120="","",J120-K120)</f>
        <v/>
      </c>
      <c r="M120" s="29"/>
      <c r="N120" s="29"/>
    </row>
    <row r="121" customFormat="false" ht="15" hidden="false" customHeight="false" outlineLevel="0" collapsed="false">
      <c r="A121" s="32"/>
      <c r="B121" s="29"/>
      <c r="C121" s="29"/>
      <c r="D121" s="29"/>
      <c r="E121" s="28" t="str">
        <f aca="false">IF($D121="","",IFERROR(INDEX(المنتجات!$C$5:$C$24,MATCH($D121,المنتجات!$A$5:$A$24,0)),"كود غير موجود"))</f>
        <v/>
      </c>
      <c r="F121" s="28" t="str">
        <f aca="false">IF($D121="","",IFERROR(INDEX(المنتجات!$B$5:$B$24,MATCH($D121,المنتجات!$A$5:$A$24,0)),""))</f>
        <v/>
      </c>
      <c r="G121" s="24"/>
      <c r="H121" s="25" t="str">
        <f aca="false">IF($D121="","",IFERROR(INDEX(المنتجات!$F$5:$F$24,MATCH($D121,المنتجات!$A$5:$A$24,0)),0))</f>
        <v/>
      </c>
      <c r="I121" s="30"/>
      <c r="J121" s="25" t="str">
        <f aca="false">IF($D121="","",N(G121)*H121-N(I121))</f>
        <v/>
      </c>
      <c r="K121" s="25" t="str">
        <f aca="false">IF($D121="","",N(G121)*IFERROR(INDEX(المنتجات!$H$5:$H$24,MATCH($D121,المنتجات!$A$5:$A$24,0)),0))</f>
        <v/>
      </c>
      <c r="L121" s="25" t="str">
        <f aca="false">IF($D121="","",J121-K121)</f>
        <v/>
      </c>
      <c r="M121" s="29"/>
      <c r="N121" s="29"/>
    </row>
    <row r="122" customFormat="false" ht="15" hidden="false" customHeight="false" outlineLevel="0" collapsed="false">
      <c r="A122" s="32"/>
      <c r="B122" s="29"/>
      <c r="C122" s="29"/>
      <c r="D122" s="29"/>
      <c r="E122" s="28" t="str">
        <f aca="false">IF($D122="","",IFERROR(INDEX(المنتجات!$C$5:$C$24,MATCH($D122,المنتجات!$A$5:$A$24,0)),"كود غير موجود"))</f>
        <v/>
      </c>
      <c r="F122" s="28" t="str">
        <f aca="false">IF($D122="","",IFERROR(INDEX(المنتجات!$B$5:$B$24,MATCH($D122,المنتجات!$A$5:$A$24,0)),""))</f>
        <v/>
      </c>
      <c r="G122" s="24"/>
      <c r="H122" s="25" t="str">
        <f aca="false">IF($D122="","",IFERROR(INDEX(المنتجات!$F$5:$F$24,MATCH($D122,المنتجات!$A$5:$A$24,0)),0))</f>
        <v/>
      </c>
      <c r="I122" s="30"/>
      <c r="J122" s="25" t="str">
        <f aca="false">IF($D122="","",N(G122)*H122-N(I122))</f>
        <v/>
      </c>
      <c r="K122" s="25" t="str">
        <f aca="false">IF($D122="","",N(G122)*IFERROR(INDEX(المنتجات!$H$5:$H$24,MATCH($D122,المنتجات!$A$5:$A$24,0)),0))</f>
        <v/>
      </c>
      <c r="L122" s="25" t="str">
        <f aca="false">IF($D122="","",J122-K122)</f>
        <v/>
      </c>
      <c r="M122" s="29"/>
      <c r="N122" s="29"/>
    </row>
    <row r="123" customFormat="false" ht="15" hidden="false" customHeight="false" outlineLevel="0" collapsed="false">
      <c r="A123" s="32"/>
      <c r="B123" s="29"/>
      <c r="C123" s="29"/>
      <c r="D123" s="29"/>
      <c r="E123" s="28" t="str">
        <f aca="false">IF($D123="","",IFERROR(INDEX(المنتجات!$C$5:$C$24,MATCH($D123,المنتجات!$A$5:$A$24,0)),"كود غير موجود"))</f>
        <v/>
      </c>
      <c r="F123" s="28" t="str">
        <f aca="false">IF($D123="","",IFERROR(INDEX(المنتجات!$B$5:$B$24,MATCH($D123,المنتجات!$A$5:$A$24,0)),""))</f>
        <v/>
      </c>
      <c r="G123" s="24"/>
      <c r="H123" s="25" t="str">
        <f aca="false">IF($D123="","",IFERROR(INDEX(المنتجات!$F$5:$F$24,MATCH($D123,المنتجات!$A$5:$A$24,0)),0))</f>
        <v/>
      </c>
      <c r="I123" s="30"/>
      <c r="J123" s="25" t="str">
        <f aca="false">IF($D123="","",N(G123)*H123-N(I123))</f>
        <v/>
      </c>
      <c r="K123" s="25" t="str">
        <f aca="false">IF($D123="","",N(G123)*IFERROR(INDEX(المنتجات!$H$5:$H$24,MATCH($D123,المنتجات!$A$5:$A$24,0)),0))</f>
        <v/>
      </c>
      <c r="L123" s="25" t="str">
        <f aca="false">IF($D123="","",J123-K123)</f>
        <v/>
      </c>
      <c r="M123" s="29"/>
      <c r="N123" s="29"/>
    </row>
    <row r="124" customFormat="false" ht="15" hidden="false" customHeight="false" outlineLevel="0" collapsed="false">
      <c r="A124" s="32"/>
      <c r="B124" s="29"/>
      <c r="C124" s="29"/>
      <c r="D124" s="29"/>
      <c r="E124" s="28" t="str">
        <f aca="false">IF($D124="","",IFERROR(INDEX(المنتجات!$C$5:$C$24,MATCH($D124,المنتجات!$A$5:$A$24,0)),"كود غير موجود"))</f>
        <v/>
      </c>
      <c r="F124" s="28" t="str">
        <f aca="false">IF($D124="","",IFERROR(INDEX(المنتجات!$B$5:$B$24,MATCH($D124,المنتجات!$A$5:$A$24,0)),""))</f>
        <v/>
      </c>
      <c r="G124" s="24"/>
      <c r="H124" s="25" t="str">
        <f aca="false">IF($D124="","",IFERROR(INDEX(المنتجات!$F$5:$F$24,MATCH($D124,المنتجات!$A$5:$A$24,0)),0))</f>
        <v/>
      </c>
      <c r="I124" s="30"/>
      <c r="J124" s="25" t="str">
        <f aca="false">IF($D124="","",N(G124)*H124-N(I124))</f>
        <v/>
      </c>
      <c r="K124" s="25" t="str">
        <f aca="false">IF($D124="","",N(G124)*IFERROR(INDEX(المنتجات!$H$5:$H$24,MATCH($D124,المنتجات!$A$5:$A$24,0)),0))</f>
        <v/>
      </c>
      <c r="L124" s="25" t="str">
        <f aca="false">IF($D124="","",J124-K124)</f>
        <v/>
      </c>
      <c r="M124" s="29"/>
      <c r="N124" s="29"/>
    </row>
    <row r="125" customFormat="false" ht="15" hidden="false" customHeight="false" outlineLevel="0" collapsed="false">
      <c r="A125" s="32"/>
      <c r="B125" s="29"/>
      <c r="C125" s="29"/>
      <c r="D125" s="29"/>
      <c r="E125" s="28" t="str">
        <f aca="false">IF($D125="","",IFERROR(INDEX(المنتجات!$C$5:$C$24,MATCH($D125,المنتجات!$A$5:$A$24,0)),"كود غير موجود"))</f>
        <v/>
      </c>
      <c r="F125" s="28" t="str">
        <f aca="false">IF($D125="","",IFERROR(INDEX(المنتجات!$B$5:$B$24,MATCH($D125,المنتجات!$A$5:$A$24,0)),""))</f>
        <v/>
      </c>
      <c r="G125" s="24"/>
      <c r="H125" s="25" t="str">
        <f aca="false">IF($D125="","",IFERROR(INDEX(المنتجات!$F$5:$F$24,MATCH($D125,المنتجات!$A$5:$A$24,0)),0))</f>
        <v/>
      </c>
      <c r="I125" s="30"/>
      <c r="J125" s="25" t="str">
        <f aca="false">IF($D125="","",N(G125)*H125-N(I125))</f>
        <v/>
      </c>
      <c r="K125" s="25" t="str">
        <f aca="false">IF($D125="","",N(G125)*IFERROR(INDEX(المنتجات!$H$5:$H$24,MATCH($D125,المنتجات!$A$5:$A$24,0)),0))</f>
        <v/>
      </c>
      <c r="L125" s="25" t="str">
        <f aca="false">IF($D125="","",J125-K125)</f>
        <v/>
      </c>
      <c r="M125" s="29"/>
      <c r="N125" s="29"/>
    </row>
    <row r="126" customFormat="false" ht="15" hidden="false" customHeight="false" outlineLevel="0" collapsed="false">
      <c r="A126" s="32"/>
      <c r="B126" s="29"/>
      <c r="C126" s="29"/>
      <c r="D126" s="29"/>
      <c r="E126" s="28" t="str">
        <f aca="false">IF($D126="","",IFERROR(INDEX(المنتجات!$C$5:$C$24,MATCH($D126,المنتجات!$A$5:$A$24,0)),"كود غير موجود"))</f>
        <v/>
      </c>
      <c r="F126" s="28" t="str">
        <f aca="false">IF($D126="","",IFERROR(INDEX(المنتجات!$B$5:$B$24,MATCH($D126,المنتجات!$A$5:$A$24,0)),""))</f>
        <v/>
      </c>
      <c r="G126" s="24"/>
      <c r="H126" s="25" t="str">
        <f aca="false">IF($D126="","",IFERROR(INDEX(المنتجات!$F$5:$F$24,MATCH($D126,المنتجات!$A$5:$A$24,0)),0))</f>
        <v/>
      </c>
      <c r="I126" s="30"/>
      <c r="J126" s="25" t="str">
        <f aca="false">IF($D126="","",N(G126)*H126-N(I126))</f>
        <v/>
      </c>
      <c r="K126" s="25" t="str">
        <f aca="false">IF($D126="","",N(G126)*IFERROR(INDEX(المنتجات!$H$5:$H$24,MATCH($D126,المنتجات!$A$5:$A$24,0)),0))</f>
        <v/>
      </c>
      <c r="L126" s="25" t="str">
        <f aca="false">IF($D126="","",J126-K126)</f>
        <v/>
      </c>
      <c r="M126" s="29"/>
      <c r="N126" s="29"/>
    </row>
    <row r="127" customFormat="false" ht="15" hidden="false" customHeight="false" outlineLevel="0" collapsed="false">
      <c r="A127" s="32"/>
      <c r="B127" s="29"/>
      <c r="C127" s="29"/>
      <c r="D127" s="29"/>
      <c r="E127" s="28" t="str">
        <f aca="false">IF($D127="","",IFERROR(INDEX(المنتجات!$C$5:$C$24,MATCH($D127,المنتجات!$A$5:$A$24,0)),"كود غير موجود"))</f>
        <v/>
      </c>
      <c r="F127" s="28" t="str">
        <f aca="false">IF($D127="","",IFERROR(INDEX(المنتجات!$B$5:$B$24,MATCH($D127,المنتجات!$A$5:$A$24,0)),""))</f>
        <v/>
      </c>
      <c r="G127" s="24"/>
      <c r="H127" s="25" t="str">
        <f aca="false">IF($D127="","",IFERROR(INDEX(المنتجات!$F$5:$F$24,MATCH($D127,المنتجات!$A$5:$A$24,0)),0))</f>
        <v/>
      </c>
      <c r="I127" s="30"/>
      <c r="J127" s="25" t="str">
        <f aca="false">IF($D127="","",N(G127)*H127-N(I127))</f>
        <v/>
      </c>
      <c r="K127" s="25" t="str">
        <f aca="false">IF($D127="","",N(G127)*IFERROR(INDEX(المنتجات!$H$5:$H$24,MATCH($D127,المنتجات!$A$5:$A$24,0)),0))</f>
        <v/>
      </c>
      <c r="L127" s="25" t="str">
        <f aca="false">IF($D127="","",J127-K127)</f>
        <v/>
      </c>
      <c r="M127" s="29"/>
      <c r="N127" s="29"/>
    </row>
    <row r="128" customFormat="false" ht="15" hidden="false" customHeight="false" outlineLevel="0" collapsed="false">
      <c r="A128" s="32"/>
      <c r="B128" s="29"/>
      <c r="C128" s="29"/>
      <c r="D128" s="29"/>
      <c r="E128" s="28" t="str">
        <f aca="false">IF($D128="","",IFERROR(INDEX(المنتجات!$C$5:$C$24,MATCH($D128,المنتجات!$A$5:$A$24,0)),"كود غير موجود"))</f>
        <v/>
      </c>
      <c r="F128" s="28" t="str">
        <f aca="false">IF($D128="","",IFERROR(INDEX(المنتجات!$B$5:$B$24,MATCH($D128,المنتجات!$A$5:$A$24,0)),""))</f>
        <v/>
      </c>
      <c r="G128" s="24"/>
      <c r="H128" s="25" t="str">
        <f aca="false">IF($D128="","",IFERROR(INDEX(المنتجات!$F$5:$F$24,MATCH($D128,المنتجات!$A$5:$A$24,0)),0))</f>
        <v/>
      </c>
      <c r="I128" s="30"/>
      <c r="J128" s="25" t="str">
        <f aca="false">IF($D128="","",N(G128)*H128-N(I128))</f>
        <v/>
      </c>
      <c r="K128" s="25" t="str">
        <f aca="false">IF($D128="","",N(G128)*IFERROR(INDEX(المنتجات!$H$5:$H$24,MATCH($D128,المنتجات!$A$5:$A$24,0)),0))</f>
        <v/>
      </c>
      <c r="L128" s="25" t="str">
        <f aca="false">IF($D128="","",J128-K128)</f>
        <v/>
      </c>
      <c r="M128" s="29"/>
      <c r="N128" s="29"/>
    </row>
    <row r="129" customFormat="false" ht="15" hidden="false" customHeight="false" outlineLevel="0" collapsed="false">
      <c r="A129" s="32"/>
      <c r="B129" s="29"/>
      <c r="C129" s="29"/>
      <c r="D129" s="29"/>
      <c r="E129" s="28" t="str">
        <f aca="false">IF($D129="","",IFERROR(INDEX(المنتجات!$C$5:$C$24,MATCH($D129,المنتجات!$A$5:$A$24,0)),"كود غير موجود"))</f>
        <v/>
      </c>
      <c r="F129" s="28" t="str">
        <f aca="false">IF($D129="","",IFERROR(INDEX(المنتجات!$B$5:$B$24,MATCH($D129,المنتجات!$A$5:$A$24,0)),""))</f>
        <v/>
      </c>
      <c r="G129" s="24"/>
      <c r="H129" s="25" t="str">
        <f aca="false">IF($D129="","",IFERROR(INDEX(المنتجات!$F$5:$F$24,MATCH($D129,المنتجات!$A$5:$A$24,0)),0))</f>
        <v/>
      </c>
      <c r="I129" s="30"/>
      <c r="J129" s="25" t="str">
        <f aca="false">IF($D129="","",N(G129)*H129-N(I129))</f>
        <v/>
      </c>
      <c r="K129" s="25" t="str">
        <f aca="false">IF($D129="","",N(G129)*IFERROR(INDEX(المنتجات!$H$5:$H$24,MATCH($D129,المنتجات!$A$5:$A$24,0)),0))</f>
        <v/>
      </c>
      <c r="L129" s="25" t="str">
        <f aca="false">IF($D129="","",J129-K129)</f>
        <v/>
      </c>
      <c r="M129" s="29"/>
      <c r="N129" s="29"/>
    </row>
    <row r="130" customFormat="false" ht="15" hidden="false" customHeight="false" outlineLevel="0" collapsed="false">
      <c r="A130" s="32"/>
      <c r="B130" s="29"/>
      <c r="C130" s="29"/>
      <c r="D130" s="29"/>
      <c r="E130" s="28" t="str">
        <f aca="false">IF($D130="","",IFERROR(INDEX(المنتجات!$C$5:$C$24,MATCH($D130,المنتجات!$A$5:$A$24,0)),"كود غير موجود"))</f>
        <v/>
      </c>
      <c r="F130" s="28" t="str">
        <f aca="false">IF($D130="","",IFERROR(INDEX(المنتجات!$B$5:$B$24,MATCH($D130,المنتجات!$A$5:$A$24,0)),""))</f>
        <v/>
      </c>
      <c r="G130" s="24"/>
      <c r="H130" s="25" t="str">
        <f aca="false">IF($D130="","",IFERROR(INDEX(المنتجات!$F$5:$F$24,MATCH($D130,المنتجات!$A$5:$A$24,0)),0))</f>
        <v/>
      </c>
      <c r="I130" s="30"/>
      <c r="J130" s="25" t="str">
        <f aca="false">IF($D130="","",N(G130)*H130-N(I130))</f>
        <v/>
      </c>
      <c r="K130" s="25" t="str">
        <f aca="false">IF($D130="","",N(G130)*IFERROR(INDEX(المنتجات!$H$5:$H$24,MATCH($D130,المنتجات!$A$5:$A$24,0)),0))</f>
        <v/>
      </c>
      <c r="L130" s="25" t="str">
        <f aca="false">IF($D130="","",J130-K130)</f>
        <v/>
      </c>
      <c r="M130" s="29"/>
      <c r="N130" s="29"/>
    </row>
    <row r="131" customFormat="false" ht="15" hidden="false" customHeight="false" outlineLevel="0" collapsed="false">
      <c r="A131" s="32"/>
      <c r="B131" s="29"/>
      <c r="C131" s="29"/>
      <c r="D131" s="29"/>
      <c r="E131" s="28" t="str">
        <f aca="false">IF($D131="","",IFERROR(INDEX(المنتجات!$C$5:$C$24,MATCH($D131,المنتجات!$A$5:$A$24,0)),"كود غير موجود"))</f>
        <v/>
      </c>
      <c r="F131" s="28" t="str">
        <f aca="false">IF($D131="","",IFERROR(INDEX(المنتجات!$B$5:$B$24,MATCH($D131,المنتجات!$A$5:$A$24,0)),""))</f>
        <v/>
      </c>
      <c r="G131" s="24"/>
      <c r="H131" s="25" t="str">
        <f aca="false">IF($D131="","",IFERROR(INDEX(المنتجات!$F$5:$F$24,MATCH($D131,المنتجات!$A$5:$A$24,0)),0))</f>
        <v/>
      </c>
      <c r="I131" s="30"/>
      <c r="J131" s="25" t="str">
        <f aca="false">IF($D131="","",N(G131)*H131-N(I131))</f>
        <v/>
      </c>
      <c r="K131" s="25" t="str">
        <f aca="false">IF($D131="","",N(G131)*IFERROR(INDEX(المنتجات!$H$5:$H$24,MATCH($D131,المنتجات!$A$5:$A$24,0)),0))</f>
        <v/>
      </c>
      <c r="L131" s="25" t="str">
        <f aca="false">IF($D131="","",J131-K131)</f>
        <v/>
      </c>
      <c r="M131" s="29"/>
      <c r="N131" s="29"/>
    </row>
    <row r="132" customFormat="false" ht="15" hidden="false" customHeight="false" outlineLevel="0" collapsed="false">
      <c r="A132" s="32"/>
      <c r="B132" s="29"/>
      <c r="C132" s="29"/>
      <c r="D132" s="29"/>
      <c r="E132" s="28" t="str">
        <f aca="false">IF($D132="","",IFERROR(INDEX(المنتجات!$C$5:$C$24,MATCH($D132,المنتجات!$A$5:$A$24,0)),"كود غير موجود"))</f>
        <v/>
      </c>
      <c r="F132" s="28" t="str">
        <f aca="false">IF($D132="","",IFERROR(INDEX(المنتجات!$B$5:$B$24,MATCH($D132,المنتجات!$A$5:$A$24,0)),""))</f>
        <v/>
      </c>
      <c r="G132" s="24"/>
      <c r="H132" s="25" t="str">
        <f aca="false">IF($D132="","",IFERROR(INDEX(المنتجات!$F$5:$F$24,MATCH($D132,المنتجات!$A$5:$A$24,0)),0))</f>
        <v/>
      </c>
      <c r="I132" s="30"/>
      <c r="J132" s="25" t="str">
        <f aca="false">IF($D132="","",N(G132)*H132-N(I132))</f>
        <v/>
      </c>
      <c r="K132" s="25" t="str">
        <f aca="false">IF($D132="","",N(G132)*IFERROR(INDEX(المنتجات!$H$5:$H$24,MATCH($D132,المنتجات!$A$5:$A$24,0)),0))</f>
        <v/>
      </c>
      <c r="L132" s="25" t="str">
        <f aca="false">IF($D132="","",J132-K132)</f>
        <v/>
      </c>
      <c r="M132" s="29"/>
      <c r="N132" s="29"/>
    </row>
    <row r="133" customFormat="false" ht="15" hidden="false" customHeight="false" outlineLevel="0" collapsed="false">
      <c r="A133" s="32"/>
      <c r="B133" s="29"/>
      <c r="C133" s="29"/>
      <c r="D133" s="29"/>
      <c r="E133" s="28" t="str">
        <f aca="false">IF($D133="","",IFERROR(INDEX(المنتجات!$C$5:$C$24,MATCH($D133,المنتجات!$A$5:$A$24,0)),"كود غير موجود"))</f>
        <v/>
      </c>
      <c r="F133" s="28" t="str">
        <f aca="false">IF($D133="","",IFERROR(INDEX(المنتجات!$B$5:$B$24,MATCH($D133,المنتجات!$A$5:$A$24,0)),""))</f>
        <v/>
      </c>
      <c r="G133" s="24"/>
      <c r="H133" s="25" t="str">
        <f aca="false">IF($D133="","",IFERROR(INDEX(المنتجات!$F$5:$F$24,MATCH($D133,المنتجات!$A$5:$A$24,0)),0))</f>
        <v/>
      </c>
      <c r="I133" s="30"/>
      <c r="J133" s="25" t="str">
        <f aca="false">IF($D133="","",N(G133)*H133-N(I133))</f>
        <v/>
      </c>
      <c r="K133" s="25" t="str">
        <f aca="false">IF($D133="","",N(G133)*IFERROR(INDEX(المنتجات!$H$5:$H$24,MATCH($D133,المنتجات!$A$5:$A$24,0)),0))</f>
        <v/>
      </c>
      <c r="L133" s="25" t="str">
        <f aca="false">IF($D133="","",J133-K133)</f>
        <v/>
      </c>
      <c r="M133" s="29"/>
      <c r="N133" s="29"/>
    </row>
    <row r="134" customFormat="false" ht="15" hidden="false" customHeight="false" outlineLevel="0" collapsed="false">
      <c r="A134" s="32"/>
      <c r="B134" s="29"/>
      <c r="C134" s="29"/>
      <c r="D134" s="29"/>
      <c r="E134" s="28" t="str">
        <f aca="false">IF($D134="","",IFERROR(INDEX(المنتجات!$C$5:$C$24,MATCH($D134,المنتجات!$A$5:$A$24,0)),"كود غير موجود"))</f>
        <v/>
      </c>
      <c r="F134" s="28" t="str">
        <f aca="false">IF($D134="","",IFERROR(INDEX(المنتجات!$B$5:$B$24,MATCH($D134,المنتجات!$A$5:$A$24,0)),""))</f>
        <v/>
      </c>
      <c r="G134" s="24"/>
      <c r="H134" s="25" t="str">
        <f aca="false">IF($D134="","",IFERROR(INDEX(المنتجات!$F$5:$F$24,MATCH($D134,المنتجات!$A$5:$A$24,0)),0))</f>
        <v/>
      </c>
      <c r="I134" s="30"/>
      <c r="J134" s="25" t="str">
        <f aca="false">IF($D134="","",N(G134)*H134-N(I134))</f>
        <v/>
      </c>
      <c r="K134" s="25" t="str">
        <f aca="false">IF($D134="","",N(G134)*IFERROR(INDEX(المنتجات!$H$5:$H$24,MATCH($D134,المنتجات!$A$5:$A$24,0)),0))</f>
        <v/>
      </c>
      <c r="L134" s="25" t="str">
        <f aca="false">IF($D134="","",J134-K134)</f>
        <v/>
      </c>
      <c r="M134" s="29"/>
      <c r="N134" s="29"/>
    </row>
    <row r="135" customFormat="false" ht="15" hidden="false" customHeight="false" outlineLevel="0" collapsed="false">
      <c r="A135" s="32"/>
      <c r="B135" s="29"/>
      <c r="C135" s="29"/>
      <c r="D135" s="29"/>
      <c r="E135" s="28" t="str">
        <f aca="false">IF($D135="","",IFERROR(INDEX(المنتجات!$C$5:$C$24,MATCH($D135,المنتجات!$A$5:$A$24,0)),"كود غير موجود"))</f>
        <v/>
      </c>
      <c r="F135" s="28" t="str">
        <f aca="false">IF($D135="","",IFERROR(INDEX(المنتجات!$B$5:$B$24,MATCH($D135,المنتجات!$A$5:$A$24,0)),""))</f>
        <v/>
      </c>
      <c r="G135" s="24"/>
      <c r="H135" s="25" t="str">
        <f aca="false">IF($D135="","",IFERROR(INDEX(المنتجات!$F$5:$F$24,MATCH($D135,المنتجات!$A$5:$A$24,0)),0))</f>
        <v/>
      </c>
      <c r="I135" s="30"/>
      <c r="J135" s="25" t="str">
        <f aca="false">IF($D135="","",N(G135)*H135-N(I135))</f>
        <v/>
      </c>
      <c r="K135" s="25" t="str">
        <f aca="false">IF($D135="","",N(G135)*IFERROR(INDEX(المنتجات!$H$5:$H$24,MATCH($D135,المنتجات!$A$5:$A$24,0)),0))</f>
        <v/>
      </c>
      <c r="L135" s="25" t="str">
        <f aca="false">IF($D135="","",J135-K135)</f>
        <v/>
      </c>
      <c r="M135" s="29"/>
      <c r="N135" s="29"/>
    </row>
    <row r="136" customFormat="false" ht="15" hidden="false" customHeight="false" outlineLevel="0" collapsed="false">
      <c r="A136" s="32"/>
      <c r="B136" s="29"/>
      <c r="C136" s="29"/>
      <c r="D136" s="29"/>
      <c r="E136" s="28" t="str">
        <f aca="false">IF($D136="","",IFERROR(INDEX(المنتجات!$C$5:$C$24,MATCH($D136,المنتجات!$A$5:$A$24,0)),"كود غير موجود"))</f>
        <v/>
      </c>
      <c r="F136" s="28" t="str">
        <f aca="false">IF($D136="","",IFERROR(INDEX(المنتجات!$B$5:$B$24,MATCH($D136,المنتجات!$A$5:$A$24,0)),""))</f>
        <v/>
      </c>
      <c r="G136" s="24"/>
      <c r="H136" s="25" t="str">
        <f aca="false">IF($D136="","",IFERROR(INDEX(المنتجات!$F$5:$F$24,MATCH($D136,المنتجات!$A$5:$A$24,0)),0))</f>
        <v/>
      </c>
      <c r="I136" s="30"/>
      <c r="J136" s="25" t="str">
        <f aca="false">IF($D136="","",N(G136)*H136-N(I136))</f>
        <v/>
      </c>
      <c r="K136" s="25" t="str">
        <f aca="false">IF($D136="","",N(G136)*IFERROR(INDEX(المنتجات!$H$5:$H$24,MATCH($D136,المنتجات!$A$5:$A$24,0)),0))</f>
        <v/>
      </c>
      <c r="L136" s="25" t="str">
        <f aca="false">IF($D136="","",J136-K136)</f>
        <v/>
      </c>
      <c r="M136" s="29"/>
      <c r="N136" s="29"/>
    </row>
    <row r="137" customFormat="false" ht="15" hidden="false" customHeight="false" outlineLevel="0" collapsed="false">
      <c r="A137" s="32"/>
      <c r="B137" s="29"/>
      <c r="C137" s="29"/>
      <c r="D137" s="29"/>
      <c r="E137" s="28" t="str">
        <f aca="false">IF($D137="","",IFERROR(INDEX(المنتجات!$C$5:$C$24,MATCH($D137,المنتجات!$A$5:$A$24,0)),"كود غير موجود"))</f>
        <v/>
      </c>
      <c r="F137" s="28" t="str">
        <f aca="false">IF($D137="","",IFERROR(INDEX(المنتجات!$B$5:$B$24,MATCH($D137,المنتجات!$A$5:$A$24,0)),""))</f>
        <v/>
      </c>
      <c r="G137" s="24"/>
      <c r="H137" s="25" t="str">
        <f aca="false">IF($D137="","",IFERROR(INDEX(المنتجات!$F$5:$F$24,MATCH($D137,المنتجات!$A$5:$A$24,0)),0))</f>
        <v/>
      </c>
      <c r="I137" s="30"/>
      <c r="J137" s="25" t="str">
        <f aca="false">IF($D137="","",N(G137)*H137-N(I137))</f>
        <v/>
      </c>
      <c r="K137" s="25" t="str">
        <f aca="false">IF($D137="","",N(G137)*IFERROR(INDEX(المنتجات!$H$5:$H$24,MATCH($D137,المنتجات!$A$5:$A$24,0)),0))</f>
        <v/>
      </c>
      <c r="L137" s="25" t="str">
        <f aca="false">IF($D137="","",J137-K137)</f>
        <v/>
      </c>
      <c r="M137" s="29"/>
      <c r="N137" s="29"/>
    </row>
    <row r="138" customFormat="false" ht="15" hidden="false" customHeight="false" outlineLevel="0" collapsed="false">
      <c r="A138" s="32"/>
      <c r="B138" s="29"/>
      <c r="C138" s="29"/>
      <c r="D138" s="29"/>
      <c r="E138" s="28" t="str">
        <f aca="false">IF($D138="","",IFERROR(INDEX(المنتجات!$C$5:$C$24,MATCH($D138,المنتجات!$A$5:$A$24,0)),"كود غير موجود"))</f>
        <v/>
      </c>
      <c r="F138" s="28" t="str">
        <f aca="false">IF($D138="","",IFERROR(INDEX(المنتجات!$B$5:$B$24,MATCH($D138,المنتجات!$A$5:$A$24,0)),""))</f>
        <v/>
      </c>
      <c r="G138" s="24"/>
      <c r="H138" s="25" t="str">
        <f aca="false">IF($D138="","",IFERROR(INDEX(المنتجات!$F$5:$F$24,MATCH($D138,المنتجات!$A$5:$A$24,0)),0))</f>
        <v/>
      </c>
      <c r="I138" s="30"/>
      <c r="J138" s="25" t="str">
        <f aca="false">IF($D138="","",N(G138)*H138-N(I138))</f>
        <v/>
      </c>
      <c r="K138" s="25" t="str">
        <f aca="false">IF($D138="","",N(G138)*IFERROR(INDEX(المنتجات!$H$5:$H$24,MATCH($D138,المنتجات!$A$5:$A$24,0)),0))</f>
        <v/>
      </c>
      <c r="L138" s="25" t="str">
        <f aca="false">IF($D138="","",J138-K138)</f>
        <v/>
      </c>
      <c r="M138" s="29"/>
      <c r="N138" s="29"/>
    </row>
    <row r="139" customFormat="false" ht="15" hidden="false" customHeight="false" outlineLevel="0" collapsed="false">
      <c r="A139" s="32"/>
      <c r="B139" s="29"/>
      <c r="C139" s="29"/>
      <c r="D139" s="29"/>
      <c r="E139" s="28" t="str">
        <f aca="false">IF($D139="","",IFERROR(INDEX(المنتجات!$C$5:$C$24,MATCH($D139,المنتجات!$A$5:$A$24,0)),"كود غير موجود"))</f>
        <v/>
      </c>
      <c r="F139" s="28" t="str">
        <f aca="false">IF($D139="","",IFERROR(INDEX(المنتجات!$B$5:$B$24,MATCH($D139,المنتجات!$A$5:$A$24,0)),""))</f>
        <v/>
      </c>
      <c r="G139" s="24"/>
      <c r="H139" s="25" t="str">
        <f aca="false">IF($D139="","",IFERROR(INDEX(المنتجات!$F$5:$F$24,MATCH($D139,المنتجات!$A$5:$A$24,0)),0))</f>
        <v/>
      </c>
      <c r="I139" s="30"/>
      <c r="J139" s="25" t="str">
        <f aca="false">IF($D139="","",N(G139)*H139-N(I139))</f>
        <v/>
      </c>
      <c r="K139" s="25" t="str">
        <f aca="false">IF($D139="","",N(G139)*IFERROR(INDEX(المنتجات!$H$5:$H$24,MATCH($D139,المنتجات!$A$5:$A$24,0)),0))</f>
        <v/>
      </c>
      <c r="L139" s="25" t="str">
        <f aca="false">IF($D139="","",J139-K139)</f>
        <v/>
      </c>
      <c r="M139" s="29"/>
      <c r="N139" s="29"/>
    </row>
    <row r="140" customFormat="false" ht="15" hidden="false" customHeight="false" outlineLevel="0" collapsed="false">
      <c r="A140" s="32"/>
      <c r="B140" s="29"/>
      <c r="C140" s="29"/>
      <c r="D140" s="29"/>
      <c r="E140" s="28" t="str">
        <f aca="false">IF($D140="","",IFERROR(INDEX(المنتجات!$C$5:$C$24,MATCH($D140,المنتجات!$A$5:$A$24,0)),"كود غير موجود"))</f>
        <v/>
      </c>
      <c r="F140" s="28" t="str">
        <f aca="false">IF($D140="","",IFERROR(INDEX(المنتجات!$B$5:$B$24,MATCH($D140,المنتجات!$A$5:$A$24,0)),""))</f>
        <v/>
      </c>
      <c r="G140" s="24"/>
      <c r="H140" s="25" t="str">
        <f aca="false">IF($D140="","",IFERROR(INDEX(المنتجات!$F$5:$F$24,MATCH($D140,المنتجات!$A$5:$A$24,0)),0))</f>
        <v/>
      </c>
      <c r="I140" s="30"/>
      <c r="J140" s="25" t="str">
        <f aca="false">IF($D140="","",N(G140)*H140-N(I140))</f>
        <v/>
      </c>
      <c r="K140" s="25" t="str">
        <f aca="false">IF($D140="","",N(G140)*IFERROR(INDEX(المنتجات!$H$5:$H$24,MATCH($D140,المنتجات!$A$5:$A$24,0)),0))</f>
        <v/>
      </c>
      <c r="L140" s="25" t="str">
        <f aca="false">IF($D140="","",J140-K140)</f>
        <v/>
      </c>
      <c r="M140" s="29"/>
      <c r="N140" s="29"/>
    </row>
    <row r="141" customFormat="false" ht="15" hidden="false" customHeight="false" outlineLevel="0" collapsed="false">
      <c r="A141" s="32"/>
      <c r="B141" s="29"/>
      <c r="C141" s="29"/>
      <c r="D141" s="29"/>
      <c r="E141" s="28" t="str">
        <f aca="false">IF($D141="","",IFERROR(INDEX(المنتجات!$C$5:$C$24,MATCH($D141,المنتجات!$A$5:$A$24,0)),"كود غير موجود"))</f>
        <v/>
      </c>
      <c r="F141" s="28" t="str">
        <f aca="false">IF($D141="","",IFERROR(INDEX(المنتجات!$B$5:$B$24,MATCH($D141,المنتجات!$A$5:$A$24,0)),""))</f>
        <v/>
      </c>
      <c r="G141" s="24"/>
      <c r="H141" s="25" t="str">
        <f aca="false">IF($D141="","",IFERROR(INDEX(المنتجات!$F$5:$F$24,MATCH($D141,المنتجات!$A$5:$A$24,0)),0))</f>
        <v/>
      </c>
      <c r="I141" s="30"/>
      <c r="J141" s="25" t="str">
        <f aca="false">IF($D141="","",N(G141)*H141-N(I141))</f>
        <v/>
      </c>
      <c r="K141" s="25" t="str">
        <f aca="false">IF($D141="","",N(G141)*IFERROR(INDEX(المنتجات!$H$5:$H$24,MATCH($D141,المنتجات!$A$5:$A$24,0)),0))</f>
        <v/>
      </c>
      <c r="L141" s="25" t="str">
        <f aca="false">IF($D141="","",J141-K141)</f>
        <v/>
      </c>
      <c r="M141" s="29"/>
      <c r="N141" s="29"/>
    </row>
    <row r="142" customFormat="false" ht="15" hidden="false" customHeight="false" outlineLevel="0" collapsed="false">
      <c r="A142" s="32"/>
      <c r="B142" s="29"/>
      <c r="C142" s="29"/>
      <c r="D142" s="29"/>
      <c r="E142" s="28" t="str">
        <f aca="false">IF($D142="","",IFERROR(INDEX(المنتجات!$C$5:$C$24,MATCH($D142,المنتجات!$A$5:$A$24,0)),"كود غير موجود"))</f>
        <v/>
      </c>
      <c r="F142" s="28" t="str">
        <f aca="false">IF($D142="","",IFERROR(INDEX(المنتجات!$B$5:$B$24,MATCH($D142,المنتجات!$A$5:$A$24,0)),""))</f>
        <v/>
      </c>
      <c r="G142" s="24"/>
      <c r="H142" s="25" t="str">
        <f aca="false">IF($D142="","",IFERROR(INDEX(المنتجات!$F$5:$F$24,MATCH($D142,المنتجات!$A$5:$A$24,0)),0))</f>
        <v/>
      </c>
      <c r="I142" s="30"/>
      <c r="J142" s="25" t="str">
        <f aca="false">IF($D142="","",N(G142)*H142-N(I142))</f>
        <v/>
      </c>
      <c r="K142" s="25" t="str">
        <f aca="false">IF($D142="","",N(G142)*IFERROR(INDEX(المنتجات!$H$5:$H$24,MATCH($D142,المنتجات!$A$5:$A$24,0)),0))</f>
        <v/>
      </c>
      <c r="L142" s="25" t="str">
        <f aca="false">IF($D142="","",J142-K142)</f>
        <v/>
      </c>
      <c r="M142" s="29"/>
      <c r="N142" s="29"/>
    </row>
    <row r="143" customFormat="false" ht="15" hidden="false" customHeight="false" outlineLevel="0" collapsed="false">
      <c r="A143" s="32"/>
      <c r="B143" s="29"/>
      <c r="C143" s="29"/>
      <c r="D143" s="29"/>
      <c r="E143" s="28" t="str">
        <f aca="false">IF($D143="","",IFERROR(INDEX(المنتجات!$C$5:$C$24,MATCH($D143,المنتجات!$A$5:$A$24,0)),"كود غير موجود"))</f>
        <v/>
      </c>
      <c r="F143" s="28" t="str">
        <f aca="false">IF($D143="","",IFERROR(INDEX(المنتجات!$B$5:$B$24,MATCH($D143,المنتجات!$A$5:$A$24,0)),""))</f>
        <v/>
      </c>
      <c r="G143" s="24"/>
      <c r="H143" s="25" t="str">
        <f aca="false">IF($D143="","",IFERROR(INDEX(المنتجات!$F$5:$F$24,MATCH($D143,المنتجات!$A$5:$A$24,0)),0))</f>
        <v/>
      </c>
      <c r="I143" s="30"/>
      <c r="J143" s="25" t="str">
        <f aca="false">IF($D143="","",N(G143)*H143-N(I143))</f>
        <v/>
      </c>
      <c r="K143" s="25" t="str">
        <f aca="false">IF($D143="","",N(G143)*IFERROR(INDEX(المنتجات!$H$5:$H$24,MATCH($D143,المنتجات!$A$5:$A$24,0)),0))</f>
        <v/>
      </c>
      <c r="L143" s="25" t="str">
        <f aca="false">IF($D143="","",J143-K143)</f>
        <v/>
      </c>
      <c r="M143" s="29"/>
      <c r="N143" s="29"/>
    </row>
    <row r="144" customFormat="false" ht="15" hidden="false" customHeight="false" outlineLevel="0" collapsed="false">
      <c r="A144" s="32"/>
      <c r="B144" s="29"/>
      <c r="C144" s="29"/>
      <c r="D144" s="29"/>
      <c r="E144" s="28" t="str">
        <f aca="false">IF($D144="","",IFERROR(INDEX(المنتجات!$C$5:$C$24,MATCH($D144,المنتجات!$A$5:$A$24,0)),"كود غير موجود"))</f>
        <v/>
      </c>
      <c r="F144" s="28" t="str">
        <f aca="false">IF($D144="","",IFERROR(INDEX(المنتجات!$B$5:$B$24,MATCH($D144,المنتجات!$A$5:$A$24,0)),""))</f>
        <v/>
      </c>
      <c r="G144" s="24"/>
      <c r="H144" s="25" t="str">
        <f aca="false">IF($D144="","",IFERROR(INDEX(المنتجات!$F$5:$F$24,MATCH($D144,المنتجات!$A$5:$A$24,0)),0))</f>
        <v/>
      </c>
      <c r="I144" s="30"/>
      <c r="J144" s="25" t="str">
        <f aca="false">IF($D144="","",N(G144)*H144-N(I144))</f>
        <v/>
      </c>
      <c r="K144" s="25" t="str">
        <f aca="false">IF($D144="","",N(G144)*IFERROR(INDEX(المنتجات!$H$5:$H$24,MATCH($D144,المنتجات!$A$5:$A$24,0)),0))</f>
        <v/>
      </c>
      <c r="L144" s="25" t="str">
        <f aca="false">IF($D144="","",J144-K144)</f>
        <v/>
      </c>
      <c r="M144" s="29"/>
      <c r="N144" s="29"/>
    </row>
    <row r="145" customFormat="false" ht="15" hidden="false" customHeight="false" outlineLevel="0" collapsed="false">
      <c r="A145" s="32"/>
      <c r="B145" s="29"/>
      <c r="C145" s="29"/>
      <c r="D145" s="29"/>
      <c r="E145" s="28" t="str">
        <f aca="false">IF($D145="","",IFERROR(INDEX(المنتجات!$C$5:$C$24,MATCH($D145,المنتجات!$A$5:$A$24,0)),"كود غير موجود"))</f>
        <v/>
      </c>
      <c r="F145" s="28" t="str">
        <f aca="false">IF($D145="","",IFERROR(INDEX(المنتجات!$B$5:$B$24,MATCH($D145,المنتجات!$A$5:$A$24,0)),""))</f>
        <v/>
      </c>
      <c r="G145" s="24"/>
      <c r="H145" s="25" t="str">
        <f aca="false">IF($D145="","",IFERROR(INDEX(المنتجات!$F$5:$F$24,MATCH($D145,المنتجات!$A$5:$A$24,0)),0))</f>
        <v/>
      </c>
      <c r="I145" s="30"/>
      <c r="J145" s="25" t="str">
        <f aca="false">IF($D145="","",N(G145)*H145-N(I145))</f>
        <v/>
      </c>
      <c r="K145" s="25" t="str">
        <f aca="false">IF($D145="","",N(G145)*IFERROR(INDEX(المنتجات!$H$5:$H$24,MATCH($D145,المنتجات!$A$5:$A$24,0)),0))</f>
        <v/>
      </c>
      <c r="L145" s="25" t="str">
        <f aca="false">IF($D145="","",J145-K145)</f>
        <v/>
      </c>
      <c r="M145" s="29"/>
      <c r="N145" s="29"/>
    </row>
    <row r="146" customFormat="false" ht="15" hidden="false" customHeight="false" outlineLevel="0" collapsed="false">
      <c r="A146" s="32"/>
      <c r="B146" s="29"/>
      <c r="C146" s="29"/>
      <c r="D146" s="29"/>
      <c r="E146" s="28" t="str">
        <f aca="false">IF($D146="","",IFERROR(INDEX(المنتجات!$C$5:$C$24,MATCH($D146,المنتجات!$A$5:$A$24,0)),"كود غير موجود"))</f>
        <v/>
      </c>
      <c r="F146" s="28" t="str">
        <f aca="false">IF($D146="","",IFERROR(INDEX(المنتجات!$B$5:$B$24,MATCH($D146,المنتجات!$A$5:$A$24,0)),""))</f>
        <v/>
      </c>
      <c r="G146" s="24"/>
      <c r="H146" s="25" t="str">
        <f aca="false">IF($D146="","",IFERROR(INDEX(المنتجات!$F$5:$F$24,MATCH($D146,المنتجات!$A$5:$A$24,0)),0))</f>
        <v/>
      </c>
      <c r="I146" s="30"/>
      <c r="J146" s="25" t="str">
        <f aca="false">IF($D146="","",N(G146)*H146-N(I146))</f>
        <v/>
      </c>
      <c r="K146" s="25" t="str">
        <f aca="false">IF($D146="","",N(G146)*IFERROR(INDEX(المنتجات!$H$5:$H$24,MATCH($D146,المنتجات!$A$5:$A$24,0)),0))</f>
        <v/>
      </c>
      <c r="L146" s="25" t="str">
        <f aca="false">IF($D146="","",J146-K146)</f>
        <v/>
      </c>
      <c r="M146" s="29"/>
      <c r="N146" s="29"/>
    </row>
    <row r="147" customFormat="false" ht="15" hidden="false" customHeight="false" outlineLevel="0" collapsed="false">
      <c r="A147" s="32"/>
      <c r="B147" s="29"/>
      <c r="C147" s="29"/>
      <c r="D147" s="29"/>
      <c r="E147" s="28" t="str">
        <f aca="false">IF($D147="","",IFERROR(INDEX(المنتجات!$C$5:$C$24,MATCH($D147,المنتجات!$A$5:$A$24,0)),"كود غير موجود"))</f>
        <v/>
      </c>
      <c r="F147" s="28" t="str">
        <f aca="false">IF($D147="","",IFERROR(INDEX(المنتجات!$B$5:$B$24,MATCH($D147,المنتجات!$A$5:$A$24,0)),""))</f>
        <v/>
      </c>
      <c r="G147" s="24"/>
      <c r="H147" s="25" t="str">
        <f aca="false">IF($D147="","",IFERROR(INDEX(المنتجات!$F$5:$F$24,MATCH($D147,المنتجات!$A$5:$A$24,0)),0))</f>
        <v/>
      </c>
      <c r="I147" s="30"/>
      <c r="J147" s="25" t="str">
        <f aca="false">IF($D147="","",N(G147)*H147-N(I147))</f>
        <v/>
      </c>
      <c r="K147" s="25" t="str">
        <f aca="false">IF($D147="","",N(G147)*IFERROR(INDEX(المنتجات!$H$5:$H$24,MATCH($D147,المنتجات!$A$5:$A$24,0)),0))</f>
        <v/>
      </c>
      <c r="L147" s="25" t="str">
        <f aca="false">IF($D147="","",J147-K147)</f>
        <v/>
      </c>
      <c r="M147" s="29"/>
      <c r="N147" s="29"/>
    </row>
    <row r="148" customFormat="false" ht="15" hidden="false" customHeight="false" outlineLevel="0" collapsed="false">
      <c r="A148" s="32"/>
      <c r="B148" s="29"/>
      <c r="C148" s="29"/>
      <c r="D148" s="29"/>
      <c r="E148" s="28" t="str">
        <f aca="false">IF($D148="","",IFERROR(INDEX(المنتجات!$C$5:$C$24,MATCH($D148,المنتجات!$A$5:$A$24,0)),"كود غير موجود"))</f>
        <v/>
      </c>
      <c r="F148" s="28" t="str">
        <f aca="false">IF($D148="","",IFERROR(INDEX(المنتجات!$B$5:$B$24,MATCH($D148,المنتجات!$A$5:$A$24,0)),""))</f>
        <v/>
      </c>
      <c r="G148" s="24"/>
      <c r="H148" s="25" t="str">
        <f aca="false">IF($D148="","",IFERROR(INDEX(المنتجات!$F$5:$F$24,MATCH($D148,المنتجات!$A$5:$A$24,0)),0))</f>
        <v/>
      </c>
      <c r="I148" s="30"/>
      <c r="J148" s="25" t="str">
        <f aca="false">IF($D148="","",N(G148)*H148-N(I148))</f>
        <v/>
      </c>
      <c r="K148" s="25" t="str">
        <f aca="false">IF($D148="","",N(G148)*IFERROR(INDEX(المنتجات!$H$5:$H$24,MATCH($D148,المنتجات!$A$5:$A$24,0)),0))</f>
        <v/>
      </c>
      <c r="L148" s="25" t="str">
        <f aca="false">IF($D148="","",J148-K148)</f>
        <v/>
      </c>
      <c r="M148" s="29"/>
      <c r="N148" s="29"/>
    </row>
    <row r="149" customFormat="false" ht="15" hidden="false" customHeight="false" outlineLevel="0" collapsed="false">
      <c r="A149" s="32"/>
      <c r="B149" s="29"/>
      <c r="C149" s="29"/>
      <c r="D149" s="29"/>
      <c r="E149" s="28" t="str">
        <f aca="false">IF($D149="","",IFERROR(INDEX(المنتجات!$C$5:$C$24,MATCH($D149,المنتجات!$A$5:$A$24,0)),"كود غير موجود"))</f>
        <v/>
      </c>
      <c r="F149" s="28" t="str">
        <f aca="false">IF($D149="","",IFERROR(INDEX(المنتجات!$B$5:$B$24,MATCH($D149,المنتجات!$A$5:$A$24,0)),""))</f>
        <v/>
      </c>
      <c r="G149" s="24"/>
      <c r="H149" s="25" t="str">
        <f aca="false">IF($D149="","",IFERROR(INDEX(المنتجات!$F$5:$F$24,MATCH($D149,المنتجات!$A$5:$A$24,0)),0))</f>
        <v/>
      </c>
      <c r="I149" s="30"/>
      <c r="J149" s="25" t="str">
        <f aca="false">IF($D149="","",N(G149)*H149-N(I149))</f>
        <v/>
      </c>
      <c r="K149" s="25" t="str">
        <f aca="false">IF($D149="","",N(G149)*IFERROR(INDEX(المنتجات!$H$5:$H$24,MATCH($D149,المنتجات!$A$5:$A$24,0)),0))</f>
        <v/>
      </c>
      <c r="L149" s="25" t="str">
        <f aca="false">IF($D149="","",J149-K149)</f>
        <v/>
      </c>
      <c r="M149" s="29"/>
      <c r="N149" s="29"/>
    </row>
    <row r="150" customFormat="false" ht="15" hidden="false" customHeight="false" outlineLevel="0" collapsed="false">
      <c r="A150" s="32"/>
      <c r="B150" s="29"/>
      <c r="C150" s="29"/>
      <c r="D150" s="29"/>
      <c r="E150" s="28" t="str">
        <f aca="false">IF($D150="","",IFERROR(INDEX(المنتجات!$C$5:$C$24,MATCH($D150,المنتجات!$A$5:$A$24,0)),"كود غير موجود"))</f>
        <v/>
      </c>
      <c r="F150" s="28" t="str">
        <f aca="false">IF($D150="","",IFERROR(INDEX(المنتجات!$B$5:$B$24,MATCH($D150,المنتجات!$A$5:$A$24,0)),""))</f>
        <v/>
      </c>
      <c r="G150" s="24"/>
      <c r="H150" s="25" t="str">
        <f aca="false">IF($D150="","",IFERROR(INDEX(المنتجات!$F$5:$F$24,MATCH($D150,المنتجات!$A$5:$A$24,0)),0))</f>
        <v/>
      </c>
      <c r="I150" s="30"/>
      <c r="J150" s="25" t="str">
        <f aca="false">IF($D150="","",N(G150)*H150-N(I150))</f>
        <v/>
      </c>
      <c r="K150" s="25" t="str">
        <f aca="false">IF($D150="","",N(G150)*IFERROR(INDEX(المنتجات!$H$5:$H$24,MATCH($D150,المنتجات!$A$5:$A$24,0)),0))</f>
        <v/>
      </c>
      <c r="L150" s="25" t="str">
        <f aca="false">IF($D150="","",J150-K150)</f>
        <v/>
      </c>
      <c r="M150" s="29"/>
      <c r="N150" s="29"/>
    </row>
    <row r="151" customFormat="false" ht="15" hidden="false" customHeight="false" outlineLevel="0" collapsed="false">
      <c r="A151" s="32"/>
      <c r="B151" s="29"/>
      <c r="C151" s="29"/>
      <c r="D151" s="29"/>
      <c r="E151" s="28" t="str">
        <f aca="false">IF($D151="","",IFERROR(INDEX(المنتجات!$C$5:$C$24,MATCH($D151,المنتجات!$A$5:$A$24,0)),"كود غير موجود"))</f>
        <v/>
      </c>
      <c r="F151" s="28" t="str">
        <f aca="false">IF($D151="","",IFERROR(INDEX(المنتجات!$B$5:$B$24,MATCH($D151,المنتجات!$A$5:$A$24,0)),""))</f>
        <v/>
      </c>
      <c r="G151" s="24"/>
      <c r="H151" s="25" t="str">
        <f aca="false">IF($D151="","",IFERROR(INDEX(المنتجات!$F$5:$F$24,MATCH($D151,المنتجات!$A$5:$A$24,0)),0))</f>
        <v/>
      </c>
      <c r="I151" s="30"/>
      <c r="J151" s="25" t="str">
        <f aca="false">IF($D151="","",N(G151)*H151-N(I151))</f>
        <v/>
      </c>
      <c r="K151" s="25" t="str">
        <f aca="false">IF($D151="","",N(G151)*IFERROR(INDEX(المنتجات!$H$5:$H$24,MATCH($D151,المنتجات!$A$5:$A$24,0)),0))</f>
        <v/>
      </c>
      <c r="L151" s="25" t="str">
        <f aca="false">IF($D151="","",J151-K151)</f>
        <v/>
      </c>
      <c r="M151" s="29"/>
      <c r="N151" s="29"/>
    </row>
    <row r="152" customFormat="false" ht="15" hidden="false" customHeight="false" outlineLevel="0" collapsed="false">
      <c r="A152" s="32"/>
      <c r="B152" s="29"/>
      <c r="C152" s="29"/>
      <c r="D152" s="29"/>
      <c r="E152" s="28" t="str">
        <f aca="false">IF($D152="","",IFERROR(INDEX(المنتجات!$C$5:$C$24,MATCH($D152,المنتجات!$A$5:$A$24,0)),"كود غير موجود"))</f>
        <v/>
      </c>
      <c r="F152" s="28" t="str">
        <f aca="false">IF($D152="","",IFERROR(INDEX(المنتجات!$B$5:$B$24,MATCH($D152,المنتجات!$A$5:$A$24,0)),""))</f>
        <v/>
      </c>
      <c r="G152" s="24"/>
      <c r="H152" s="25" t="str">
        <f aca="false">IF($D152="","",IFERROR(INDEX(المنتجات!$F$5:$F$24,MATCH($D152,المنتجات!$A$5:$A$24,0)),0))</f>
        <v/>
      </c>
      <c r="I152" s="30"/>
      <c r="J152" s="25" t="str">
        <f aca="false">IF($D152="","",N(G152)*H152-N(I152))</f>
        <v/>
      </c>
      <c r="K152" s="25" t="str">
        <f aca="false">IF($D152="","",N(G152)*IFERROR(INDEX(المنتجات!$H$5:$H$24,MATCH($D152,المنتجات!$A$5:$A$24,0)),0))</f>
        <v/>
      </c>
      <c r="L152" s="25" t="str">
        <f aca="false">IF($D152="","",J152-K152)</f>
        <v/>
      </c>
      <c r="M152" s="29"/>
      <c r="N152" s="29"/>
    </row>
    <row r="153" customFormat="false" ht="15" hidden="false" customHeight="false" outlineLevel="0" collapsed="false">
      <c r="A153" s="32"/>
      <c r="B153" s="29"/>
      <c r="C153" s="29"/>
      <c r="D153" s="29"/>
      <c r="E153" s="28" t="str">
        <f aca="false">IF($D153="","",IFERROR(INDEX(المنتجات!$C$5:$C$24,MATCH($D153,المنتجات!$A$5:$A$24,0)),"كود غير موجود"))</f>
        <v/>
      </c>
      <c r="F153" s="28" t="str">
        <f aca="false">IF($D153="","",IFERROR(INDEX(المنتجات!$B$5:$B$24,MATCH($D153,المنتجات!$A$5:$A$24,0)),""))</f>
        <v/>
      </c>
      <c r="G153" s="24"/>
      <c r="H153" s="25" t="str">
        <f aca="false">IF($D153="","",IFERROR(INDEX(المنتجات!$F$5:$F$24,MATCH($D153,المنتجات!$A$5:$A$24,0)),0))</f>
        <v/>
      </c>
      <c r="I153" s="30"/>
      <c r="J153" s="25" t="str">
        <f aca="false">IF($D153="","",N(G153)*H153-N(I153))</f>
        <v/>
      </c>
      <c r="K153" s="25" t="str">
        <f aca="false">IF($D153="","",N(G153)*IFERROR(INDEX(المنتجات!$H$5:$H$24,MATCH($D153,المنتجات!$A$5:$A$24,0)),0))</f>
        <v/>
      </c>
      <c r="L153" s="25" t="str">
        <f aca="false">IF($D153="","",J153-K153)</f>
        <v/>
      </c>
      <c r="M153" s="29"/>
      <c r="N153" s="29"/>
    </row>
    <row r="154" customFormat="false" ht="15" hidden="false" customHeight="false" outlineLevel="0" collapsed="false">
      <c r="A154" s="32"/>
      <c r="B154" s="29"/>
      <c r="C154" s="29"/>
      <c r="D154" s="29"/>
      <c r="E154" s="28" t="str">
        <f aca="false">IF($D154="","",IFERROR(INDEX(المنتجات!$C$5:$C$24,MATCH($D154,المنتجات!$A$5:$A$24,0)),"كود غير موجود"))</f>
        <v/>
      </c>
      <c r="F154" s="28" t="str">
        <f aca="false">IF($D154="","",IFERROR(INDEX(المنتجات!$B$5:$B$24,MATCH($D154,المنتجات!$A$5:$A$24,0)),""))</f>
        <v/>
      </c>
      <c r="G154" s="24"/>
      <c r="H154" s="25" t="str">
        <f aca="false">IF($D154="","",IFERROR(INDEX(المنتجات!$F$5:$F$24,MATCH($D154,المنتجات!$A$5:$A$24,0)),0))</f>
        <v/>
      </c>
      <c r="I154" s="30"/>
      <c r="J154" s="25" t="str">
        <f aca="false">IF($D154="","",N(G154)*H154-N(I154))</f>
        <v/>
      </c>
      <c r="K154" s="25" t="str">
        <f aca="false">IF($D154="","",N(G154)*IFERROR(INDEX(المنتجات!$H$5:$H$24,MATCH($D154,المنتجات!$A$5:$A$24,0)),0))</f>
        <v/>
      </c>
      <c r="L154" s="25" t="str">
        <f aca="false">IF($D154="","",J154-K154)</f>
        <v/>
      </c>
      <c r="M154" s="29"/>
      <c r="N154" s="29"/>
    </row>
    <row r="155" customFormat="false" ht="15" hidden="false" customHeight="false" outlineLevel="0" collapsed="false">
      <c r="A155" s="32"/>
      <c r="B155" s="29"/>
      <c r="C155" s="29"/>
      <c r="D155" s="29"/>
      <c r="E155" s="28" t="str">
        <f aca="false">IF($D155="","",IFERROR(INDEX(المنتجات!$C$5:$C$24,MATCH($D155,المنتجات!$A$5:$A$24,0)),"كود غير موجود"))</f>
        <v/>
      </c>
      <c r="F155" s="28" t="str">
        <f aca="false">IF($D155="","",IFERROR(INDEX(المنتجات!$B$5:$B$24,MATCH($D155,المنتجات!$A$5:$A$24,0)),""))</f>
        <v/>
      </c>
      <c r="G155" s="24"/>
      <c r="H155" s="25" t="str">
        <f aca="false">IF($D155="","",IFERROR(INDEX(المنتجات!$F$5:$F$24,MATCH($D155,المنتجات!$A$5:$A$24,0)),0))</f>
        <v/>
      </c>
      <c r="I155" s="30"/>
      <c r="J155" s="25" t="str">
        <f aca="false">IF($D155="","",N(G155)*H155-N(I155))</f>
        <v/>
      </c>
      <c r="K155" s="25" t="str">
        <f aca="false">IF($D155="","",N(G155)*IFERROR(INDEX(المنتجات!$H$5:$H$24,MATCH($D155,المنتجات!$A$5:$A$24,0)),0))</f>
        <v/>
      </c>
      <c r="L155" s="25" t="str">
        <f aca="false">IF($D155="","",J155-K155)</f>
        <v/>
      </c>
      <c r="M155" s="29"/>
      <c r="N155" s="29"/>
    </row>
    <row r="156" customFormat="false" ht="15" hidden="false" customHeight="false" outlineLevel="0" collapsed="false">
      <c r="A156" s="32"/>
      <c r="B156" s="29"/>
      <c r="C156" s="29"/>
      <c r="D156" s="29"/>
      <c r="E156" s="28" t="str">
        <f aca="false">IF($D156="","",IFERROR(INDEX(المنتجات!$C$5:$C$24,MATCH($D156,المنتجات!$A$5:$A$24,0)),"كود غير موجود"))</f>
        <v/>
      </c>
      <c r="F156" s="28" t="str">
        <f aca="false">IF($D156="","",IFERROR(INDEX(المنتجات!$B$5:$B$24,MATCH($D156,المنتجات!$A$5:$A$24,0)),""))</f>
        <v/>
      </c>
      <c r="G156" s="24"/>
      <c r="H156" s="25" t="str">
        <f aca="false">IF($D156="","",IFERROR(INDEX(المنتجات!$F$5:$F$24,MATCH($D156,المنتجات!$A$5:$A$24,0)),0))</f>
        <v/>
      </c>
      <c r="I156" s="30"/>
      <c r="J156" s="25" t="str">
        <f aca="false">IF($D156="","",N(G156)*H156-N(I156))</f>
        <v/>
      </c>
      <c r="K156" s="25" t="str">
        <f aca="false">IF($D156="","",N(G156)*IFERROR(INDEX(المنتجات!$H$5:$H$24,MATCH($D156,المنتجات!$A$5:$A$24,0)),0))</f>
        <v/>
      </c>
      <c r="L156" s="25" t="str">
        <f aca="false">IF($D156="","",J156-K156)</f>
        <v/>
      </c>
      <c r="M156" s="29"/>
      <c r="N156" s="29"/>
    </row>
    <row r="157" customFormat="false" ht="15" hidden="false" customHeight="false" outlineLevel="0" collapsed="false">
      <c r="A157" s="32"/>
      <c r="B157" s="29"/>
      <c r="C157" s="29"/>
      <c r="D157" s="29"/>
      <c r="E157" s="28" t="str">
        <f aca="false">IF($D157="","",IFERROR(INDEX(المنتجات!$C$5:$C$24,MATCH($D157,المنتجات!$A$5:$A$24,0)),"كود غير موجود"))</f>
        <v/>
      </c>
      <c r="F157" s="28" t="str">
        <f aca="false">IF($D157="","",IFERROR(INDEX(المنتجات!$B$5:$B$24,MATCH($D157,المنتجات!$A$5:$A$24,0)),""))</f>
        <v/>
      </c>
      <c r="G157" s="24"/>
      <c r="H157" s="25" t="str">
        <f aca="false">IF($D157="","",IFERROR(INDEX(المنتجات!$F$5:$F$24,MATCH($D157,المنتجات!$A$5:$A$24,0)),0))</f>
        <v/>
      </c>
      <c r="I157" s="30"/>
      <c r="J157" s="25" t="str">
        <f aca="false">IF($D157="","",N(G157)*H157-N(I157))</f>
        <v/>
      </c>
      <c r="K157" s="25" t="str">
        <f aca="false">IF($D157="","",N(G157)*IFERROR(INDEX(المنتجات!$H$5:$H$24,MATCH($D157,المنتجات!$A$5:$A$24,0)),0))</f>
        <v/>
      </c>
      <c r="L157" s="25" t="str">
        <f aca="false">IF($D157="","",J157-K157)</f>
        <v/>
      </c>
      <c r="M157" s="29"/>
      <c r="N157" s="29"/>
    </row>
    <row r="158" customFormat="false" ht="15" hidden="false" customHeight="false" outlineLevel="0" collapsed="false">
      <c r="A158" s="32"/>
      <c r="B158" s="29"/>
      <c r="C158" s="29"/>
      <c r="D158" s="29"/>
      <c r="E158" s="28" t="str">
        <f aca="false">IF($D158="","",IFERROR(INDEX(المنتجات!$C$5:$C$24,MATCH($D158,المنتجات!$A$5:$A$24,0)),"كود غير موجود"))</f>
        <v/>
      </c>
      <c r="F158" s="28" t="str">
        <f aca="false">IF($D158="","",IFERROR(INDEX(المنتجات!$B$5:$B$24,MATCH($D158,المنتجات!$A$5:$A$24,0)),""))</f>
        <v/>
      </c>
      <c r="G158" s="24"/>
      <c r="H158" s="25" t="str">
        <f aca="false">IF($D158="","",IFERROR(INDEX(المنتجات!$F$5:$F$24,MATCH($D158,المنتجات!$A$5:$A$24,0)),0))</f>
        <v/>
      </c>
      <c r="I158" s="30"/>
      <c r="J158" s="25" t="str">
        <f aca="false">IF($D158="","",N(G158)*H158-N(I158))</f>
        <v/>
      </c>
      <c r="K158" s="25" t="str">
        <f aca="false">IF($D158="","",N(G158)*IFERROR(INDEX(المنتجات!$H$5:$H$24,MATCH($D158,المنتجات!$A$5:$A$24,0)),0))</f>
        <v/>
      </c>
      <c r="L158" s="25" t="str">
        <f aca="false">IF($D158="","",J158-K158)</f>
        <v/>
      </c>
      <c r="M158" s="29"/>
      <c r="N158" s="29"/>
    </row>
    <row r="159" customFormat="false" ht="15" hidden="false" customHeight="false" outlineLevel="0" collapsed="false">
      <c r="A159" s="32"/>
      <c r="B159" s="29"/>
      <c r="C159" s="29"/>
      <c r="D159" s="29"/>
      <c r="E159" s="28" t="str">
        <f aca="false">IF($D159="","",IFERROR(INDEX(المنتجات!$C$5:$C$24,MATCH($D159,المنتجات!$A$5:$A$24,0)),"كود غير موجود"))</f>
        <v/>
      </c>
      <c r="F159" s="28" t="str">
        <f aca="false">IF($D159="","",IFERROR(INDEX(المنتجات!$B$5:$B$24,MATCH($D159,المنتجات!$A$5:$A$24,0)),""))</f>
        <v/>
      </c>
      <c r="G159" s="24"/>
      <c r="H159" s="25" t="str">
        <f aca="false">IF($D159="","",IFERROR(INDEX(المنتجات!$F$5:$F$24,MATCH($D159,المنتجات!$A$5:$A$24,0)),0))</f>
        <v/>
      </c>
      <c r="I159" s="30"/>
      <c r="J159" s="25" t="str">
        <f aca="false">IF($D159="","",N(G159)*H159-N(I159))</f>
        <v/>
      </c>
      <c r="K159" s="25" t="str">
        <f aca="false">IF($D159="","",N(G159)*IFERROR(INDEX(المنتجات!$H$5:$H$24,MATCH($D159,المنتجات!$A$5:$A$24,0)),0))</f>
        <v/>
      </c>
      <c r="L159" s="25" t="str">
        <f aca="false">IF($D159="","",J159-K159)</f>
        <v/>
      </c>
      <c r="M159" s="29"/>
      <c r="N159" s="29"/>
    </row>
    <row r="160" customFormat="false" ht="15" hidden="false" customHeight="false" outlineLevel="0" collapsed="false">
      <c r="A160" s="32"/>
      <c r="B160" s="29"/>
      <c r="C160" s="29"/>
      <c r="D160" s="29"/>
      <c r="E160" s="28" t="str">
        <f aca="false">IF($D160="","",IFERROR(INDEX(المنتجات!$C$5:$C$24,MATCH($D160,المنتجات!$A$5:$A$24,0)),"كود غير موجود"))</f>
        <v/>
      </c>
      <c r="F160" s="28" t="str">
        <f aca="false">IF($D160="","",IFERROR(INDEX(المنتجات!$B$5:$B$24,MATCH($D160,المنتجات!$A$5:$A$24,0)),""))</f>
        <v/>
      </c>
      <c r="G160" s="24"/>
      <c r="H160" s="25" t="str">
        <f aca="false">IF($D160="","",IFERROR(INDEX(المنتجات!$F$5:$F$24,MATCH($D160,المنتجات!$A$5:$A$24,0)),0))</f>
        <v/>
      </c>
      <c r="I160" s="30"/>
      <c r="J160" s="25" t="str">
        <f aca="false">IF($D160="","",N(G160)*H160-N(I160))</f>
        <v/>
      </c>
      <c r="K160" s="25" t="str">
        <f aca="false">IF($D160="","",N(G160)*IFERROR(INDEX(المنتجات!$H$5:$H$24,MATCH($D160,المنتجات!$A$5:$A$24,0)),0))</f>
        <v/>
      </c>
      <c r="L160" s="25" t="str">
        <f aca="false">IF($D160="","",J160-K160)</f>
        <v/>
      </c>
      <c r="M160" s="29"/>
      <c r="N160" s="29"/>
    </row>
    <row r="161" customFormat="false" ht="15" hidden="false" customHeight="false" outlineLevel="0" collapsed="false">
      <c r="A161" s="32"/>
      <c r="B161" s="29"/>
      <c r="C161" s="29"/>
      <c r="D161" s="29"/>
      <c r="E161" s="28" t="str">
        <f aca="false">IF($D161="","",IFERROR(INDEX(المنتجات!$C$5:$C$24,MATCH($D161,المنتجات!$A$5:$A$24,0)),"كود غير موجود"))</f>
        <v/>
      </c>
      <c r="F161" s="28" t="str">
        <f aca="false">IF($D161="","",IFERROR(INDEX(المنتجات!$B$5:$B$24,MATCH($D161,المنتجات!$A$5:$A$24,0)),""))</f>
        <v/>
      </c>
      <c r="G161" s="24"/>
      <c r="H161" s="25" t="str">
        <f aca="false">IF($D161="","",IFERROR(INDEX(المنتجات!$F$5:$F$24,MATCH($D161,المنتجات!$A$5:$A$24,0)),0))</f>
        <v/>
      </c>
      <c r="I161" s="30"/>
      <c r="J161" s="25" t="str">
        <f aca="false">IF($D161="","",N(G161)*H161-N(I161))</f>
        <v/>
      </c>
      <c r="K161" s="25" t="str">
        <f aca="false">IF($D161="","",N(G161)*IFERROR(INDEX(المنتجات!$H$5:$H$24,MATCH($D161,المنتجات!$A$5:$A$24,0)),0))</f>
        <v/>
      </c>
      <c r="L161" s="25" t="str">
        <f aca="false">IF($D161="","",J161-K161)</f>
        <v/>
      </c>
      <c r="M161" s="29"/>
      <c r="N161" s="29"/>
    </row>
    <row r="162" customFormat="false" ht="15" hidden="false" customHeight="false" outlineLevel="0" collapsed="false">
      <c r="A162" s="32"/>
      <c r="B162" s="29"/>
      <c r="C162" s="29"/>
      <c r="D162" s="29"/>
      <c r="E162" s="28" t="str">
        <f aca="false">IF($D162="","",IFERROR(INDEX(المنتجات!$C$5:$C$24,MATCH($D162,المنتجات!$A$5:$A$24,0)),"كود غير موجود"))</f>
        <v/>
      </c>
      <c r="F162" s="28" t="str">
        <f aca="false">IF($D162="","",IFERROR(INDEX(المنتجات!$B$5:$B$24,MATCH($D162,المنتجات!$A$5:$A$24,0)),""))</f>
        <v/>
      </c>
      <c r="G162" s="24"/>
      <c r="H162" s="25" t="str">
        <f aca="false">IF($D162="","",IFERROR(INDEX(المنتجات!$F$5:$F$24,MATCH($D162,المنتجات!$A$5:$A$24,0)),0))</f>
        <v/>
      </c>
      <c r="I162" s="30"/>
      <c r="J162" s="25" t="str">
        <f aca="false">IF($D162="","",N(G162)*H162-N(I162))</f>
        <v/>
      </c>
      <c r="K162" s="25" t="str">
        <f aca="false">IF($D162="","",N(G162)*IFERROR(INDEX(المنتجات!$H$5:$H$24,MATCH($D162,المنتجات!$A$5:$A$24,0)),0))</f>
        <v/>
      </c>
      <c r="L162" s="25" t="str">
        <f aca="false">IF($D162="","",J162-K162)</f>
        <v/>
      </c>
      <c r="M162" s="29"/>
      <c r="N162" s="29"/>
    </row>
    <row r="163" customFormat="false" ht="15" hidden="false" customHeight="false" outlineLevel="0" collapsed="false">
      <c r="A163" s="32"/>
      <c r="B163" s="29"/>
      <c r="C163" s="29"/>
      <c r="D163" s="29"/>
      <c r="E163" s="28" t="str">
        <f aca="false">IF($D163="","",IFERROR(INDEX(المنتجات!$C$5:$C$24,MATCH($D163,المنتجات!$A$5:$A$24,0)),"كود غير موجود"))</f>
        <v/>
      </c>
      <c r="F163" s="28" t="str">
        <f aca="false">IF($D163="","",IFERROR(INDEX(المنتجات!$B$5:$B$24,MATCH($D163,المنتجات!$A$5:$A$24,0)),""))</f>
        <v/>
      </c>
      <c r="G163" s="24"/>
      <c r="H163" s="25" t="str">
        <f aca="false">IF($D163="","",IFERROR(INDEX(المنتجات!$F$5:$F$24,MATCH($D163,المنتجات!$A$5:$A$24,0)),0))</f>
        <v/>
      </c>
      <c r="I163" s="30"/>
      <c r="J163" s="25" t="str">
        <f aca="false">IF($D163="","",N(G163)*H163-N(I163))</f>
        <v/>
      </c>
      <c r="K163" s="25" t="str">
        <f aca="false">IF($D163="","",N(G163)*IFERROR(INDEX(المنتجات!$H$5:$H$24,MATCH($D163,المنتجات!$A$5:$A$24,0)),0))</f>
        <v/>
      </c>
      <c r="L163" s="25" t="str">
        <f aca="false">IF($D163="","",J163-K163)</f>
        <v/>
      </c>
      <c r="M163" s="29"/>
      <c r="N163" s="29"/>
    </row>
    <row r="164" customFormat="false" ht="15" hidden="false" customHeight="false" outlineLevel="0" collapsed="false">
      <c r="A164" s="32"/>
      <c r="B164" s="29"/>
      <c r="C164" s="29"/>
      <c r="D164" s="29"/>
      <c r="E164" s="28" t="str">
        <f aca="false">IF($D164="","",IFERROR(INDEX(المنتجات!$C$5:$C$24,MATCH($D164,المنتجات!$A$5:$A$24,0)),"كود غير موجود"))</f>
        <v/>
      </c>
      <c r="F164" s="28" t="str">
        <f aca="false">IF($D164="","",IFERROR(INDEX(المنتجات!$B$5:$B$24,MATCH($D164,المنتجات!$A$5:$A$24,0)),""))</f>
        <v/>
      </c>
      <c r="G164" s="24"/>
      <c r="H164" s="25" t="str">
        <f aca="false">IF($D164="","",IFERROR(INDEX(المنتجات!$F$5:$F$24,MATCH($D164,المنتجات!$A$5:$A$24,0)),0))</f>
        <v/>
      </c>
      <c r="I164" s="30"/>
      <c r="J164" s="25" t="str">
        <f aca="false">IF($D164="","",N(G164)*H164-N(I164))</f>
        <v/>
      </c>
      <c r="K164" s="25" t="str">
        <f aca="false">IF($D164="","",N(G164)*IFERROR(INDEX(المنتجات!$H$5:$H$24,MATCH($D164,المنتجات!$A$5:$A$24,0)),0))</f>
        <v/>
      </c>
      <c r="L164" s="25" t="str">
        <f aca="false">IF($D164="","",J164-K164)</f>
        <v/>
      </c>
      <c r="M164" s="29"/>
      <c r="N164" s="29"/>
    </row>
    <row r="165" customFormat="false" ht="15" hidden="false" customHeight="false" outlineLevel="0" collapsed="false">
      <c r="A165" s="32"/>
      <c r="B165" s="29"/>
      <c r="C165" s="29"/>
      <c r="D165" s="29"/>
      <c r="E165" s="28" t="str">
        <f aca="false">IF($D165="","",IFERROR(INDEX(المنتجات!$C$5:$C$24,MATCH($D165,المنتجات!$A$5:$A$24,0)),"كود غير موجود"))</f>
        <v/>
      </c>
      <c r="F165" s="28" t="str">
        <f aca="false">IF($D165="","",IFERROR(INDEX(المنتجات!$B$5:$B$24,MATCH($D165,المنتجات!$A$5:$A$24,0)),""))</f>
        <v/>
      </c>
      <c r="G165" s="24"/>
      <c r="H165" s="25" t="str">
        <f aca="false">IF($D165="","",IFERROR(INDEX(المنتجات!$F$5:$F$24,MATCH($D165,المنتجات!$A$5:$A$24,0)),0))</f>
        <v/>
      </c>
      <c r="I165" s="30"/>
      <c r="J165" s="25" t="str">
        <f aca="false">IF($D165="","",N(G165)*H165-N(I165))</f>
        <v/>
      </c>
      <c r="K165" s="25" t="str">
        <f aca="false">IF($D165="","",N(G165)*IFERROR(INDEX(المنتجات!$H$5:$H$24,MATCH($D165,المنتجات!$A$5:$A$24,0)),0))</f>
        <v/>
      </c>
      <c r="L165" s="25" t="str">
        <f aca="false">IF($D165="","",J165-K165)</f>
        <v/>
      </c>
      <c r="M165" s="29"/>
      <c r="N165" s="29"/>
    </row>
    <row r="166" customFormat="false" ht="15" hidden="false" customHeight="false" outlineLevel="0" collapsed="false">
      <c r="A166" s="32"/>
      <c r="B166" s="29"/>
      <c r="C166" s="29"/>
      <c r="D166" s="29"/>
      <c r="E166" s="28" t="str">
        <f aca="false">IF($D166="","",IFERROR(INDEX(المنتجات!$C$5:$C$24,MATCH($D166,المنتجات!$A$5:$A$24,0)),"كود غير موجود"))</f>
        <v/>
      </c>
      <c r="F166" s="28" t="str">
        <f aca="false">IF($D166="","",IFERROR(INDEX(المنتجات!$B$5:$B$24,MATCH($D166,المنتجات!$A$5:$A$24,0)),""))</f>
        <v/>
      </c>
      <c r="G166" s="24"/>
      <c r="H166" s="25" t="str">
        <f aca="false">IF($D166="","",IFERROR(INDEX(المنتجات!$F$5:$F$24,MATCH($D166,المنتجات!$A$5:$A$24,0)),0))</f>
        <v/>
      </c>
      <c r="I166" s="30"/>
      <c r="J166" s="25" t="str">
        <f aca="false">IF($D166="","",N(G166)*H166-N(I166))</f>
        <v/>
      </c>
      <c r="K166" s="25" t="str">
        <f aca="false">IF($D166="","",N(G166)*IFERROR(INDEX(المنتجات!$H$5:$H$24,MATCH($D166,المنتجات!$A$5:$A$24,0)),0))</f>
        <v/>
      </c>
      <c r="L166" s="25" t="str">
        <f aca="false">IF($D166="","",J166-K166)</f>
        <v/>
      </c>
      <c r="M166" s="29"/>
      <c r="N166" s="29"/>
    </row>
    <row r="167" customFormat="false" ht="15" hidden="false" customHeight="false" outlineLevel="0" collapsed="false">
      <c r="A167" s="32"/>
      <c r="B167" s="29"/>
      <c r="C167" s="29"/>
      <c r="D167" s="29"/>
      <c r="E167" s="28" t="str">
        <f aca="false">IF($D167="","",IFERROR(INDEX(المنتجات!$C$5:$C$24,MATCH($D167,المنتجات!$A$5:$A$24,0)),"كود غير موجود"))</f>
        <v/>
      </c>
      <c r="F167" s="28" t="str">
        <f aca="false">IF($D167="","",IFERROR(INDEX(المنتجات!$B$5:$B$24,MATCH($D167,المنتجات!$A$5:$A$24,0)),""))</f>
        <v/>
      </c>
      <c r="G167" s="24"/>
      <c r="H167" s="25" t="str">
        <f aca="false">IF($D167="","",IFERROR(INDEX(المنتجات!$F$5:$F$24,MATCH($D167,المنتجات!$A$5:$A$24,0)),0))</f>
        <v/>
      </c>
      <c r="I167" s="30"/>
      <c r="J167" s="25" t="str">
        <f aca="false">IF($D167="","",N(G167)*H167-N(I167))</f>
        <v/>
      </c>
      <c r="K167" s="25" t="str">
        <f aca="false">IF($D167="","",N(G167)*IFERROR(INDEX(المنتجات!$H$5:$H$24,MATCH($D167,المنتجات!$A$5:$A$24,0)),0))</f>
        <v/>
      </c>
      <c r="L167" s="25" t="str">
        <f aca="false">IF($D167="","",J167-K167)</f>
        <v/>
      </c>
      <c r="M167" s="29"/>
      <c r="N167" s="29"/>
    </row>
    <row r="168" customFormat="false" ht="15" hidden="false" customHeight="false" outlineLevel="0" collapsed="false">
      <c r="A168" s="32"/>
      <c r="B168" s="29"/>
      <c r="C168" s="29"/>
      <c r="D168" s="29"/>
      <c r="E168" s="28" t="str">
        <f aca="false">IF($D168="","",IFERROR(INDEX(المنتجات!$C$5:$C$24,MATCH($D168,المنتجات!$A$5:$A$24,0)),"كود غير موجود"))</f>
        <v/>
      </c>
      <c r="F168" s="28" t="str">
        <f aca="false">IF($D168="","",IFERROR(INDEX(المنتجات!$B$5:$B$24,MATCH($D168,المنتجات!$A$5:$A$24,0)),""))</f>
        <v/>
      </c>
      <c r="G168" s="24"/>
      <c r="H168" s="25" t="str">
        <f aca="false">IF($D168="","",IFERROR(INDEX(المنتجات!$F$5:$F$24,MATCH($D168,المنتجات!$A$5:$A$24,0)),0))</f>
        <v/>
      </c>
      <c r="I168" s="30"/>
      <c r="J168" s="25" t="str">
        <f aca="false">IF($D168="","",N(G168)*H168-N(I168))</f>
        <v/>
      </c>
      <c r="K168" s="25" t="str">
        <f aca="false">IF($D168="","",N(G168)*IFERROR(INDEX(المنتجات!$H$5:$H$24,MATCH($D168,المنتجات!$A$5:$A$24,0)),0))</f>
        <v/>
      </c>
      <c r="L168" s="25" t="str">
        <f aca="false">IF($D168="","",J168-K168)</f>
        <v/>
      </c>
      <c r="M168" s="29"/>
      <c r="N168" s="29"/>
    </row>
    <row r="169" customFormat="false" ht="15" hidden="false" customHeight="false" outlineLevel="0" collapsed="false">
      <c r="A169" s="32"/>
      <c r="B169" s="29"/>
      <c r="C169" s="29"/>
      <c r="D169" s="29"/>
      <c r="E169" s="28" t="str">
        <f aca="false">IF($D169="","",IFERROR(INDEX(المنتجات!$C$5:$C$24,MATCH($D169,المنتجات!$A$5:$A$24,0)),"كود غير موجود"))</f>
        <v/>
      </c>
      <c r="F169" s="28" t="str">
        <f aca="false">IF($D169="","",IFERROR(INDEX(المنتجات!$B$5:$B$24,MATCH($D169,المنتجات!$A$5:$A$24,0)),""))</f>
        <v/>
      </c>
      <c r="G169" s="24"/>
      <c r="H169" s="25" t="str">
        <f aca="false">IF($D169="","",IFERROR(INDEX(المنتجات!$F$5:$F$24,MATCH($D169,المنتجات!$A$5:$A$24,0)),0))</f>
        <v/>
      </c>
      <c r="I169" s="30"/>
      <c r="J169" s="25" t="str">
        <f aca="false">IF($D169="","",N(G169)*H169-N(I169))</f>
        <v/>
      </c>
      <c r="K169" s="25" t="str">
        <f aca="false">IF($D169="","",N(G169)*IFERROR(INDEX(المنتجات!$H$5:$H$24,MATCH($D169,المنتجات!$A$5:$A$24,0)),0))</f>
        <v/>
      </c>
      <c r="L169" s="25" t="str">
        <f aca="false">IF($D169="","",J169-K169)</f>
        <v/>
      </c>
      <c r="M169" s="29"/>
      <c r="N169" s="29"/>
    </row>
    <row r="170" customFormat="false" ht="15" hidden="false" customHeight="false" outlineLevel="0" collapsed="false">
      <c r="A170" s="32"/>
      <c r="B170" s="29"/>
      <c r="C170" s="29"/>
      <c r="D170" s="29"/>
      <c r="E170" s="28" t="str">
        <f aca="false">IF($D170="","",IFERROR(INDEX(المنتجات!$C$5:$C$24,MATCH($D170,المنتجات!$A$5:$A$24,0)),"كود غير موجود"))</f>
        <v/>
      </c>
      <c r="F170" s="28" t="str">
        <f aca="false">IF($D170="","",IFERROR(INDEX(المنتجات!$B$5:$B$24,MATCH($D170,المنتجات!$A$5:$A$24,0)),""))</f>
        <v/>
      </c>
      <c r="G170" s="24"/>
      <c r="H170" s="25" t="str">
        <f aca="false">IF($D170="","",IFERROR(INDEX(المنتجات!$F$5:$F$24,MATCH($D170,المنتجات!$A$5:$A$24,0)),0))</f>
        <v/>
      </c>
      <c r="I170" s="30"/>
      <c r="J170" s="25" t="str">
        <f aca="false">IF($D170="","",N(G170)*H170-N(I170))</f>
        <v/>
      </c>
      <c r="K170" s="25" t="str">
        <f aca="false">IF($D170="","",N(G170)*IFERROR(INDEX(المنتجات!$H$5:$H$24,MATCH($D170,المنتجات!$A$5:$A$24,0)),0))</f>
        <v/>
      </c>
      <c r="L170" s="25" t="str">
        <f aca="false">IF($D170="","",J170-K170)</f>
        <v/>
      </c>
      <c r="M170" s="29"/>
      <c r="N170" s="29"/>
    </row>
    <row r="171" customFormat="false" ht="15" hidden="false" customHeight="false" outlineLevel="0" collapsed="false">
      <c r="A171" s="32"/>
      <c r="B171" s="29"/>
      <c r="C171" s="29"/>
      <c r="D171" s="29"/>
      <c r="E171" s="28" t="str">
        <f aca="false">IF($D171="","",IFERROR(INDEX(المنتجات!$C$5:$C$24,MATCH($D171,المنتجات!$A$5:$A$24,0)),"كود غير موجود"))</f>
        <v/>
      </c>
      <c r="F171" s="28" t="str">
        <f aca="false">IF($D171="","",IFERROR(INDEX(المنتجات!$B$5:$B$24,MATCH($D171,المنتجات!$A$5:$A$24,0)),""))</f>
        <v/>
      </c>
      <c r="G171" s="24"/>
      <c r="H171" s="25" t="str">
        <f aca="false">IF($D171="","",IFERROR(INDEX(المنتجات!$F$5:$F$24,MATCH($D171,المنتجات!$A$5:$A$24,0)),0))</f>
        <v/>
      </c>
      <c r="I171" s="30"/>
      <c r="J171" s="25" t="str">
        <f aca="false">IF($D171="","",N(G171)*H171-N(I171))</f>
        <v/>
      </c>
      <c r="K171" s="25" t="str">
        <f aca="false">IF($D171="","",N(G171)*IFERROR(INDEX(المنتجات!$H$5:$H$24,MATCH($D171,المنتجات!$A$5:$A$24,0)),0))</f>
        <v/>
      </c>
      <c r="L171" s="25" t="str">
        <f aca="false">IF($D171="","",J171-K171)</f>
        <v/>
      </c>
      <c r="M171" s="29"/>
      <c r="N171" s="29"/>
    </row>
    <row r="172" customFormat="false" ht="15" hidden="false" customHeight="false" outlineLevel="0" collapsed="false">
      <c r="A172" s="32"/>
      <c r="B172" s="29"/>
      <c r="C172" s="29"/>
      <c r="D172" s="29"/>
      <c r="E172" s="28" t="str">
        <f aca="false">IF($D172="","",IFERROR(INDEX(المنتجات!$C$5:$C$24,MATCH($D172,المنتجات!$A$5:$A$24,0)),"كود غير موجود"))</f>
        <v/>
      </c>
      <c r="F172" s="28" t="str">
        <f aca="false">IF($D172="","",IFERROR(INDEX(المنتجات!$B$5:$B$24,MATCH($D172,المنتجات!$A$5:$A$24,0)),""))</f>
        <v/>
      </c>
      <c r="G172" s="24"/>
      <c r="H172" s="25" t="str">
        <f aca="false">IF($D172="","",IFERROR(INDEX(المنتجات!$F$5:$F$24,MATCH($D172,المنتجات!$A$5:$A$24,0)),0))</f>
        <v/>
      </c>
      <c r="I172" s="30"/>
      <c r="J172" s="25" t="str">
        <f aca="false">IF($D172="","",N(G172)*H172-N(I172))</f>
        <v/>
      </c>
      <c r="K172" s="25" t="str">
        <f aca="false">IF($D172="","",N(G172)*IFERROR(INDEX(المنتجات!$H$5:$H$24,MATCH($D172,المنتجات!$A$5:$A$24,0)),0))</f>
        <v/>
      </c>
      <c r="L172" s="25" t="str">
        <f aca="false">IF($D172="","",J172-K172)</f>
        <v/>
      </c>
      <c r="M172" s="29"/>
      <c r="N172" s="29"/>
    </row>
    <row r="173" customFormat="false" ht="15" hidden="false" customHeight="false" outlineLevel="0" collapsed="false">
      <c r="A173" s="32"/>
      <c r="B173" s="29"/>
      <c r="C173" s="29"/>
      <c r="D173" s="29"/>
      <c r="E173" s="28" t="str">
        <f aca="false">IF($D173="","",IFERROR(INDEX(المنتجات!$C$5:$C$24,MATCH($D173,المنتجات!$A$5:$A$24,0)),"كود غير موجود"))</f>
        <v/>
      </c>
      <c r="F173" s="28" t="str">
        <f aca="false">IF($D173="","",IFERROR(INDEX(المنتجات!$B$5:$B$24,MATCH($D173,المنتجات!$A$5:$A$24,0)),""))</f>
        <v/>
      </c>
      <c r="G173" s="24"/>
      <c r="H173" s="25" t="str">
        <f aca="false">IF($D173="","",IFERROR(INDEX(المنتجات!$F$5:$F$24,MATCH($D173,المنتجات!$A$5:$A$24,0)),0))</f>
        <v/>
      </c>
      <c r="I173" s="30"/>
      <c r="J173" s="25" t="str">
        <f aca="false">IF($D173="","",N(G173)*H173-N(I173))</f>
        <v/>
      </c>
      <c r="K173" s="25" t="str">
        <f aca="false">IF($D173="","",N(G173)*IFERROR(INDEX(المنتجات!$H$5:$H$24,MATCH($D173,المنتجات!$A$5:$A$24,0)),0))</f>
        <v/>
      </c>
      <c r="L173" s="25" t="str">
        <f aca="false">IF($D173="","",J173-K173)</f>
        <v/>
      </c>
      <c r="M173" s="29"/>
      <c r="N173" s="29"/>
    </row>
    <row r="174" customFormat="false" ht="15" hidden="false" customHeight="false" outlineLevel="0" collapsed="false">
      <c r="A174" s="32"/>
      <c r="B174" s="29"/>
      <c r="C174" s="29"/>
      <c r="D174" s="29"/>
      <c r="E174" s="28" t="str">
        <f aca="false">IF($D174="","",IFERROR(INDEX(المنتجات!$C$5:$C$24,MATCH($D174,المنتجات!$A$5:$A$24,0)),"كود غير موجود"))</f>
        <v/>
      </c>
      <c r="F174" s="28" t="str">
        <f aca="false">IF($D174="","",IFERROR(INDEX(المنتجات!$B$5:$B$24,MATCH($D174,المنتجات!$A$5:$A$24,0)),""))</f>
        <v/>
      </c>
      <c r="G174" s="24"/>
      <c r="H174" s="25" t="str">
        <f aca="false">IF($D174="","",IFERROR(INDEX(المنتجات!$F$5:$F$24,MATCH($D174,المنتجات!$A$5:$A$24,0)),0))</f>
        <v/>
      </c>
      <c r="I174" s="30"/>
      <c r="J174" s="25" t="str">
        <f aca="false">IF($D174="","",N(G174)*H174-N(I174))</f>
        <v/>
      </c>
      <c r="K174" s="25" t="str">
        <f aca="false">IF($D174="","",N(G174)*IFERROR(INDEX(المنتجات!$H$5:$H$24,MATCH($D174,المنتجات!$A$5:$A$24,0)),0))</f>
        <v/>
      </c>
      <c r="L174" s="25" t="str">
        <f aca="false">IF($D174="","",J174-K174)</f>
        <v/>
      </c>
      <c r="M174" s="29"/>
      <c r="N174" s="29"/>
    </row>
    <row r="175" customFormat="false" ht="15" hidden="false" customHeight="false" outlineLevel="0" collapsed="false">
      <c r="A175" s="32"/>
      <c r="B175" s="29"/>
      <c r="C175" s="29"/>
      <c r="D175" s="29"/>
      <c r="E175" s="28" t="str">
        <f aca="false">IF($D175="","",IFERROR(INDEX(المنتجات!$C$5:$C$24,MATCH($D175,المنتجات!$A$5:$A$24,0)),"كود غير موجود"))</f>
        <v/>
      </c>
      <c r="F175" s="28" t="str">
        <f aca="false">IF($D175="","",IFERROR(INDEX(المنتجات!$B$5:$B$24,MATCH($D175,المنتجات!$A$5:$A$24,0)),""))</f>
        <v/>
      </c>
      <c r="G175" s="24"/>
      <c r="H175" s="25" t="str">
        <f aca="false">IF($D175="","",IFERROR(INDEX(المنتجات!$F$5:$F$24,MATCH($D175,المنتجات!$A$5:$A$24,0)),0))</f>
        <v/>
      </c>
      <c r="I175" s="30"/>
      <c r="J175" s="25" t="str">
        <f aca="false">IF($D175="","",N(G175)*H175-N(I175))</f>
        <v/>
      </c>
      <c r="K175" s="25" t="str">
        <f aca="false">IF($D175="","",N(G175)*IFERROR(INDEX(المنتجات!$H$5:$H$24,MATCH($D175,المنتجات!$A$5:$A$24,0)),0))</f>
        <v/>
      </c>
      <c r="L175" s="25" t="str">
        <f aca="false">IF($D175="","",J175-K175)</f>
        <v/>
      </c>
      <c r="M175" s="29"/>
      <c r="N175" s="29"/>
    </row>
    <row r="176" customFormat="false" ht="15" hidden="false" customHeight="false" outlineLevel="0" collapsed="false">
      <c r="A176" s="32"/>
      <c r="B176" s="29"/>
      <c r="C176" s="29"/>
      <c r="D176" s="29"/>
      <c r="E176" s="28" t="str">
        <f aca="false">IF($D176="","",IFERROR(INDEX(المنتجات!$C$5:$C$24,MATCH($D176,المنتجات!$A$5:$A$24,0)),"كود غير موجود"))</f>
        <v/>
      </c>
      <c r="F176" s="28" t="str">
        <f aca="false">IF($D176="","",IFERROR(INDEX(المنتجات!$B$5:$B$24,MATCH($D176,المنتجات!$A$5:$A$24,0)),""))</f>
        <v/>
      </c>
      <c r="G176" s="24"/>
      <c r="H176" s="25" t="str">
        <f aca="false">IF($D176="","",IFERROR(INDEX(المنتجات!$F$5:$F$24,MATCH($D176,المنتجات!$A$5:$A$24,0)),0))</f>
        <v/>
      </c>
      <c r="I176" s="30"/>
      <c r="J176" s="25" t="str">
        <f aca="false">IF($D176="","",N(G176)*H176-N(I176))</f>
        <v/>
      </c>
      <c r="K176" s="25" t="str">
        <f aca="false">IF($D176="","",N(G176)*IFERROR(INDEX(المنتجات!$H$5:$H$24,MATCH($D176,المنتجات!$A$5:$A$24,0)),0))</f>
        <v/>
      </c>
      <c r="L176" s="25" t="str">
        <f aca="false">IF($D176="","",J176-K176)</f>
        <v/>
      </c>
      <c r="M176" s="29"/>
      <c r="N176" s="29"/>
    </row>
    <row r="177" customFormat="false" ht="15" hidden="false" customHeight="false" outlineLevel="0" collapsed="false">
      <c r="A177" s="32"/>
      <c r="B177" s="29"/>
      <c r="C177" s="29"/>
      <c r="D177" s="29"/>
      <c r="E177" s="28" t="str">
        <f aca="false">IF($D177="","",IFERROR(INDEX(المنتجات!$C$5:$C$24,MATCH($D177,المنتجات!$A$5:$A$24,0)),"كود غير موجود"))</f>
        <v/>
      </c>
      <c r="F177" s="28" t="str">
        <f aca="false">IF($D177="","",IFERROR(INDEX(المنتجات!$B$5:$B$24,MATCH($D177,المنتجات!$A$5:$A$24,0)),""))</f>
        <v/>
      </c>
      <c r="G177" s="24"/>
      <c r="H177" s="25" t="str">
        <f aca="false">IF($D177="","",IFERROR(INDEX(المنتجات!$F$5:$F$24,MATCH($D177,المنتجات!$A$5:$A$24,0)),0))</f>
        <v/>
      </c>
      <c r="I177" s="30"/>
      <c r="J177" s="25" t="str">
        <f aca="false">IF($D177="","",N(G177)*H177-N(I177))</f>
        <v/>
      </c>
      <c r="K177" s="25" t="str">
        <f aca="false">IF($D177="","",N(G177)*IFERROR(INDEX(المنتجات!$H$5:$H$24,MATCH($D177,المنتجات!$A$5:$A$24,0)),0))</f>
        <v/>
      </c>
      <c r="L177" s="25" t="str">
        <f aca="false">IF($D177="","",J177-K177)</f>
        <v/>
      </c>
      <c r="M177" s="29"/>
      <c r="N177" s="29"/>
    </row>
    <row r="178" customFormat="false" ht="15" hidden="false" customHeight="false" outlineLevel="0" collapsed="false">
      <c r="A178" s="32"/>
      <c r="B178" s="29"/>
      <c r="C178" s="29"/>
      <c r="D178" s="29"/>
      <c r="E178" s="28" t="str">
        <f aca="false">IF($D178="","",IFERROR(INDEX(المنتجات!$C$5:$C$24,MATCH($D178,المنتجات!$A$5:$A$24,0)),"كود غير موجود"))</f>
        <v/>
      </c>
      <c r="F178" s="28" t="str">
        <f aca="false">IF($D178="","",IFERROR(INDEX(المنتجات!$B$5:$B$24,MATCH($D178,المنتجات!$A$5:$A$24,0)),""))</f>
        <v/>
      </c>
      <c r="G178" s="24"/>
      <c r="H178" s="25" t="str">
        <f aca="false">IF($D178="","",IFERROR(INDEX(المنتجات!$F$5:$F$24,MATCH($D178,المنتجات!$A$5:$A$24,0)),0))</f>
        <v/>
      </c>
      <c r="I178" s="30"/>
      <c r="J178" s="25" t="str">
        <f aca="false">IF($D178="","",N(G178)*H178-N(I178))</f>
        <v/>
      </c>
      <c r="K178" s="25" t="str">
        <f aca="false">IF($D178="","",N(G178)*IFERROR(INDEX(المنتجات!$H$5:$H$24,MATCH($D178,المنتجات!$A$5:$A$24,0)),0))</f>
        <v/>
      </c>
      <c r="L178" s="25" t="str">
        <f aca="false">IF($D178="","",J178-K178)</f>
        <v/>
      </c>
      <c r="M178" s="29"/>
      <c r="N178" s="29"/>
    </row>
    <row r="179" customFormat="false" ht="15" hidden="false" customHeight="false" outlineLevel="0" collapsed="false">
      <c r="A179" s="32"/>
      <c r="B179" s="29"/>
      <c r="C179" s="29"/>
      <c r="D179" s="29"/>
      <c r="E179" s="28" t="str">
        <f aca="false">IF($D179="","",IFERROR(INDEX(المنتجات!$C$5:$C$24,MATCH($D179,المنتجات!$A$5:$A$24,0)),"كود غير موجود"))</f>
        <v/>
      </c>
      <c r="F179" s="28" t="str">
        <f aca="false">IF($D179="","",IFERROR(INDEX(المنتجات!$B$5:$B$24,MATCH($D179,المنتجات!$A$5:$A$24,0)),""))</f>
        <v/>
      </c>
      <c r="G179" s="24"/>
      <c r="H179" s="25" t="str">
        <f aca="false">IF($D179="","",IFERROR(INDEX(المنتجات!$F$5:$F$24,MATCH($D179,المنتجات!$A$5:$A$24,0)),0))</f>
        <v/>
      </c>
      <c r="I179" s="30"/>
      <c r="J179" s="25" t="str">
        <f aca="false">IF($D179="","",N(G179)*H179-N(I179))</f>
        <v/>
      </c>
      <c r="K179" s="25" t="str">
        <f aca="false">IF($D179="","",N(G179)*IFERROR(INDEX(المنتجات!$H$5:$H$24,MATCH($D179,المنتجات!$A$5:$A$24,0)),0))</f>
        <v/>
      </c>
      <c r="L179" s="25" t="str">
        <f aca="false">IF($D179="","",J179-K179)</f>
        <v/>
      </c>
      <c r="M179" s="29"/>
      <c r="N179" s="29"/>
    </row>
    <row r="180" customFormat="false" ht="15" hidden="false" customHeight="false" outlineLevel="0" collapsed="false">
      <c r="A180" s="32"/>
      <c r="B180" s="29"/>
      <c r="C180" s="29"/>
      <c r="D180" s="29"/>
      <c r="E180" s="28" t="str">
        <f aca="false">IF($D180="","",IFERROR(INDEX(المنتجات!$C$5:$C$24,MATCH($D180,المنتجات!$A$5:$A$24,0)),"كود غير موجود"))</f>
        <v/>
      </c>
      <c r="F180" s="28" t="str">
        <f aca="false">IF($D180="","",IFERROR(INDEX(المنتجات!$B$5:$B$24,MATCH($D180,المنتجات!$A$5:$A$24,0)),""))</f>
        <v/>
      </c>
      <c r="G180" s="24"/>
      <c r="H180" s="25" t="str">
        <f aca="false">IF($D180="","",IFERROR(INDEX(المنتجات!$F$5:$F$24,MATCH($D180,المنتجات!$A$5:$A$24,0)),0))</f>
        <v/>
      </c>
      <c r="I180" s="30"/>
      <c r="J180" s="25" t="str">
        <f aca="false">IF($D180="","",N(G180)*H180-N(I180))</f>
        <v/>
      </c>
      <c r="K180" s="25" t="str">
        <f aca="false">IF($D180="","",N(G180)*IFERROR(INDEX(المنتجات!$H$5:$H$24,MATCH($D180,المنتجات!$A$5:$A$24,0)),0))</f>
        <v/>
      </c>
      <c r="L180" s="25" t="str">
        <f aca="false">IF($D180="","",J180-K180)</f>
        <v/>
      </c>
      <c r="M180" s="29"/>
      <c r="N180" s="29"/>
    </row>
    <row r="181" customFormat="false" ht="15" hidden="false" customHeight="false" outlineLevel="0" collapsed="false">
      <c r="A181" s="32"/>
      <c r="B181" s="29"/>
      <c r="C181" s="29"/>
      <c r="D181" s="29"/>
      <c r="E181" s="28" t="str">
        <f aca="false">IF($D181="","",IFERROR(INDEX(المنتجات!$C$5:$C$24,MATCH($D181,المنتجات!$A$5:$A$24,0)),"كود غير موجود"))</f>
        <v/>
      </c>
      <c r="F181" s="28" t="str">
        <f aca="false">IF($D181="","",IFERROR(INDEX(المنتجات!$B$5:$B$24,MATCH($D181,المنتجات!$A$5:$A$24,0)),""))</f>
        <v/>
      </c>
      <c r="G181" s="24"/>
      <c r="H181" s="25" t="str">
        <f aca="false">IF($D181="","",IFERROR(INDEX(المنتجات!$F$5:$F$24,MATCH($D181,المنتجات!$A$5:$A$24,0)),0))</f>
        <v/>
      </c>
      <c r="I181" s="30"/>
      <c r="J181" s="25" t="str">
        <f aca="false">IF($D181="","",N(G181)*H181-N(I181))</f>
        <v/>
      </c>
      <c r="K181" s="25" t="str">
        <f aca="false">IF($D181="","",N(G181)*IFERROR(INDEX(المنتجات!$H$5:$H$24,MATCH($D181,المنتجات!$A$5:$A$24,0)),0))</f>
        <v/>
      </c>
      <c r="L181" s="25" t="str">
        <f aca="false">IF($D181="","",J181-K181)</f>
        <v/>
      </c>
      <c r="M181" s="29"/>
      <c r="N181" s="29"/>
    </row>
    <row r="182" customFormat="false" ht="15" hidden="false" customHeight="false" outlineLevel="0" collapsed="false">
      <c r="A182" s="32"/>
      <c r="B182" s="29"/>
      <c r="C182" s="29"/>
      <c r="D182" s="29"/>
      <c r="E182" s="28" t="str">
        <f aca="false">IF($D182="","",IFERROR(INDEX(المنتجات!$C$5:$C$24,MATCH($D182,المنتجات!$A$5:$A$24,0)),"كود غير موجود"))</f>
        <v/>
      </c>
      <c r="F182" s="28" t="str">
        <f aca="false">IF($D182="","",IFERROR(INDEX(المنتجات!$B$5:$B$24,MATCH($D182,المنتجات!$A$5:$A$24,0)),""))</f>
        <v/>
      </c>
      <c r="G182" s="24"/>
      <c r="H182" s="25" t="str">
        <f aca="false">IF($D182="","",IFERROR(INDEX(المنتجات!$F$5:$F$24,MATCH($D182,المنتجات!$A$5:$A$24,0)),0))</f>
        <v/>
      </c>
      <c r="I182" s="30"/>
      <c r="J182" s="25" t="str">
        <f aca="false">IF($D182="","",N(G182)*H182-N(I182))</f>
        <v/>
      </c>
      <c r="K182" s="25" t="str">
        <f aca="false">IF($D182="","",N(G182)*IFERROR(INDEX(المنتجات!$H$5:$H$24,MATCH($D182,المنتجات!$A$5:$A$24,0)),0))</f>
        <v/>
      </c>
      <c r="L182" s="25" t="str">
        <f aca="false">IF($D182="","",J182-K182)</f>
        <v/>
      </c>
      <c r="M182" s="29"/>
      <c r="N182" s="29"/>
    </row>
    <row r="183" customFormat="false" ht="15" hidden="false" customHeight="false" outlineLevel="0" collapsed="false">
      <c r="A183" s="32"/>
      <c r="B183" s="29"/>
      <c r="C183" s="29"/>
      <c r="D183" s="29"/>
      <c r="E183" s="28" t="str">
        <f aca="false">IF($D183="","",IFERROR(INDEX(المنتجات!$C$5:$C$24,MATCH($D183,المنتجات!$A$5:$A$24,0)),"كود غير موجود"))</f>
        <v/>
      </c>
      <c r="F183" s="28" t="str">
        <f aca="false">IF($D183="","",IFERROR(INDEX(المنتجات!$B$5:$B$24,MATCH($D183,المنتجات!$A$5:$A$24,0)),""))</f>
        <v/>
      </c>
      <c r="G183" s="24"/>
      <c r="H183" s="25" t="str">
        <f aca="false">IF($D183="","",IFERROR(INDEX(المنتجات!$F$5:$F$24,MATCH($D183,المنتجات!$A$5:$A$24,0)),0))</f>
        <v/>
      </c>
      <c r="I183" s="30"/>
      <c r="J183" s="25" t="str">
        <f aca="false">IF($D183="","",N(G183)*H183-N(I183))</f>
        <v/>
      </c>
      <c r="K183" s="25" t="str">
        <f aca="false">IF($D183="","",N(G183)*IFERROR(INDEX(المنتجات!$H$5:$H$24,MATCH($D183,المنتجات!$A$5:$A$24,0)),0))</f>
        <v/>
      </c>
      <c r="L183" s="25" t="str">
        <f aca="false">IF($D183="","",J183-K183)</f>
        <v/>
      </c>
      <c r="M183" s="29"/>
      <c r="N183" s="29"/>
    </row>
    <row r="184" customFormat="false" ht="15" hidden="false" customHeight="false" outlineLevel="0" collapsed="false">
      <c r="A184" s="32"/>
      <c r="B184" s="29"/>
      <c r="C184" s="29"/>
      <c r="D184" s="29"/>
      <c r="E184" s="28" t="str">
        <f aca="false">IF($D184="","",IFERROR(INDEX(المنتجات!$C$5:$C$24,MATCH($D184,المنتجات!$A$5:$A$24,0)),"كود غير موجود"))</f>
        <v/>
      </c>
      <c r="F184" s="28" t="str">
        <f aca="false">IF($D184="","",IFERROR(INDEX(المنتجات!$B$5:$B$24,MATCH($D184,المنتجات!$A$5:$A$24,0)),""))</f>
        <v/>
      </c>
      <c r="G184" s="24"/>
      <c r="H184" s="25" t="str">
        <f aca="false">IF($D184="","",IFERROR(INDEX(المنتجات!$F$5:$F$24,MATCH($D184,المنتجات!$A$5:$A$24,0)),0))</f>
        <v/>
      </c>
      <c r="I184" s="30"/>
      <c r="J184" s="25" t="str">
        <f aca="false">IF($D184="","",N(G184)*H184-N(I184))</f>
        <v/>
      </c>
      <c r="K184" s="25" t="str">
        <f aca="false">IF($D184="","",N(G184)*IFERROR(INDEX(المنتجات!$H$5:$H$24,MATCH($D184,المنتجات!$A$5:$A$24,0)),0))</f>
        <v/>
      </c>
      <c r="L184" s="25" t="str">
        <f aca="false">IF($D184="","",J184-K184)</f>
        <v/>
      </c>
      <c r="M184" s="29"/>
      <c r="N184" s="29"/>
    </row>
    <row r="185" customFormat="false" ht="15" hidden="false" customHeight="false" outlineLevel="0" collapsed="false">
      <c r="A185" s="32"/>
      <c r="B185" s="29"/>
      <c r="C185" s="29"/>
      <c r="D185" s="29"/>
      <c r="E185" s="28" t="str">
        <f aca="false">IF($D185="","",IFERROR(INDEX(المنتجات!$C$5:$C$24,MATCH($D185,المنتجات!$A$5:$A$24,0)),"كود غير موجود"))</f>
        <v/>
      </c>
      <c r="F185" s="28" t="str">
        <f aca="false">IF($D185="","",IFERROR(INDEX(المنتجات!$B$5:$B$24,MATCH($D185,المنتجات!$A$5:$A$24,0)),""))</f>
        <v/>
      </c>
      <c r="G185" s="24"/>
      <c r="H185" s="25" t="str">
        <f aca="false">IF($D185="","",IFERROR(INDEX(المنتجات!$F$5:$F$24,MATCH($D185,المنتجات!$A$5:$A$24,0)),0))</f>
        <v/>
      </c>
      <c r="I185" s="30"/>
      <c r="J185" s="25" t="str">
        <f aca="false">IF($D185="","",N(G185)*H185-N(I185))</f>
        <v/>
      </c>
      <c r="K185" s="25" t="str">
        <f aca="false">IF($D185="","",N(G185)*IFERROR(INDEX(المنتجات!$H$5:$H$24,MATCH($D185,المنتجات!$A$5:$A$24,0)),0))</f>
        <v/>
      </c>
      <c r="L185" s="25" t="str">
        <f aca="false">IF($D185="","",J185-K185)</f>
        <v/>
      </c>
      <c r="M185" s="29"/>
      <c r="N185" s="29"/>
    </row>
    <row r="186" customFormat="false" ht="15" hidden="false" customHeight="false" outlineLevel="0" collapsed="false">
      <c r="A186" s="32"/>
      <c r="B186" s="29"/>
      <c r="C186" s="29"/>
      <c r="D186" s="29"/>
      <c r="E186" s="28" t="str">
        <f aca="false">IF($D186="","",IFERROR(INDEX(المنتجات!$C$5:$C$24,MATCH($D186,المنتجات!$A$5:$A$24,0)),"كود غير موجود"))</f>
        <v/>
      </c>
      <c r="F186" s="28" t="str">
        <f aca="false">IF($D186="","",IFERROR(INDEX(المنتجات!$B$5:$B$24,MATCH($D186,المنتجات!$A$5:$A$24,0)),""))</f>
        <v/>
      </c>
      <c r="G186" s="24"/>
      <c r="H186" s="25" t="str">
        <f aca="false">IF($D186="","",IFERROR(INDEX(المنتجات!$F$5:$F$24,MATCH($D186,المنتجات!$A$5:$A$24,0)),0))</f>
        <v/>
      </c>
      <c r="I186" s="30"/>
      <c r="J186" s="25" t="str">
        <f aca="false">IF($D186="","",N(G186)*H186-N(I186))</f>
        <v/>
      </c>
      <c r="K186" s="25" t="str">
        <f aca="false">IF($D186="","",N(G186)*IFERROR(INDEX(المنتجات!$H$5:$H$24,MATCH($D186,المنتجات!$A$5:$A$24,0)),0))</f>
        <v/>
      </c>
      <c r="L186" s="25" t="str">
        <f aca="false">IF($D186="","",J186-K186)</f>
        <v/>
      </c>
      <c r="M186" s="29"/>
      <c r="N186" s="29"/>
    </row>
    <row r="187" customFormat="false" ht="15" hidden="false" customHeight="false" outlineLevel="0" collapsed="false">
      <c r="A187" s="32"/>
      <c r="B187" s="29"/>
      <c r="C187" s="29"/>
      <c r="D187" s="29"/>
      <c r="E187" s="28" t="str">
        <f aca="false">IF($D187="","",IFERROR(INDEX(المنتجات!$C$5:$C$24,MATCH($D187,المنتجات!$A$5:$A$24,0)),"كود غير موجود"))</f>
        <v/>
      </c>
      <c r="F187" s="28" t="str">
        <f aca="false">IF($D187="","",IFERROR(INDEX(المنتجات!$B$5:$B$24,MATCH($D187,المنتجات!$A$5:$A$24,0)),""))</f>
        <v/>
      </c>
      <c r="G187" s="24"/>
      <c r="H187" s="25" t="str">
        <f aca="false">IF($D187="","",IFERROR(INDEX(المنتجات!$F$5:$F$24,MATCH($D187,المنتجات!$A$5:$A$24,0)),0))</f>
        <v/>
      </c>
      <c r="I187" s="30"/>
      <c r="J187" s="25" t="str">
        <f aca="false">IF($D187="","",N(G187)*H187-N(I187))</f>
        <v/>
      </c>
      <c r="K187" s="25" t="str">
        <f aca="false">IF($D187="","",N(G187)*IFERROR(INDEX(المنتجات!$H$5:$H$24,MATCH($D187,المنتجات!$A$5:$A$24,0)),0))</f>
        <v/>
      </c>
      <c r="L187" s="25" t="str">
        <f aca="false">IF($D187="","",J187-K187)</f>
        <v/>
      </c>
      <c r="M187" s="29"/>
      <c r="N187" s="29"/>
    </row>
    <row r="188" customFormat="false" ht="15" hidden="false" customHeight="false" outlineLevel="0" collapsed="false">
      <c r="A188" s="32"/>
      <c r="B188" s="29"/>
      <c r="C188" s="29"/>
      <c r="D188" s="29"/>
      <c r="E188" s="28" t="str">
        <f aca="false">IF($D188="","",IFERROR(INDEX(المنتجات!$C$5:$C$24,MATCH($D188,المنتجات!$A$5:$A$24,0)),"كود غير موجود"))</f>
        <v/>
      </c>
      <c r="F188" s="28" t="str">
        <f aca="false">IF($D188="","",IFERROR(INDEX(المنتجات!$B$5:$B$24,MATCH($D188,المنتجات!$A$5:$A$24,0)),""))</f>
        <v/>
      </c>
      <c r="G188" s="24"/>
      <c r="H188" s="25" t="str">
        <f aca="false">IF($D188="","",IFERROR(INDEX(المنتجات!$F$5:$F$24,MATCH($D188,المنتجات!$A$5:$A$24,0)),0))</f>
        <v/>
      </c>
      <c r="I188" s="30"/>
      <c r="J188" s="25" t="str">
        <f aca="false">IF($D188="","",N(G188)*H188-N(I188))</f>
        <v/>
      </c>
      <c r="K188" s="25" t="str">
        <f aca="false">IF($D188="","",N(G188)*IFERROR(INDEX(المنتجات!$H$5:$H$24,MATCH($D188,المنتجات!$A$5:$A$24,0)),0))</f>
        <v/>
      </c>
      <c r="L188" s="25" t="str">
        <f aca="false">IF($D188="","",J188-K188)</f>
        <v/>
      </c>
      <c r="M188" s="29"/>
      <c r="N188" s="29"/>
    </row>
    <row r="189" customFormat="false" ht="15" hidden="false" customHeight="false" outlineLevel="0" collapsed="false">
      <c r="A189" s="32"/>
      <c r="B189" s="29"/>
      <c r="C189" s="29"/>
      <c r="D189" s="29"/>
      <c r="E189" s="28" t="str">
        <f aca="false">IF($D189="","",IFERROR(INDEX(المنتجات!$C$5:$C$24,MATCH($D189,المنتجات!$A$5:$A$24,0)),"كود غير موجود"))</f>
        <v/>
      </c>
      <c r="F189" s="28" t="str">
        <f aca="false">IF($D189="","",IFERROR(INDEX(المنتجات!$B$5:$B$24,MATCH($D189,المنتجات!$A$5:$A$24,0)),""))</f>
        <v/>
      </c>
      <c r="G189" s="24"/>
      <c r="H189" s="25" t="str">
        <f aca="false">IF($D189="","",IFERROR(INDEX(المنتجات!$F$5:$F$24,MATCH($D189,المنتجات!$A$5:$A$24,0)),0))</f>
        <v/>
      </c>
      <c r="I189" s="30"/>
      <c r="J189" s="25" t="str">
        <f aca="false">IF($D189="","",N(G189)*H189-N(I189))</f>
        <v/>
      </c>
      <c r="K189" s="25" t="str">
        <f aca="false">IF($D189="","",N(G189)*IFERROR(INDEX(المنتجات!$H$5:$H$24,MATCH($D189,المنتجات!$A$5:$A$24,0)),0))</f>
        <v/>
      </c>
      <c r="L189" s="25" t="str">
        <f aca="false">IF($D189="","",J189-K189)</f>
        <v/>
      </c>
      <c r="M189" s="29"/>
      <c r="N189" s="29"/>
    </row>
    <row r="190" customFormat="false" ht="15" hidden="false" customHeight="false" outlineLevel="0" collapsed="false">
      <c r="A190" s="32"/>
      <c r="B190" s="29"/>
      <c r="C190" s="29"/>
      <c r="D190" s="29"/>
      <c r="E190" s="28" t="str">
        <f aca="false">IF($D190="","",IFERROR(INDEX(المنتجات!$C$5:$C$24,MATCH($D190,المنتجات!$A$5:$A$24,0)),"كود غير موجود"))</f>
        <v/>
      </c>
      <c r="F190" s="28" t="str">
        <f aca="false">IF($D190="","",IFERROR(INDEX(المنتجات!$B$5:$B$24,MATCH($D190,المنتجات!$A$5:$A$24,0)),""))</f>
        <v/>
      </c>
      <c r="G190" s="24"/>
      <c r="H190" s="25" t="str">
        <f aca="false">IF($D190="","",IFERROR(INDEX(المنتجات!$F$5:$F$24,MATCH($D190,المنتجات!$A$5:$A$24,0)),0))</f>
        <v/>
      </c>
      <c r="I190" s="30"/>
      <c r="J190" s="25" t="str">
        <f aca="false">IF($D190="","",N(G190)*H190-N(I190))</f>
        <v/>
      </c>
      <c r="K190" s="25" t="str">
        <f aca="false">IF($D190="","",N(G190)*IFERROR(INDEX(المنتجات!$H$5:$H$24,MATCH($D190,المنتجات!$A$5:$A$24,0)),0))</f>
        <v/>
      </c>
      <c r="L190" s="25" t="str">
        <f aca="false">IF($D190="","",J190-K190)</f>
        <v/>
      </c>
      <c r="M190" s="29"/>
      <c r="N190" s="29"/>
    </row>
    <row r="191" customFormat="false" ht="15" hidden="false" customHeight="false" outlineLevel="0" collapsed="false">
      <c r="A191" s="32"/>
      <c r="B191" s="29"/>
      <c r="C191" s="29"/>
      <c r="D191" s="29"/>
      <c r="E191" s="28" t="str">
        <f aca="false">IF($D191="","",IFERROR(INDEX(المنتجات!$C$5:$C$24,MATCH($D191,المنتجات!$A$5:$A$24,0)),"كود غير موجود"))</f>
        <v/>
      </c>
      <c r="F191" s="28" t="str">
        <f aca="false">IF($D191="","",IFERROR(INDEX(المنتجات!$B$5:$B$24,MATCH($D191,المنتجات!$A$5:$A$24,0)),""))</f>
        <v/>
      </c>
      <c r="G191" s="24"/>
      <c r="H191" s="25" t="str">
        <f aca="false">IF($D191="","",IFERROR(INDEX(المنتجات!$F$5:$F$24,MATCH($D191,المنتجات!$A$5:$A$24,0)),0))</f>
        <v/>
      </c>
      <c r="I191" s="30"/>
      <c r="J191" s="25" t="str">
        <f aca="false">IF($D191="","",N(G191)*H191-N(I191))</f>
        <v/>
      </c>
      <c r="K191" s="25" t="str">
        <f aca="false">IF($D191="","",N(G191)*IFERROR(INDEX(المنتجات!$H$5:$H$24,MATCH($D191,المنتجات!$A$5:$A$24,0)),0))</f>
        <v/>
      </c>
      <c r="L191" s="25" t="str">
        <f aca="false">IF($D191="","",J191-K191)</f>
        <v/>
      </c>
      <c r="M191" s="29"/>
      <c r="N191" s="29"/>
    </row>
    <row r="192" customFormat="false" ht="15" hidden="false" customHeight="false" outlineLevel="0" collapsed="false">
      <c r="A192" s="32"/>
      <c r="B192" s="29"/>
      <c r="C192" s="29"/>
      <c r="D192" s="29"/>
      <c r="E192" s="28" t="str">
        <f aca="false">IF($D192="","",IFERROR(INDEX(المنتجات!$C$5:$C$24,MATCH($D192,المنتجات!$A$5:$A$24,0)),"كود غير موجود"))</f>
        <v/>
      </c>
      <c r="F192" s="28" t="str">
        <f aca="false">IF($D192="","",IFERROR(INDEX(المنتجات!$B$5:$B$24,MATCH($D192,المنتجات!$A$5:$A$24,0)),""))</f>
        <v/>
      </c>
      <c r="G192" s="24"/>
      <c r="H192" s="25" t="str">
        <f aca="false">IF($D192="","",IFERROR(INDEX(المنتجات!$F$5:$F$24,MATCH($D192,المنتجات!$A$5:$A$24,0)),0))</f>
        <v/>
      </c>
      <c r="I192" s="30"/>
      <c r="J192" s="25" t="str">
        <f aca="false">IF($D192="","",N(G192)*H192-N(I192))</f>
        <v/>
      </c>
      <c r="K192" s="25" t="str">
        <f aca="false">IF($D192="","",N(G192)*IFERROR(INDEX(المنتجات!$H$5:$H$24,MATCH($D192,المنتجات!$A$5:$A$24,0)),0))</f>
        <v/>
      </c>
      <c r="L192" s="25" t="str">
        <f aca="false">IF($D192="","",J192-K192)</f>
        <v/>
      </c>
      <c r="M192" s="29"/>
      <c r="N192" s="29"/>
    </row>
    <row r="193" customFormat="false" ht="15" hidden="false" customHeight="false" outlineLevel="0" collapsed="false">
      <c r="A193" s="32"/>
      <c r="B193" s="29"/>
      <c r="C193" s="29"/>
      <c r="D193" s="29"/>
      <c r="E193" s="28" t="str">
        <f aca="false">IF($D193="","",IFERROR(INDEX(المنتجات!$C$5:$C$24,MATCH($D193,المنتجات!$A$5:$A$24,0)),"كود غير موجود"))</f>
        <v/>
      </c>
      <c r="F193" s="28" t="str">
        <f aca="false">IF($D193="","",IFERROR(INDEX(المنتجات!$B$5:$B$24,MATCH($D193,المنتجات!$A$5:$A$24,0)),""))</f>
        <v/>
      </c>
      <c r="G193" s="24"/>
      <c r="H193" s="25" t="str">
        <f aca="false">IF($D193="","",IFERROR(INDEX(المنتجات!$F$5:$F$24,MATCH($D193,المنتجات!$A$5:$A$24,0)),0))</f>
        <v/>
      </c>
      <c r="I193" s="30"/>
      <c r="J193" s="25" t="str">
        <f aca="false">IF($D193="","",N(G193)*H193-N(I193))</f>
        <v/>
      </c>
      <c r="K193" s="25" t="str">
        <f aca="false">IF($D193="","",N(G193)*IFERROR(INDEX(المنتجات!$H$5:$H$24,MATCH($D193,المنتجات!$A$5:$A$24,0)),0))</f>
        <v/>
      </c>
      <c r="L193" s="25" t="str">
        <f aca="false">IF($D193="","",J193-K193)</f>
        <v/>
      </c>
      <c r="M193" s="29"/>
      <c r="N193" s="29"/>
    </row>
    <row r="194" customFormat="false" ht="15" hidden="false" customHeight="false" outlineLevel="0" collapsed="false">
      <c r="A194" s="32"/>
      <c r="B194" s="29"/>
      <c r="C194" s="29"/>
      <c r="D194" s="29"/>
      <c r="E194" s="28" t="str">
        <f aca="false">IF($D194="","",IFERROR(INDEX(المنتجات!$C$5:$C$24,MATCH($D194,المنتجات!$A$5:$A$24,0)),"كود غير موجود"))</f>
        <v/>
      </c>
      <c r="F194" s="28" t="str">
        <f aca="false">IF($D194="","",IFERROR(INDEX(المنتجات!$B$5:$B$24,MATCH($D194,المنتجات!$A$5:$A$24,0)),""))</f>
        <v/>
      </c>
      <c r="G194" s="24"/>
      <c r="H194" s="25" t="str">
        <f aca="false">IF($D194="","",IFERROR(INDEX(المنتجات!$F$5:$F$24,MATCH($D194,المنتجات!$A$5:$A$24,0)),0))</f>
        <v/>
      </c>
      <c r="I194" s="30"/>
      <c r="J194" s="25" t="str">
        <f aca="false">IF($D194="","",N(G194)*H194-N(I194))</f>
        <v/>
      </c>
      <c r="K194" s="25" t="str">
        <f aca="false">IF($D194="","",N(G194)*IFERROR(INDEX(المنتجات!$H$5:$H$24,MATCH($D194,المنتجات!$A$5:$A$24,0)),0))</f>
        <v/>
      </c>
      <c r="L194" s="25" t="str">
        <f aca="false">IF($D194="","",J194-K194)</f>
        <v/>
      </c>
      <c r="M194" s="29"/>
      <c r="N194" s="29"/>
    </row>
    <row r="195" customFormat="false" ht="15" hidden="false" customHeight="false" outlineLevel="0" collapsed="false">
      <c r="A195" s="32"/>
      <c r="B195" s="29"/>
      <c r="C195" s="29"/>
      <c r="D195" s="29"/>
      <c r="E195" s="28" t="str">
        <f aca="false">IF($D195="","",IFERROR(INDEX(المنتجات!$C$5:$C$24,MATCH($D195,المنتجات!$A$5:$A$24,0)),"كود غير موجود"))</f>
        <v/>
      </c>
      <c r="F195" s="28" t="str">
        <f aca="false">IF($D195="","",IFERROR(INDEX(المنتجات!$B$5:$B$24,MATCH($D195,المنتجات!$A$5:$A$24,0)),""))</f>
        <v/>
      </c>
      <c r="G195" s="24"/>
      <c r="H195" s="25" t="str">
        <f aca="false">IF($D195="","",IFERROR(INDEX(المنتجات!$F$5:$F$24,MATCH($D195,المنتجات!$A$5:$A$24,0)),0))</f>
        <v/>
      </c>
      <c r="I195" s="30"/>
      <c r="J195" s="25" t="str">
        <f aca="false">IF($D195="","",N(G195)*H195-N(I195))</f>
        <v/>
      </c>
      <c r="K195" s="25" t="str">
        <f aca="false">IF($D195="","",N(G195)*IFERROR(INDEX(المنتجات!$H$5:$H$24,MATCH($D195,المنتجات!$A$5:$A$24,0)),0))</f>
        <v/>
      </c>
      <c r="L195" s="25" t="str">
        <f aca="false">IF($D195="","",J195-K195)</f>
        <v/>
      </c>
      <c r="M195" s="29"/>
      <c r="N195" s="29"/>
    </row>
    <row r="196" customFormat="false" ht="15" hidden="false" customHeight="false" outlineLevel="0" collapsed="false">
      <c r="A196" s="32"/>
      <c r="B196" s="29"/>
      <c r="C196" s="29"/>
      <c r="D196" s="29"/>
      <c r="E196" s="28" t="str">
        <f aca="false">IF($D196="","",IFERROR(INDEX(المنتجات!$C$5:$C$24,MATCH($D196,المنتجات!$A$5:$A$24,0)),"كود غير موجود"))</f>
        <v/>
      </c>
      <c r="F196" s="28" t="str">
        <f aca="false">IF($D196="","",IFERROR(INDEX(المنتجات!$B$5:$B$24,MATCH($D196,المنتجات!$A$5:$A$24,0)),""))</f>
        <v/>
      </c>
      <c r="G196" s="24"/>
      <c r="H196" s="25" t="str">
        <f aca="false">IF($D196="","",IFERROR(INDEX(المنتجات!$F$5:$F$24,MATCH($D196,المنتجات!$A$5:$A$24,0)),0))</f>
        <v/>
      </c>
      <c r="I196" s="30"/>
      <c r="J196" s="25" t="str">
        <f aca="false">IF($D196="","",N(G196)*H196-N(I196))</f>
        <v/>
      </c>
      <c r="K196" s="25" t="str">
        <f aca="false">IF($D196="","",N(G196)*IFERROR(INDEX(المنتجات!$H$5:$H$24,MATCH($D196,المنتجات!$A$5:$A$24,0)),0))</f>
        <v/>
      </c>
      <c r="L196" s="25" t="str">
        <f aca="false">IF($D196="","",J196-K196)</f>
        <v/>
      </c>
      <c r="M196" s="29"/>
      <c r="N196" s="29"/>
    </row>
    <row r="197" customFormat="false" ht="15" hidden="false" customHeight="false" outlineLevel="0" collapsed="false">
      <c r="A197" s="32"/>
      <c r="B197" s="29"/>
      <c r="C197" s="29"/>
      <c r="D197" s="29"/>
      <c r="E197" s="28" t="str">
        <f aca="false">IF($D197="","",IFERROR(INDEX(المنتجات!$C$5:$C$24,MATCH($D197,المنتجات!$A$5:$A$24,0)),"كود غير موجود"))</f>
        <v/>
      </c>
      <c r="F197" s="28" t="str">
        <f aca="false">IF($D197="","",IFERROR(INDEX(المنتجات!$B$5:$B$24,MATCH($D197,المنتجات!$A$5:$A$24,0)),""))</f>
        <v/>
      </c>
      <c r="G197" s="24"/>
      <c r="H197" s="25" t="str">
        <f aca="false">IF($D197="","",IFERROR(INDEX(المنتجات!$F$5:$F$24,MATCH($D197,المنتجات!$A$5:$A$24,0)),0))</f>
        <v/>
      </c>
      <c r="I197" s="30"/>
      <c r="J197" s="25" t="str">
        <f aca="false">IF($D197="","",N(G197)*H197-N(I197))</f>
        <v/>
      </c>
      <c r="K197" s="25" t="str">
        <f aca="false">IF($D197="","",N(G197)*IFERROR(INDEX(المنتجات!$H$5:$H$24,MATCH($D197,المنتجات!$A$5:$A$24,0)),0))</f>
        <v/>
      </c>
      <c r="L197" s="25" t="str">
        <f aca="false">IF($D197="","",J197-K197)</f>
        <v/>
      </c>
      <c r="M197" s="29"/>
      <c r="N197" s="29"/>
    </row>
    <row r="198" customFormat="false" ht="15" hidden="false" customHeight="false" outlineLevel="0" collapsed="false">
      <c r="A198" s="32"/>
      <c r="B198" s="29"/>
      <c r="C198" s="29"/>
      <c r="D198" s="29"/>
      <c r="E198" s="28" t="str">
        <f aca="false">IF($D198="","",IFERROR(INDEX(المنتجات!$C$5:$C$24,MATCH($D198,المنتجات!$A$5:$A$24,0)),"كود غير موجود"))</f>
        <v/>
      </c>
      <c r="F198" s="28" t="str">
        <f aca="false">IF($D198="","",IFERROR(INDEX(المنتجات!$B$5:$B$24,MATCH($D198,المنتجات!$A$5:$A$24,0)),""))</f>
        <v/>
      </c>
      <c r="G198" s="24"/>
      <c r="H198" s="25" t="str">
        <f aca="false">IF($D198="","",IFERROR(INDEX(المنتجات!$F$5:$F$24,MATCH($D198,المنتجات!$A$5:$A$24,0)),0))</f>
        <v/>
      </c>
      <c r="I198" s="30"/>
      <c r="J198" s="25" t="str">
        <f aca="false">IF($D198="","",N(G198)*H198-N(I198))</f>
        <v/>
      </c>
      <c r="K198" s="25" t="str">
        <f aca="false">IF($D198="","",N(G198)*IFERROR(INDEX(المنتجات!$H$5:$H$24,MATCH($D198,المنتجات!$A$5:$A$24,0)),0))</f>
        <v/>
      </c>
      <c r="L198" s="25" t="str">
        <f aca="false">IF($D198="","",J198-K198)</f>
        <v/>
      </c>
      <c r="M198" s="29"/>
      <c r="N198" s="29"/>
    </row>
    <row r="199" customFormat="false" ht="15" hidden="false" customHeight="false" outlineLevel="0" collapsed="false">
      <c r="A199" s="32"/>
      <c r="B199" s="29"/>
      <c r="C199" s="29"/>
      <c r="D199" s="29"/>
      <c r="E199" s="28" t="str">
        <f aca="false">IF($D199="","",IFERROR(INDEX(المنتجات!$C$5:$C$24,MATCH($D199,المنتجات!$A$5:$A$24,0)),"كود غير موجود"))</f>
        <v/>
      </c>
      <c r="F199" s="28" t="str">
        <f aca="false">IF($D199="","",IFERROR(INDEX(المنتجات!$B$5:$B$24,MATCH($D199,المنتجات!$A$5:$A$24,0)),""))</f>
        <v/>
      </c>
      <c r="G199" s="24"/>
      <c r="H199" s="25" t="str">
        <f aca="false">IF($D199="","",IFERROR(INDEX(المنتجات!$F$5:$F$24,MATCH($D199,المنتجات!$A$5:$A$24,0)),0))</f>
        <v/>
      </c>
      <c r="I199" s="30"/>
      <c r="J199" s="25" t="str">
        <f aca="false">IF($D199="","",N(G199)*H199-N(I199))</f>
        <v/>
      </c>
      <c r="K199" s="25" t="str">
        <f aca="false">IF($D199="","",N(G199)*IFERROR(INDEX(المنتجات!$H$5:$H$24,MATCH($D199,المنتجات!$A$5:$A$24,0)),0))</f>
        <v/>
      </c>
      <c r="L199" s="25" t="str">
        <f aca="false">IF($D199="","",J199-K199)</f>
        <v/>
      </c>
      <c r="M199" s="29"/>
      <c r="N199" s="29"/>
    </row>
    <row r="200" customFormat="false" ht="15" hidden="false" customHeight="false" outlineLevel="0" collapsed="false">
      <c r="A200" s="32"/>
      <c r="B200" s="29"/>
      <c r="C200" s="29"/>
      <c r="D200" s="29"/>
      <c r="E200" s="28" t="str">
        <f aca="false">IF($D200="","",IFERROR(INDEX(المنتجات!$C$5:$C$24,MATCH($D200,المنتجات!$A$5:$A$24,0)),"كود غير موجود"))</f>
        <v/>
      </c>
      <c r="F200" s="28" t="str">
        <f aca="false">IF($D200="","",IFERROR(INDEX(المنتجات!$B$5:$B$24,MATCH($D200,المنتجات!$A$5:$A$24,0)),""))</f>
        <v/>
      </c>
      <c r="G200" s="24"/>
      <c r="H200" s="25" t="str">
        <f aca="false">IF($D200="","",IFERROR(INDEX(المنتجات!$F$5:$F$24,MATCH($D200,المنتجات!$A$5:$A$24,0)),0))</f>
        <v/>
      </c>
      <c r="I200" s="30"/>
      <c r="J200" s="25" t="str">
        <f aca="false">IF($D200="","",N(G200)*H200-N(I200))</f>
        <v/>
      </c>
      <c r="K200" s="25" t="str">
        <f aca="false">IF($D200="","",N(G200)*IFERROR(INDEX(المنتجات!$H$5:$H$24,MATCH($D200,المنتجات!$A$5:$A$24,0)),0))</f>
        <v/>
      </c>
      <c r="L200" s="25" t="str">
        <f aca="false">IF($D200="","",J200-K200)</f>
        <v/>
      </c>
      <c r="M200" s="29"/>
      <c r="N200" s="29"/>
    </row>
    <row r="201" customFormat="false" ht="15" hidden="false" customHeight="false" outlineLevel="0" collapsed="false">
      <c r="A201" s="32"/>
      <c r="B201" s="29"/>
      <c r="C201" s="29"/>
      <c r="D201" s="29"/>
      <c r="E201" s="28" t="str">
        <f aca="false">IF($D201="","",IFERROR(INDEX(المنتجات!$C$5:$C$24,MATCH($D201,المنتجات!$A$5:$A$24,0)),"كود غير موجود"))</f>
        <v/>
      </c>
      <c r="F201" s="28" t="str">
        <f aca="false">IF($D201="","",IFERROR(INDEX(المنتجات!$B$5:$B$24,MATCH($D201,المنتجات!$A$5:$A$24,0)),""))</f>
        <v/>
      </c>
      <c r="G201" s="24"/>
      <c r="H201" s="25" t="str">
        <f aca="false">IF($D201="","",IFERROR(INDEX(المنتجات!$F$5:$F$24,MATCH($D201,المنتجات!$A$5:$A$24,0)),0))</f>
        <v/>
      </c>
      <c r="I201" s="30"/>
      <c r="J201" s="25" t="str">
        <f aca="false">IF($D201="","",N(G201)*H201-N(I201))</f>
        <v/>
      </c>
      <c r="K201" s="25" t="str">
        <f aca="false">IF($D201="","",N(G201)*IFERROR(INDEX(المنتجات!$H$5:$H$24,MATCH($D201,المنتجات!$A$5:$A$24,0)),0))</f>
        <v/>
      </c>
      <c r="L201" s="25" t="str">
        <f aca="false">IF($D201="","",J201-K201)</f>
        <v/>
      </c>
      <c r="M201" s="29"/>
      <c r="N201" s="29"/>
    </row>
    <row r="202" customFormat="false" ht="15" hidden="false" customHeight="false" outlineLevel="0" collapsed="false">
      <c r="A202" s="32"/>
      <c r="B202" s="29"/>
      <c r="C202" s="29"/>
      <c r="D202" s="29"/>
      <c r="E202" s="28" t="str">
        <f aca="false">IF($D202="","",IFERROR(INDEX(المنتجات!$C$5:$C$24,MATCH($D202,المنتجات!$A$5:$A$24,0)),"كود غير موجود"))</f>
        <v/>
      </c>
      <c r="F202" s="28" t="str">
        <f aca="false">IF($D202="","",IFERROR(INDEX(المنتجات!$B$5:$B$24,MATCH($D202,المنتجات!$A$5:$A$24,0)),""))</f>
        <v/>
      </c>
      <c r="G202" s="24"/>
      <c r="H202" s="25" t="str">
        <f aca="false">IF($D202="","",IFERROR(INDEX(المنتجات!$F$5:$F$24,MATCH($D202,المنتجات!$A$5:$A$24,0)),0))</f>
        <v/>
      </c>
      <c r="I202" s="30"/>
      <c r="J202" s="25" t="str">
        <f aca="false">IF($D202="","",N(G202)*H202-N(I202))</f>
        <v/>
      </c>
      <c r="K202" s="25" t="str">
        <f aca="false">IF($D202="","",N(G202)*IFERROR(INDEX(المنتجات!$H$5:$H$24,MATCH($D202,المنتجات!$A$5:$A$24,0)),0))</f>
        <v/>
      </c>
      <c r="L202" s="25" t="str">
        <f aca="false">IF($D202="","",J202-K202)</f>
        <v/>
      </c>
      <c r="M202" s="29"/>
      <c r="N202" s="29"/>
    </row>
    <row r="203" customFormat="false" ht="15" hidden="false" customHeight="false" outlineLevel="0" collapsed="false">
      <c r="A203" s="32"/>
      <c r="B203" s="29"/>
      <c r="C203" s="29"/>
      <c r="D203" s="29"/>
      <c r="E203" s="28" t="str">
        <f aca="false">IF($D203="","",IFERROR(INDEX(المنتجات!$C$5:$C$24,MATCH($D203,المنتجات!$A$5:$A$24,0)),"كود غير موجود"))</f>
        <v/>
      </c>
      <c r="F203" s="28" t="str">
        <f aca="false">IF($D203="","",IFERROR(INDEX(المنتجات!$B$5:$B$24,MATCH($D203,المنتجات!$A$5:$A$24,0)),""))</f>
        <v/>
      </c>
      <c r="G203" s="24"/>
      <c r="H203" s="25" t="str">
        <f aca="false">IF($D203="","",IFERROR(INDEX(المنتجات!$F$5:$F$24,MATCH($D203,المنتجات!$A$5:$A$24,0)),0))</f>
        <v/>
      </c>
      <c r="I203" s="30"/>
      <c r="J203" s="25" t="str">
        <f aca="false">IF($D203="","",N(G203)*H203-N(I203))</f>
        <v/>
      </c>
      <c r="K203" s="25" t="str">
        <f aca="false">IF($D203="","",N(G203)*IFERROR(INDEX(المنتجات!$H$5:$H$24,MATCH($D203,المنتجات!$A$5:$A$24,0)),0))</f>
        <v/>
      </c>
      <c r="L203" s="25" t="str">
        <f aca="false">IF($D203="","",J203-K203)</f>
        <v/>
      </c>
      <c r="M203" s="29"/>
      <c r="N203" s="29"/>
    </row>
    <row r="204" customFormat="false" ht="15" hidden="false" customHeight="false" outlineLevel="0" collapsed="false">
      <c r="A204" s="32"/>
      <c r="B204" s="29"/>
      <c r="C204" s="29"/>
      <c r="D204" s="29"/>
      <c r="E204" s="28" t="str">
        <f aca="false">IF($D204="","",IFERROR(INDEX(المنتجات!$C$5:$C$24,MATCH($D204,المنتجات!$A$5:$A$24,0)),"كود غير موجود"))</f>
        <v/>
      </c>
      <c r="F204" s="28" t="str">
        <f aca="false">IF($D204="","",IFERROR(INDEX(المنتجات!$B$5:$B$24,MATCH($D204,المنتجات!$A$5:$A$24,0)),""))</f>
        <v/>
      </c>
      <c r="G204" s="24"/>
      <c r="H204" s="25" t="str">
        <f aca="false">IF($D204="","",IFERROR(INDEX(المنتجات!$F$5:$F$24,MATCH($D204,المنتجات!$A$5:$A$24,0)),0))</f>
        <v/>
      </c>
      <c r="I204" s="30"/>
      <c r="J204" s="25" t="str">
        <f aca="false">IF($D204="","",N(G204)*H204-N(I204))</f>
        <v/>
      </c>
      <c r="K204" s="25" t="str">
        <f aca="false">IF($D204="","",N(G204)*IFERROR(INDEX(المنتجات!$H$5:$H$24,MATCH($D204,المنتجات!$A$5:$A$24,0)),0))</f>
        <v/>
      </c>
      <c r="L204" s="25" t="str">
        <f aca="false">IF($D204="","",J204-K204)</f>
        <v/>
      </c>
      <c r="M204" s="29"/>
      <c r="N204" s="29"/>
    </row>
    <row r="205" customFormat="false" ht="15" hidden="false" customHeight="false" outlineLevel="0" collapsed="false">
      <c r="A205" s="32"/>
      <c r="B205" s="29"/>
      <c r="C205" s="29"/>
      <c r="D205" s="29"/>
      <c r="E205" s="28" t="str">
        <f aca="false">IF($D205="","",IFERROR(INDEX(المنتجات!$C$5:$C$24,MATCH($D205,المنتجات!$A$5:$A$24,0)),"كود غير موجود"))</f>
        <v/>
      </c>
      <c r="F205" s="28" t="str">
        <f aca="false">IF($D205="","",IFERROR(INDEX(المنتجات!$B$5:$B$24,MATCH($D205,المنتجات!$A$5:$A$24,0)),""))</f>
        <v/>
      </c>
      <c r="G205" s="24"/>
      <c r="H205" s="25" t="str">
        <f aca="false">IF($D205="","",IFERROR(INDEX(المنتجات!$F$5:$F$24,MATCH($D205,المنتجات!$A$5:$A$24,0)),0))</f>
        <v/>
      </c>
      <c r="I205" s="30"/>
      <c r="J205" s="25" t="str">
        <f aca="false">IF($D205="","",N(G205)*H205-N(I205))</f>
        <v/>
      </c>
      <c r="K205" s="25" t="str">
        <f aca="false">IF($D205="","",N(G205)*IFERROR(INDEX(المنتجات!$H$5:$H$24,MATCH($D205,المنتجات!$A$5:$A$24,0)),0))</f>
        <v/>
      </c>
      <c r="L205" s="25" t="str">
        <f aca="false">IF($D205="","",J205-K205)</f>
        <v/>
      </c>
      <c r="M205" s="29"/>
      <c r="N205" s="29"/>
    </row>
    <row r="206" customFormat="false" ht="15" hidden="false" customHeight="false" outlineLevel="0" collapsed="false">
      <c r="A206" s="32"/>
      <c r="B206" s="29"/>
      <c r="C206" s="29"/>
      <c r="D206" s="29"/>
      <c r="E206" s="28" t="str">
        <f aca="false">IF($D206="","",IFERROR(INDEX(المنتجات!$C$5:$C$24,MATCH($D206,المنتجات!$A$5:$A$24,0)),"كود غير موجود"))</f>
        <v/>
      </c>
      <c r="F206" s="28" t="str">
        <f aca="false">IF($D206="","",IFERROR(INDEX(المنتجات!$B$5:$B$24,MATCH($D206,المنتجات!$A$5:$A$24,0)),""))</f>
        <v/>
      </c>
      <c r="G206" s="24"/>
      <c r="H206" s="25" t="str">
        <f aca="false">IF($D206="","",IFERROR(INDEX(المنتجات!$F$5:$F$24,MATCH($D206,المنتجات!$A$5:$A$24,0)),0))</f>
        <v/>
      </c>
      <c r="I206" s="30"/>
      <c r="J206" s="25" t="str">
        <f aca="false">IF($D206="","",N(G206)*H206-N(I206))</f>
        <v/>
      </c>
      <c r="K206" s="25" t="str">
        <f aca="false">IF($D206="","",N(G206)*IFERROR(INDEX(المنتجات!$H$5:$H$24,MATCH($D206,المنتجات!$A$5:$A$24,0)),0))</f>
        <v/>
      </c>
      <c r="L206" s="25" t="str">
        <f aca="false">IF($D206="","",J206-K206)</f>
        <v/>
      </c>
      <c r="M206" s="29"/>
      <c r="N206" s="29"/>
    </row>
    <row r="207" customFormat="false" ht="15" hidden="false" customHeight="false" outlineLevel="0" collapsed="false">
      <c r="A207" s="32"/>
      <c r="B207" s="29"/>
      <c r="C207" s="29"/>
      <c r="D207" s="29"/>
      <c r="E207" s="28" t="str">
        <f aca="false">IF($D207="","",IFERROR(INDEX(المنتجات!$C$5:$C$24,MATCH($D207,المنتجات!$A$5:$A$24,0)),"كود غير موجود"))</f>
        <v/>
      </c>
      <c r="F207" s="28" t="str">
        <f aca="false">IF($D207="","",IFERROR(INDEX(المنتجات!$B$5:$B$24,MATCH($D207,المنتجات!$A$5:$A$24,0)),""))</f>
        <v/>
      </c>
      <c r="G207" s="24"/>
      <c r="H207" s="25" t="str">
        <f aca="false">IF($D207="","",IFERROR(INDEX(المنتجات!$F$5:$F$24,MATCH($D207,المنتجات!$A$5:$A$24,0)),0))</f>
        <v/>
      </c>
      <c r="I207" s="30"/>
      <c r="J207" s="25" t="str">
        <f aca="false">IF($D207="","",N(G207)*H207-N(I207))</f>
        <v/>
      </c>
      <c r="K207" s="25" t="str">
        <f aca="false">IF($D207="","",N(G207)*IFERROR(INDEX(المنتجات!$H$5:$H$24,MATCH($D207,المنتجات!$A$5:$A$24,0)),0))</f>
        <v/>
      </c>
      <c r="L207" s="25" t="str">
        <f aca="false">IF($D207="","",J207-K207)</f>
        <v/>
      </c>
      <c r="M207" s="29"/>
      <c r="N207" s="29"/>
    </row>
    <row r="208" customFormat="false" ht="15" hidden="false" customHeight="false" outlineLevel="0" collapsed="false">
      <c r="A208" s="32"/>
      <c r="B208" s="29"/>
      <c r="C208" s="29"/>
      <c r="D208" s="29"/>
      <c r="E208" s="28" t="str">
        <f aca="false">IF($D208="","",IFERROR(INDEX(المنتجات!$C$5:$C$24,MATCH($D208,المنتجات!$A$5:$A$24,0)),"كود غير موجود"))</f>
        <v/>
      </c>
      <c r="F208" s="28" t="str">
        <f aca="false">IF($D208="","",IFERROR(INDEX(المنتجات!$B$5:$B$24,MATCH($D208,المنتجات!$A$5:$A$24,0)),""))</f>
        <v/>
      </c>
      <c r="G208" s="24"/>
      <c r="H208" s="25" t="str">
        <f aca="false">IF($D208="","",IFERROR(INDEX(المنتجات!$F$5:$F$24,MATCH($D208,المنتجات!$A$5:$A$24,0)),0))</f>
        <v/>
      </c>
      <c r="I208" s="30"/>
      <c r="J208" s="25" t="str">
        <f aca="false">IF($D208="","",N(G208)*H208-N(I208))</f>
        <v/>
      </c>
      <c r="K208" s="25" t="str">
        <f aca="false">IF($D208="","",N(G208)*IFERROR(INDEX(المنتجات!$H$5:$H$24,MATCH($D208,المنتجات!$A$5:$A$24,0)),0))</f>
        <v/>
      </c>
      <c r="L208" s="25" t="str">
        <f aca="false">IF($D208="","",J208-K208)</f>
        <v/>
      </c>
      <c r="M208" s="29"/>
      <c r="N208" s="29"/>
    </row>
    <row r="209" customFormat="false" ht="15" hidden="false" customHeight="false" outlineLevel="0" collapsed="false">
      <c r="A209" s="32"/>
      <c r="B209" s="29"/>
      <c r="C209" s="29"/>
      <c r="D209" s="29"/>
      <c r="E209" s="28" t="str">
        <f aca="false">IF($D209="","",IFERROR(INDEX(المنتجات!$C$5:$C$24,MATCH($D209,المنتجات!$A$5:$A$24,0)),"كود غير موجود"))</f>
        <v/>
      </c>
      <c r="F209" s="28" t="str">
        <f aca="false">IF($D209="","",IFERROR(INDEX(المنتجات!$B$5:$B$24,MATCH($D209,المنتجات!$A$5:$A$24,0)),""))</f>
        <v/>
      </c>
      <c r="G209" s="24"/>
      <c r="H209" s="25" t="str">
        <f aca="false">IF($D209="","",IFERROR(INDEX(المنتجات!$F$5:$F$24,MATCH($D209,المنتجات!$A$5:$A$24,0)),0))</f>
        <v/>
      </c>
      <c r="I209" s="30"/>
      <c r="J209" s="25" t="str">
        <f aca="false">IF($D209="","",N(G209)*H209-N(I209))</f>
        <v/>
      </c>
      <c r="K209" s="25" t="str">
        <f aca="false">IF($D209="","",N(G209)*IFERROR(INDEX(المنتجات!$H$5:$H$24,MATCH($D209,المنتجات!$A$5:$A$24,0)),0))</f>
        <v/>
      </c>
      <c r="L209" s="25" t="str">
        <f aca="false">IF($D209="","",J209-K209)</f>
        <v/>
      </c>
      <c r="M209" s="29"/>
      <c r="N209" s="29"/>
    </row>
    <row r="210" customFormat="false" ht="15" hidden="false" customHeight="false" outlineLevel="0" collapsed="false">
      <c r="A210" s="32"/>
      <c r="B210" s="29"/>
      <c r="C210" s="29"/>
      <c r="D210" s="29"/>
      <c r="E210" s="28" t="str">
        <f aca="false">IF($D210="","",IFERROR(INDEX(المنتجات!$C$5:$C$24,MATCH($D210,المنتجات!$A$5:$A$24,0)),"كود غير موجود"))</f>
        <v/>
      </c>
      <c r="F210" s="28" t="str">
        <f aca="false">IF($D210="","",IFERROR(INDEX(المنتجات!$B$5:$B$24,MATCH($D210,المنتجات!$A$5:$A$24,0)),""))</f>
        <v/>
      </c>
      <c r="G210" s="24"/>
      <c r="H210" s="25" t="str">
        <f aca="false">IF($D210="","",IFERROR(INDEX(المنتجات!$F$5:$F$24,MATCH($D210,المنتجات!$A$5:$A$24,0)),0))</f>
        <v/>
      </c>
      <c r="I210" s="30"/>
      <c r="J210" s="25" t="str">
        <f aca="false">IF($D210="","",N(G210)*H210-N(I210))</f>
        <v/>
      </c>
      <c r="K210" s="25" t="str">
        <f aca="false">IF($D210="","",N(G210)*IFERROR(INDEX(المنتجات!$H$5:$H$24,MATCH($D210,المنتجات!$A$5:$A$24,0)),0))</f>
        <v/>
      </c>
      <c r="L210" s="25" t="str">
        <f aca="false">IF($D210="","",J210-K210)</f>
        <v/>
      </c>
      <c r="M210" s="29"/>
      <c r="N210" s="29"/>
    </row>
    <row r="211" customFormat="false" ht="15" hidden="false" customHeight="false" outlineLevel="0" collapsed="false">
      <c r="A211" s="32"/>
      <c r="B211" s="29"/>
      <c r="C211" s="29"/>
      <c r="D211" s="29"/>
      <c r="E211" s="28" t="str">
        <f aca="false">IF($D211="","",IFERROR(INDEX(المنتجات!$C$5:$C$24,MATCH($D211,المنتجات!$A$5:$A$24,0)),"كود غير موجود"))</f>
        <v/>
      </c>
      <c r="F211" s="28" t="str">
        <f aca="false">IF($D211="","",IFERROR(INDEX(المنتجات!$B$5:$B$24,MATCH($D211,المنتجات!$A$5:$A$24,0)),""))</f>
        <v/>
      </c>
      <c r="G211" s="24"/>
      <c r="H211" s="25" t="str">
        <f aca="false">IF($D211="","",IFERROR(INDEX(المنتجات!$F$5:$F$24,MATCH($D211,المنتجات!$A$5:$A$24,0)),0))</f>
        <v/>
      </c>
      <c r="I211" s="30"/>
      <c r="J211" s="25" t="str">
        <f aca="false">IF($D211="","",N(G211)*H211-N(I211))</f>
        <v/>
      </c>
      <c r="K211" s="25" t="str">
        <f aca="false">IF($D211="","",N(G211)*IFERROR(INDEX(المنتجات!$H$5:$H$24,MATCH($D211,المنتجات!$A$5:$A$24,0)),0))</f>
        <v/>
      </c>
      <c r="L211" s="25" t="str">
        <f aca="false">IF($D211="","",J211-K211)</f>
        <v/>
      </c>
      <c r="M211" s="29"/>
      <c r="N211" s="29"/>
    </row>
    <row r="212" customFormat="false" ht="15" hidden="false" customHeight="false" outlineLevel="0" collapsed="false">
      <c r="A212" s="32"/>
      <c r="B212" s="29"/>
      <c r="C212" s="29"/>
      <c r="D212" s="29"/>
      <c r="E212" s="28" t="str">
        <f aca="false">IF($D212="","",IFERROR(INDEX(المنتجات!$C$5:$C$24,MATCH($D212,المنتجات!$A$5:$A$24,0)),"كود غير موجود"))</f>
        <v/>
      </c>
      <c r="F212" s="28" t="str">
        <f aca="false">IF($D212="","",IFERROR(INDEX(المنتجات!$B$5:$B$24,MATCH($D212,المنتجات!$A$5:$A$24,0)),""))</f>
        <v/>
      </c>
      <c r="G212" s="24"/>
      <c r="H212" s="25" t="str">
        <f aca="false">IF($D212="","",IFERROR(INDEX(المنتجات!$F$5:$F$24,MATCH($D212,المنتجات!$A$5:$A$24,0)),0))</f>
        <v/>
      </c>
      <c r="I212" s="30"/>
      <c r="J212" s="25" t="str">
        <f aca="false">IF($D212="","",N(G212)*H212-N(I212))</f>
        <v/>
      </c>
      <c r="K212" s="25" t="str">
        <f aca="false">IF($D212="","",N(G212)*IFERROR(INDEX(المنتجات!$H$5:$H$24,MATCH($D212,المنتجات!$A$5:$A$24,0)),0))</f>
        <v/>
      </c>
      <c r="L212" s="25" t="str">
        <f aca="false">IF($D212="","",J212-K212)</f>
        <v/>
      </c>
      <c r="M212" s="29"/>
      <c r="N212" s="29"/>
    </row>
    <row r="213" customFormat="false" ht="15" hidden="false" customHeight="false" outlineLevel="0" collapsed="false">
      <c r="A213" s="32"/>
      <c r="B213" s="29"/>
      <c r="C213" s="29"/>
      <c r="D213" s="29"/>
      <c r="E213" s="28" t="str">
        <f aca="false">IF($D213="","",IFERROR(INDEX(المنتجات!$C$5:$C$24,MATCH($D213,المنتجات!$A$5:$A$24,0)),"كود غير موجود"))</f>
        <v/>
      </c>
      <c r="F213" s="28" t="str">
        <f aca="false">IF($D213="","",IFERROR(INDEX(المنتجات!$B$5:$B$24,MATCH($D213,المنتجات!$A$5:$A$24,0)),""))</f>
        <v/>
      </c>
      <c r="G213" s="24"/>
      <c r="H213" s="25" t="str">
        <f aca="false">IF($D213="","",IFERROR(INDEX(المنتجات!$F$5:$F$24,MATCH($D213,المنتجات!$A$5:$A$24,0)),0))</f>
        <v/>
      </c>
      <c r="I213" s="30"/>
      <c r="J213" s="25" t="str">
        <f aca="false">IF($D213="","",N(G213)*H213-N(I213))</f>
        <v/>
      </c>
      <c r="K213" s="25" t="str">
        <f aca="false">IF($D213="","",N(G213)*IFERROR(INDEX(المنتجات!$H$5:$H$24,MATCH($D213,المنتجات!$A$5:$A$24,0)),0))</f>
        <v/>
      </c>
      <c r="L213" s="25" t="str">
        <f aca="false">IF($D213="","",J213-K213)</f>
        <v/>
      </c>
      <c r="M213" s="29"/>
      <c r="N213" s="29"/>
    </row>
    <row r="214" customFormat="false" ht="15" hidden="false" customHeight="false" outlineLevel="0" collapsed="false">
      <c r="A214" s="32"/>
      <c r="B214" s="29"/>
      <c r="C214" s="29"/>
      <c r="D214" s="29"/>
      <c r="E214" s="28" t="str">
        <f aca="false">IF($D214="","",IFERROR(INDEX(المنتجات!$C$5:$C$24,MATCH($D214,المنتجات!$A$5:$A$24,0)),"كود غير موجود"))</f>
        <v/>
      </c>
      <c r="F214" s="28" t="str">
        <f aca="false">IF($D214="","",IFERROR(INDEX(المنتجات!$B$5:$B$24,MATCH($D214,المنتجات!$A$5:$A$24,0)),""))</f>
        <v/>
      </c>
      <c r="G214" s="24"/>
      <c r="H214" s="25" t="str">
        <f aca="false">IF($D214="","",IFERROR(INDEX(المنتجات!$F$5:$F$24,MATCH($D214,المنتجات!$A$5:$A$24,0)),0))</f>
        <v/>
      </c>
      <c r="I214" s="30"/>
      <c r="J214" s="25" t="str">
        <f aca="false">IF($D214="","",N(G214)*H214-N(I214))</f>
        <v/>
      </c>
      <c r="K214" s="25" t="str">
        <f aca="false">IF($D214="","",N(G214)*IFERROR(INDEX(المنتجات!$H$5:$H$24,MATCH($D214,المنتجات!$A$5:$A$24,0)),0))</f>
        <v/>
      </c>
      <c r="L214" s="25" t="str">
        <f aca="false">IF($D214="","",J214-K214)</f>
        <v/>
      </c>
      <c r="M214" s="29"/>
      <c r="N214" s="29"/>
    </row>
    <row r="215" customFormat="false" ht="15" hidden="false" customHeight="false" outlineLevel="0" collapsed="false">
      <c r="A215" s="32"/>
      <c r="B215" s="29"/>
      <c r="C215" s="29"/>
      <c r="D215" s="29"/>
      <c r="E215" s="28" t="str">
        <f aca="false">IF($D215="","",IFERROR(INDEX(المنتجات!$C$5:$C$24,MATCH($D215,المنتجات!$A$5:$A$24,0)),"كود غير موجود"))</f>
        <v/>
      </c>
      <c r="F215" s="28" t="str">
        <f aca="false">IF($D215="","",IFERROR(INDEX(المنتجات!$B$5:$B$24,MATCH($D215,المنتجات!$A$5:$A$24,0)),""))</f>
        <v/>
      </c>
      <c r="G215" s="24"/>
      <c r="H215" s="25" t="str">
        <f aca="false">IF($D215="","",IFERROR(INDEX(المنتجات!$F$5:$F$24,MATCH($D215,المنتجات!$A$5:$A$24,0)),0))</f>
        <v/>
      </c>
      <c r="I215" s="30"/>
      <c r="J215" s="25" t="str">
        <f aca="false">IF($D215="","",N(G215)*H215-N(I215))</f>
        <v/>
      </c>
      <c r="K215" s="25" t="str">
        <f aca="false">IF($D215="","",N(G215)*IFERROR(INDEX(المنتجات!$H$5:$H$24,MATCH($D215,المنتجات!$A$5:$A$24,0)),0))</f>
        <v/>
      </c>
      <c r="L215" s="25" t="str">
        <f aca="false">IF($D215="","",J215-K215)</f>
        <v/>
      </c>
      <c r="M215" s="29"/>
      <c r="N215" s="29"/>
    </row>
    <row r="216" customFormat="false" ht="15" hidden="false" customHeight="false" outlineLevel="0" collapsed="false">
      <c r="A216" s="32"/>
      <c r="B216" s="29"/>
      <c r="C216" s="29"/>
      <c r="D216" s="29"/>
      <c r="E216" s="28" t="str">
        <f aca="false">IF($D216="","",IFERROR(INDEX(المنتجات!$C$5:$C$24,MATCH($D216,المنتجات!$A$5:$A$24,0)),"كود غير موجود"))</f>
        <v/>
      </c>
      <c r="F216" s="28" t="str">
        <f aca="false">IF($D216="","",IFERROR(INDEX(المنتجات!$B$5:$B$24,MATCH($D216,المنتجات!$A$5:$A$24,0)),""))</f>
        <v/>
      </c>
      <c r="G216" s="24"/>
      <c r="H216" s="25" t="str">
        <f aca="false">IF($D216="","",IFERROR(INDEX(المنتجات!$F$5:$F$24,MATCH($D216,المنتجات!$A$5:$A$24,0)),0))</f>
        <v/>
      </c>
      <c r="I216" s="30"/>
      <c r="J216" s="25" t="str">
        <f aca="false">IF($D216="","",N(G216)*H216-N(I216))</f>
        <v/>
      </c>
      <c r="K216" s="25" t="str">
        <f aca="false">IF($D216="","",N(G216)*IFERROR(INDEX(المنتجات!$H$5:$H$24,MATCH($D216,المنتجات!$A$5:$A$24,0)),0))</f>
        <v/>
      </c>
      <c r="L216" s="25" t="str">
        <f aca="false">IF($D216="","",J216-K216)</f>
        <v/>
      </c>
      <c r="M216" s="29"/>
      <c r="N216" s="29"/>
    </row>
    <row r="217" customFormat="false" ht="15" hidden="false" customHeight="false" outlineLevel="0" collapsed="false">
      <c r="A217" s="32"/>
      <c r="B217" s="29"/>
      <c r="C217" s="29"/>
      <c r="D217" s="29"/>
      <c r="E217" s="28" t="str">
        <f aca="false">IF($D217="","",IFERROR(INDEX(المنتجات!$C$5:$C$24,MATCH($D217,المنتجات!$A$5:$A$24,0)),"كود غير موجود"))</f>
        <v/>
      </c>
      <c r="F217" s="28" t="str">
        <f aca="false">IF($D217="","",IFERROR(INDEX(المنتجات!$B$5:$B$24,MATCH($D217,المنتجات!$A$5:$A$24,0)),""))</f>
        <v/>
      </c>
      <c r="G217" s="24"/>
      <c r="H217" s="25" t="str">
        <f aca="false">IF($D217="","",IFERROR(INDEX(المنتجات!$F$5:$F$24,MATCH($D217,المنتجات!$A$5:$A$24,0)),0))</f>
        <v/>
      </c>
      <c r="I217" s="30"/>
      <c r="J217" s="25" t="str">
        <f aca="false">IF($D217="","",N(G217)*H217-N(I217))</f>
        <v/>
      </c>
      <c r="K217" s="25" t="str">
        <f aca="false">IF($D217="","",N(G217)*IFERROR(INDEX(المنتجات!$H$5:$H$24,MATCH($D217,المنتجات!$A$5:$A$24,0)),0))</f>
        <v/>
      </c>
      <c r="L217" s="25" t="str">
        <f aca="false">IF($D217="","",J217-K217)</f>
        <v/>
      </c>
      <c r="M217" s="29"/>
      <c r="N217" s="29"/>
    </row>
    <row r="218" customFormat="false" ht="15" hidden="false" customHeight="false" outlineLevel="0" collapsed="false">
      <c r="A218" s="32"/>
      <c r="B218" s="29"/>
      <c r="C218" s="29"/>
      <c r="D218" s="29"/>
      <c r="E218" s="28" t="str">
        <f aca="false">IF($D218="","",IFERROR(INDEX(المنتجات!$C$5:$C$24,MATCH($D218,المنتجات!$A$5:$A$24,0)),"كود غير موجود"))</f>
        <v/>
      </c>
      <c r="F218" s="28" t="str">
        <f aca="false">IF($D218="","",IFERROR(INDEX(المنتجات!$B$5:$B$24,MATCH($D218,المنتجات!$A$5:$A$24,0)),""))</f>
        <v/>
      </c>
      <c r="G218" s="24"/>
      <c r="H218" s="25" t="str">
        <f aca="false">IF($D218="","",IFERROR(INDEX(المنتجات!$F$5:$F$24,MATCH($D218,المنتجات!$A$5:$A$24,0)),0))</f>
        <v/>
      </c>
      <c r="I218" s="30"/>
      <c r="J218" s="25" t="str">
        <f aca="false">IF($D218="","",N(G218)*H218-N(I218))</f>
        <v/>
      </c>
      <c r="K218" s="25" t="str">
        <f aca="false">IF($D218="","",N(G218)*IFERROR(INDEX(المنتجات!$H$5:$H$24,MATCH($D218,المنتجات!$A$5:$A$24,0)),0))</f>
        <v/>
      </c>
      <c r="L218" s="25" t="str">
        <f aca="false">IF($D218="","",J218-K218)</f>
        <v/>
      </c>
      <c r="M218" s="29"/>
      <c r="N218" s="29"/>
    </row>
    <row r="219" customFormat="false" ht="15" hidden="false" customHeight="false" outlineLevel="0" collapsed="false">
      <c r="A219" s="32"/>
      <c r="B219" s="29"/>
      <c r="C219" s="29"/>
      <c r="D219" s="29"/>
      <c r="E219" s="28" t="str">
        <f aca="false">IF($D219="","",IFERROR(INDEX(المنتجات!$C$5:$C$24,MATCH($D219,المنتجات!$A$5:$A$24,0)),"كود غير موجود"))</f>
        <v/>
      </c>
      <c r="F219" s="28" t="str">
        <f aca="false">IF($D219="","",IFERROR(INDEX(المنتجات!$B$5:$B$24,MATCH($D219,المنتجات!$A$5:$A$24,0)),""))</f>
        <v/>
      </c>
      <c r="G219" s="24"/>
      <c r="H219" s="25" t="str">
        <f aca="false">IF($D219="","",IFERROR(INDEX(المنتجات!$F$5:$F$24,MATCH($D219,المنتجات!$A$5:$A$24,0)),0))</f>
        <v/>
      </c>
      <c r="I219" s="30"/>
      <c r="J219" s="25" t="str">
        <f aca="false">IF($D219="","",N(G219)*H219-N(I219))</f>
        <v/>
      </c>
      <c r="K219" s="25" t="str">
        <f aca="false">IF($D219="","",N(G219)*IFERROR(INDEX(المنتجات!$H$5:$H$24,MATCH($D219,المنتجات!$A$5:$A$24,0)),0))</f>
        <v/>
      </c>
      <c r="L219" s="25" t="str">
        <f aca="false">IF($D219="","",J219-K219)</f>
        <v/>
      </c>
      <c r="M219" s="29"/>
      <c r="N219" s="29"/>
    </row>
    <row r="220" customFormat="false" ht="15" hidden="false" customHeight="false" outlineLevel="0" collapsed="false">
      <c r="A220" s="32"/>
      <c r="B220" s="29"/>
      <c r="C220" s="29"/>
      <c r="D220" s="29"/>
      <c r="E220" s="28" t="str">
        <f aca="false">IF($D220="","",IFERROR(INDEX(المنتجات!$C$5:$C$24,MATCH($D220,المنتجات!$A$5:$A$24,0)),"كود غير موجود"))</f>
        <v/>
      </c>
      <c r="F220" s="28" t="str">
        <f aca="false">IF($D220="","",IFERROR(INDEX(المنتجات!$B$5:$B$24,MATCH($D220,المنتجات!$A$5:$A$24,0)),""))</f>
        <v/>
      </c>
      <c r="G220" s="24"/>
      <c r="H220" s="25" t="str">
        <f aca="false">IF($D220="","",IFERROR(INDEX(المنتجات!$F$5:$F$24,MATCH($D220,المنتجات!$A$5:$A$24,0)),0))</f>
        <v/>
      </c>
      <c r="I220" s="30"/>
      <c r="J220" s="25" t="str">
        <f aca="false">IF($D220="","",N(G220)*H220-N(I220))</f>
        <v/>
      </c>
      <c r="K220" s="25" t="str">
        <f aca="false">IF($D220="","",N(G220)*IFERROR(INDEX(المنتجات!$H$5:$H$24,MATCH($D220,المنتجات!$A$5:$A$24,0)),0))</f>
        <v/>
      </c>
      <c r="L220" s="25" t="str">
        <f aca="false">IF($D220="","",J220-K220)</f>
        <v/>
      </c>
      <c r="M220" s="29"/>
      <c r="N220" s="29"/>
    </row>
    <row r="221" customFormat="false" ht="15" hidden="false" customHeight="false" outlineLevel="0" collapsed="false">
      <c r="A221" s="32"/>
      <c r="B221" s="29"/>
      <c r="C221" s="29"/>
      <c r="D221" s="29"/>
      <c r="E221" s="28" t="str">
        <f aca="false">IF($D221="","",IFERROR(INDEX(المنتجات!$C$5:$C$24,MATCH($D221,المنتجات!$A$5:$A$24,0)),"كود غير موجود"))</f>
        <v/>
      </c>
      <c r="F221" s="28" t="str">
        <f aca="false">IF($D221="","",IFERROR(INDEX(المنتجات!$B$5:$B$24,MATCH($D221,المنتجات!$A$5:$A$24,0)),""))</f>
        <v/>
      </c>
      <c r="G221" s="24"/>
      <c r="H221" s="25" t="str">
        <f aca="false">IF($D221="","",IFERROR(INDEX(المنتجات!$F$5:$F$24,MATCH($D221,المنتجات!$A$5:$A$24,0)),0))</f>
        <v/>
      </c>
      <c r="I221" s="30"/>
      <c r="J221" s="25" t="str">
        <f aca="false">IF($D221="","",N(G221)*H221-N(I221))</f>
        <v/>
      </c>
      <c r="K221" s="25" t="str">
        <f aca="false">IF($D221="","",N(G221)*IFERROR(INDEX(المنتجات!$H$5:$H$24,MATCH($D221,المنتجات!$A$5:$A$24,0)),0))</f>
        <v/>
      </c>
      <c r="L221" s="25" t="str">
        <f aca="false">IF($D221="","",J221-K221)</f>
        <v/>
      </c>
      <c r="M221" s="29"/>
      <c r="N221" s="29"/>
    </row>
    <row r="222" customFormat="false" ht="15" hidden="false" customHeight="false" outlineLevel="0" collapsed="false">
      <c r="A222" s="32"/>
      <c r="B222" s="29"/>
      <c r="C222" s="29"/>
      <c r="D222" s="29"/>
      <c r="E222" s="28" t="str">
        <f aca="false">IF($D222="","",IFERROR(INDEX(المنتجات!$C$5:$C$24,MATCH($D222,المنتجات!$A$5:$A$24,0)),"كود غير موجود"))</f>
        <v/>
      </c>
      <c r="F222" s="28" t="str">
        <f aca="false">IF($D222="","",IFERROR(INDEX(المنتجات!$B$5:$B$24,MATCH($D222,المنتجات!$A$5:$A$24,0)),""))</f>
        <v/>
      </c>
      <c r="G222" s="24"/>
      <c r="H222" s="25" t="str">
        <f aca="false">IF($D222="","",IFERROR(INDEX(المنتجات!$F$5:$F$24,MATCH($D222,المنتجات!$A$5:$A$24,0)),0))</f>
        <v/>
      </c>
      <c r="I222" s="30"/>
      <c r="J222" s="25" t="str">
        <f aca="false">IF($D222="","",N(G222)*H222-N(I222))</f>
        <v/>
      </c>
      <c r="K222" s="25" t="str">
        <f aca="false">IF($D222="","",N(G222)*IFERROR(INDEX(المنتجات!$H$5:$H$24,MATCH($D222,المنتجات!$A$5:$A$24,0)),0))</f>
        <v/>
      </c>
      <c r="L222" s="25" t="str">
        <f aca="false">IF($D222="","",J222-K222)</f>
        <v/>
      </c>
      <c r="M222" s="29"/>
      <c r="N222" s="29"/>
    </row>
    <row r="223" customFormat="false" ht="15" hidden="false" customHeight="false" outlineLevel="0" collapsed="false">
      <c r="A223" s="32"/>
      <c r="B223" s="29"/>
      <c r="C223" s="29"/>
      <c r="D223" s="29"/>
      <c r="E223" s="28" t="str">
        <f aca="false">IF($D223="","",IFERROR(INDEX(المنتجات!$C$5:$C$24,MATCH($D223,المنتجات!$A$5:$A$24,0)),"كود غير موجود"))</f>
        <v/>
      </c>
      <c r="F223" s="28" t="str">
        <f aca="false">IF($D223="","",IFERROR(INDEX(المنتجات!$B$5:$B$24,MATCH($D223,المنتجات!$A$5:$A$24,0)),""))</f>
        <v/>
      </c>
      <c r="G223" s="24"/>
      <c r="H223" s="25" t="str">
        <f aca="false">IF($D223="","",IFERROR(INDEX(المنتجات!$F$5:$F$24,MATCH($D223,المنتجات!$A$5:$A$24,0)),0))</f>
        <v/>
      </c>
      <c r="I223" s="30"/>
      <c r="J223" s="25" t="str">
        <f aca="false">IF($D223="","",N(G223)*H223-N(I223))</f>
        <v/>
      </c>
      <c r="K223" s="25" t="str">
        <f aca="false">IF($D223="","",N(G223)*IFERROR(INDEX(المنتجات!$H$5:$H$24,MATCH($D223,المنتجات!$A$5:$A$24,0)),0))</f>
        <v/>
      </c>
      <c r="L223" s="25" t="str">
        <f aca="false">IF($D223="","",J223-K223)</f>
        <v/>
      </c>
      <c r="M223" s="29"/>
      <c r="N223" s="29"/>
    </row>
    <row r="224" customFormat="false" ht="15" hidden="false" customHeight="false" outlineLevel="0" collapsed="false">
      <c r="A224" s="32"/>
      <c r="B224" s="29"/>
      <c r="C224" s="29"/>
      <c r="D224" s="29"/>
      <c r="E224" s="28" t="str">
        <f aca="false">IF($D224="","",IFERROR(INDEX(المنتجات!$C$5:$C$24,MATCH($D224,المنتجات!$A$5:$A$24,0)),"كود غير موجود"))</f>
        <v/>
      </c>
      <c r="F224" s="28" t="str">
        <f aca="false">IF($D224="","",IFERROR(INDEX(المنتجات!$B$5:$B$24,MATCH($D224,المنتجات!$A$5:$A$24,0)),""))</f>
        <v/>
      </c>
      <c r="G224" s="24"/>
      <c r="H224" s="25" t="str">
        <f aca="false">IF($D224="","",IFERROR(INDEX(المنتجات!$F$5:$F$24,MATCH($D224,المنتجات!$A$5:$A$24,0)),0))</f>
        <v/>
      </c>
      <c r="I224" s="30"/>
      <c r="J224" s="25" t="str">
        <f aca="false">IF($D224="","",N(G224)*H224-N(I224))</f>
        <v/>
      </c>
      <c r="K224" s="25" t="str">
        <f aca="false">IF($D224="","",N(G224)*IFERROR(INDEX(المنتجات!$H$5:$H$24,MATCH($D224,المنتجات!$A$5:$A$24,0)),0))</f>
        <v/>
      </c>
      <c r="L224" s="25" t="str">
        <f aca="false">IF($D224="","",J224-K224)</f>
        <v/>
      </c>
      <c r="M224" s="29"/>
      <c r="N224" s="29"/>
    </row>
    <row r="225" customFormat="false" ht="15" hidden="false" customHeight="false" outlineLevel="0" collapsed="false">
      <c r="A225" s="32"/>
      <c r="B225" s="29"/>
      <c r="C225" s="29"/>
      <c r="D225" s="29"/>
      <c r="E225" s="28" t="str">
        <f aca="false">IF($D225="","",IFERROR(INDEX(المنتجات!$C$5:$C$24,MATCH($D225,المنتجات!$A$5:$A$24,0)),"كود غير موجود"))</f>
        <v/>
      </c>
      <c r="F225" s="28" t="str">
        <f aca="false">IF($D225="","",IFERROR(INDEX(المنتجات!$B$5:$B$24,MATCH($D225,المنتجات!$A$5:$A$24,0)),""))</f>
        <v/>
      </c>
      <c r="G225" s="24"/>
      <c r="H225" s="25" t="str">
        <f aca="false">IF($D225="","",IFERROR(INDEX(المنتجات!$F$5:$F$24,MATCH($D225,المنتجات!$A$5:$A$24,0)),0))</f>
        <v/>
      </c>
      <c r="I225" s="30"/>
      <c r="J225" s="25" t="str">
        <f aca="false">IF($D225="","",N(G225)*H225-N(I225))</f>
        <v/>
      </c>
      <c r="K225" s="25" t="str">
        <f aca="false">IF($D225="","",N(G225)*IFERROR(INDEX(المنتجات!$H$5:$H$24,MATCH($D225,المنتجات!$A$5:$A$24,0)),0))</f>
        <v/>
      </c>
      <c r="L225" s="25" t="str">
        <f aca="false">IF($D225="","",J225-K225)</f>
        <v/>
      </c>
      <c r="M225" s="29"/>
      <c r="N225" s="29"/>
    </row>
    <row r="226" customFormat="false" ht="15" hidden="false" customHeight="false" outlineLevel="0" collapsed="false">
      <c r="A226" s="32"/>
      <c r="B226" s="29"/>
      <c r="C226" s="29"/>
      <c r="D226" s="29"/>
      <c r="E226" s="28" t="str">
        <f aca="false">IF($D226="","",IFERROR(INDEX(المنتجات!$C$5:$C$24,MATCH($D226,المنتجات!$A$5:$A$24,0)),"كود غير موجود"))</f>
        <v/>
      </c>
      <c r="F226" s="28" t="str">
        <f aca="false">IF($D226="","",IFERROR(INDEX(المنتجات!$B$5:$B$24,MATCH($D226,المنتجات!$A$5:$A$24,0)),""))</f>
        <v/>
      </c>
      <c r="G226" s="24"/>
      <c r="H226" s="25" t="str">
        <f aca="false">IF($D226="","",IFERROR(INDEX(المنتجات!$F$5:$F$24,MATCH($D226,المنتجات!$A$5:$A$24,0)),0))</f>
        <v/>
      </c>
      <c r="I226" s="30"/>
      <c r="J226" s="25" t="str">
        <f aca="false">IF($D226="","",N(G226)*H226-N(I226))</f>
        <v/>
      </c>
      <c r="K226" s="25" t="str">
        <f aca="false">IF($D226="","",N(G226)*IFERROR(INDEX(المنتجات!$H$5:$H$24,MATCH($D226,المنتجات!$A$5:$A$24,0)),0))</f>
        <v/>
      </c>
      <c r="L226" s="25" t="str">
        <f aca="false">IF($D226="","",J226-K226)</f>
        <v/>
      </c>
      <c r="M226" s="29"/>
      <c r="N226" s="29"/>
    </row>
    <row r="227" customFormat="false" ht="15" hidden="false" customHeight="false" outlineLevel="0" collapsed="false">
      <c r="A227" s="32"/>
      <c r="B227" s="29"/>
      <c r="C227" s="29"/>
      <c r="D227" s="29"/>
      <c r="E227" s="28" t="str">
        <f aca="false">IF($D227="","",IFERROR(INDEX(المنتجات!$C$5:$C$24,MATCH($D227,المنتجات!$A$5:$A$24,0)),"كود غير موجود"))</f>
        <v/>
      </c>
      <c r="F227" s="28" t="str">
        <f aca="false">IF($D227="","",IFERROR(INDEX(المنتجات!$B$5:$B$24,MATCH($D227,المنتجات!$A$5:$A$24,0)),""))</f>
        <v/>
      </c>
      <c r="G227" s="24"/>
      <c r="H227" s="25" t="str">
        <f aca="false">IF($D227="","",IFERROR(INDEX(المنتجات!$F$5:$F$24,MATCH($D227,المنتجات!$A$5:$A$24,0)),0))</f>
        <v/>
      </c>
      <c r="I227" s="30"/>
      <c r="J227" s="25" t="str">
        <f aca="false">IF($D227="","",N(G227)*H227-N(I227))</f>
        <v/>
      </c>
      <c r="K227" s="25" t="str">
        <f aca="false">IF($D227="","",N(G227)*IFERROR(INDEX(المنتجات!$H$5:$H$24,MATCH($D227,المنتجات!$A$5:$A$24,0)),0))</f>
        <v/>
      </c>
      <c r="L227" s="25" t="str">
        <f aca="false">IF($D227="","",J227-K227)</f>
        <v/>
      </c>
      <c r="M227" s="29"/>
      <c r="N227" s="29"/>
    </row>
    <row r="228" customFormat="false" ht="15" hidden="false" customHeight="false" outlineLevel="0" collapsed="false">
      <c r="A228" s="32"/>
      <c r="B228" s="29"/>
      <c r="C228" s="29"/>
      <c r="D228" s="29"/>
      <c r="E228" s="28" t="str">
        <f aca="false">IF($D228="","",IFERROR(INDEX(المنتجات!$C$5:$C$24,MATCH($D228,المنتجات!$A$5:$A$24,0)),"كود غير موجود"))</f>
        <v/>
      </c>
      <c r="F228" s="28" t="str">
        <f aca="false">IF($D228="","",IFERROR(INDEX(المنتجات!$B$5:$B$24,MATCH($D228,المنتجات!$A$5:$A$24,0)),""))</f>
        <v/>
      </c>
      <c r="G228" s="24"/>
      <c r="H228" s="25" t="str">
        <f aca="false">IF($D228="","",IFERROR(INDEX(المنتجات!$F$5:$F$24,MATCH($D228,المنتجات!$A$5:$A$24,0)),0))</f>
        <v/>
      </c>
      <c r="I228" s="30"/>
      <c r="J228" s="25" t="str">
        <f aca="false">IF($D228="","",N(G228)*H228-N(I228))</f>
        <v/>
      </c>
      <c r="K228" s="25" t="str">
        <f aca="false">IF($D228="","",N(G228)*IFERROR(INDEX(المنتجات!$H$5:$H$24,MATCH($D228,المنتجات!$A$5:$A$24,0)),0))</f>
        <v/>
      </c>
      <c r="L228" s="25" t="str">
        <f aca="false">IF($D228="","",J228-K228)</f>
        <v/>
      </c>
      <c r="M228" s="29"/>
      <c r="N228" s="29"/>
    </row>
    <row r="229" customFormat="false" ht="15" hidden="false" customHeight="false" outlineLevel="0" collapsed="false">
      <c r="A229" s="32"/>
      <c r="B229" s="29"/>
      <c r="C229" s="29"/>
      <c r="D229" s="29"/>
      <c r="E229" s="28" t="str">
        <f aca="false">IF($D229="","",IFERROR(INDEX(المنتجات!$C$5:$C$24,MATCH($D229,المنتجات!$A$5:$A$24,0)),"كود غير موجود"))</f>
        <v/>
      </c>
      <c r="F229" s="28" t="str">
        <f aca="false">IF($D229="","",IFERROR(INDEX(المنتجات!$B$5:$B$24,MATCH($D229,المنتجات!$A$5:$A$24,0)),""))</f>
        <v/>
      </c>
      <c r="G229" s="24"/>
      <c r="H229" s="25" t="str">
        <f aca="false">IF($D229="","",IFERROR(INDEX(المنتجات!$F$5:$F$24,MATCH($D229,المنتجات!$A$5:$A$24,0)),0))</f>
        <v/>
      </c>
      <c r="I229" s="30"/>
      <c r="J229" s="25" t="str">
        <f aca="false">IF($D229="","",N(G229)*H229-N(I229))</f>
        <v/>
      </c>
      <c r="K229" s="25" t="str">
        <f aca="false">IF($D229="","",N(G229)*IFERROR(INDEX(المنتجات!$H$5:$H$24,MATCH($D229,المنتجات!$A$5:$A$24,0)),0))</f>
        <v/>
      </c>
      <c r="L229" s="25" t="str">
        <f aca="false">IF($D229="","",J229-K229)</f>
        <v/>
      </c>
      <c r="M229" s="29"/>
      <c r="N229" s="29"/>
    </row>
    <row r="230" customFormat="false" ht="15" hidden="false" customHeight="false" outlineLevel="0" collapsed="false">
      <c r="A230" s="32"/>
      <c r="B230" s="29"/>
      <c r="C230" s="29"/>
      <c r="D230" s="29"/>
      <c r="E230" s="28" t="str">
        <f aca="false">IF($D230="","",IFERROR(INDEX(المنتجات!$C$5:$C$24,MATCH($D230,المنتجات!$A$5:$A$24,0)),"كود غير موجود"))</f>
        <v/>
      </c>
      <c r="F230" s="28" t="str">
        <f aca="false">IF($D230="","",IFERROR(INDEX(المنتجات!$B$5:$B$24,MATCH($D230,المنتجات!$A$5:$A$24,0)),""))</f>
        <v/>
      </c>
      <c r="G230" s="24"/>
      <c r="H230" s="25" t="str">
        <f aca="false">IF($D230="","",IFERROR(INDEX(المنتجات!$F$5:$F$24,MATCH($D230,المنتجات!$A$5:$A$24,0)),0))</f>
        <v/>
      </c>
      <c r="I230" s="30"/>
      <c r="J230" s="25" t="str">
        <f aca="false">IF($D230="","",N(G230)*H230-N(I230))</f>
        <v/>
      </c>
      <c r="K230" s="25" t="str">
        <f aca="false">IF($D230="","",N(G230)*IFERROR(INDEX(المنتجات!$H$5:$H$24,MATCH($D230,المنتجات!$A$5:$A$24,0)),0))</f>
        <v/>
      </c>
      <c r="L230" s="25" t="str">
        <f aca="false">IF($D230="","",J230-K230)</f>
        <v/>
      </c>
      <c r="M230" s="29"/>
      <c r="N230" s="29"/>
    </row>
    <row r="231" customFormat="false" ht="15" hidden="false" customHeight="false" outlineLevel="0" collapsed="false">
      <c r="A231" s="32"/>
      <c r="B231" s="29"/>
      <c r="C231" s="29"/>
      <c r="D231" s="29"/>
      <c r="E231" s="28" t="str">
        <f aca="false">IF($D231="","",IFERROR(INDEX(المنتجات!$C$5:$C$24,MATCH($D231,المنتجات!$A$5:$A$24,0)),"كود غير موجود"))</f>
        <v/>
      </c>
      <c r="F231" s="28" t="str">
        <f aca="false">IF($D231="","",IFERROR(INDEX(المنتجات!$B$5:$B$24,MATCH($D231,المنتجات!$A$5:$A$24,0)),""))</f>
        <v/>
      </c>
      <c r="G231" s="24"/>
      <c r="H231" s="25" t="str">
        <f aca="false">IF($D231="","",IFERROR(INDEX(المنتجات!$F$5:$F$24,MATCH($D231,المنتجات!$A$5:$A$24,0)),0))</f>
        <v/>
      </c>
      <c r="I231" s="30"/>
      <c r="J231" s="25" t="str">
        <f aca="false">IF($D231="","",N(G231)*H231-N(I231))</f>
        <v/>
      </c>
      <c r="K231" s="25" t="str">
        <f aca="false">IF($D231="","",N(G231)*IFERROR(INDEX(المنتجات!$H$5:$H$24,MATCH($D231,المنتجات!$A$5:$A$24,0)),0))</f>
        <v/>
      </c>
      <c r="L231" s="25" t="str">
        <f aca="false">IF($D231="","",J231-K231)</f>
        <v/>
      </c>
      <c r="M231" s="29"/>
      <c r="N231" s="29"/>
    </row>
    <row r="232" customFormat="false" ht="15" hidden="false" customHeight="false" outlineLevel="0" collapsed="false">
      <c r="A232" s="32"/>
      <c r="B232" s="29"/>
      <c r="C232" s="29"/>
      <c r="D232" s="29"/>
      <c r="E232" s="28" t="str">
        <f aca="false">IF($D232="","",IFERROR(INDEX(المنتجات!$C$5:$C$24,MATCH($D232,المنتجات!$A$5:$A$24,0)),"كود غير موجود"))</f>
        <v/>
      </c>
      <c r="F232" s="28" t="str">
        <f aca="false">IF($D232="","",IFERROR(INDEX(المنتجات!$B$5:$B$24,MATCH($D232,المنتجات!$A$5:$A$24,0)),""))</f>
        <v/>
      </c>
      <c r="G232" s="24"/>
      <c r="H232" s="25" t="str">
        <f aca="false">IF($D232="","",IFERROR(INDEX(المنتجات!$F$5:$F$24,MATCH($D232,المنتجات!$A$5:$A$24,0)),0))</f>
        <v/>
      </c>
      <c r="I232" s="30"/>
      <c r="J232" s="25" t="str">
        <f aca="false">IF($D232="","",N(G232)*H232-N(I232))</f>
        <v/>
      </c>
      <c r="K232" s="25" t="str">
        <f aca="false">IF($D232="","",N(G232)*IFERROR(INDEX(المنتجات!$H$5:$H$24,MATCH($D232,المنتجات!$A$5:$A$24,0)),0))</f>
        <v/>
      </c>
      <c r="L232" s="25" t="str">
        <f aca="false">IF($D232="","",J232-K232)</f>
        <v/>
      </c>
      <c r="M232" s="29"/>
      <c r="N232" s="29"/>
    </row>
    <row r="233" customFormat="false" ht="15" hidden="false" customHeight="false" outlineLevel="0" collapsed="false">
      <c r="A233" s="32"/>
      <c r="B233" s="29"/>
      <c r="C233" s="29"/>
      <c r="D233" s="29"/>
      <c r="E233" s="28" t="str">
        <f aca="false">IF($D233="","",IFERROR(INDEX(المنتجات!$C$5:$C$24,MATCH($D233,المنتجات!$A$5:$A$24,0)),"كود غير موجود"))</f>
        <v/>
      </c>
      <c r="F233" s="28" t="str">
        <f aca="false">IF($D233="","",IFERROR(INDEX(المنتجات!$B$5:$B$24,MATCH($D233,المنتجات!$A$5:$A$24,0)),""))</f>
        <v/>
      </c>
      <c r="G233" s="24"/>
      <c r="H233" s="25" t="str">
        <f aca="false">IF($D233="","",IFERROR(INDEX(المنتجات!$F$5:$F$24,MATCH($D233,المنتجات!$A$5:$A$24,0)),0))</f>
        <v/>
      </c>
      <c r="I233" s="30"/>
      <c r="J233" s="25" t="str">
        <f aca="false">IF($D233="","",N(G233)*H233-N(I233))</f>
        <v/>
      </c>
      <c r="K233" s="25" t="str">
        <f aca="false">IF($D233="","",N(G233)*IFERROR(INDEX(المنتجات!$H$5:$H$24,MATCH($D233,المنتجات!$A$5:$A$24,0)),0))</f>
        <v/>
      </c>
      <c r="L233" s="25" t="str">
        <f aca="false">IF($D233="","",J233-K233)</f>
        <v/>
      </c>
      <c r="M233" s="29"/>
      <c r="N233" s="29"/>
    </row>
    <row r="234" customFormat="false" ht="15" hidden="false" customHeight="false" outlineLevel="0" collapsed="false">
      <c r="A234" s="32"/>
      <c r="B234" s="29"/>
      <c r="C234" s="29"/>
      <c r="D234" s="29"/>
      <c r="E234" s="28" t="str">
        <f aca="false">IF($D234="","",IFERROR(INDEX(المنتجات!$C$5:$C$24,MATCH($D234,المنتجات!$A$5:$A$24,0)),"كود غير موجود"))</f>
        <v/>
      </c>
      <c r="F234" s="28" t="str">
        <f aca="false">IF($D234="","",IFERROR(INDEX(المنتجات!$B$5:$B$24,MATCH($D234,المنتجات!$A$5:$A$24,0)),""))</f>
        <v/>
      </c>
      <c r="G234" s="24"/>
      <c r="H234" s="25" t="str">
        <f aca="false">IF($D234="","",IFERROR(INDEX(المنتجات!$F$5:$F$24,MATCH($D234,المنتجات!$A$5:$A$24,0)),0))</f>
        <v/>
      </c>
      <c r="I234" s="30"/>
      <c r="J234" s="25" t="str">
        <f aca="false">IF($D234="","",N(G234)*H234-N(I234))</f>
        <v/>
      </c>
      <c r="K234" s="25" t="str">
        <f aca="false">IF($D234="","",N(G234)*IFERROR(INDEX(المنتجات!$H$5:$H$24,MATCH($D234,المنتجات!$A$5:$A$24,0)),0))</f>
        <v/>
      </c>
      <c r="L234" s="25" t="str">
        <f aca="false">IF($D234="","",J234-K234)</f>
        <v/>
      </c>
      <c r="M234" s="29"/>
      <c r="N234" s="29"/>
    </row>
    <row r="235" customFormat="false" ht="15" hidden="false" customHeight="false" outlineLevel="0" collapsed="false">
      <c r="A235" s="32"/>
      <c r="B235" s="29"/>
      <c r="C235" s="29"/>
      <c r="D235" s="29"/>
      <c r="E235" s="28" t="str">
        <f aca="false">IF($D235="","",IFERROR(INDEX(المنتجات!$C$5:$C$24,MATCH($D235,المنتجات!$A$5:$A$24,0)),"كود غير موجود"))</f>
        <v/>
      </c>
      <c r="F235" s="28" t="str">
        <f aca="false">IF($D235="","",IFERROR(INDEX(المنتجات!$B$5:$B$24,MATCH($D235,المنتجات!$A$5:$A$24,0)),""))</f>
        <v/>
      </c>
      <c r="G235" s="24"/>
      <c r="H235" s="25" t="str">
        <f aca="false">IF($D235="","",IFERROR(INDEX(المنتجات!$F$5:$F$24,MATCH($D235,المنتجات!$A$5:$A$24,0)),0))</f>
        <v/>
      </c>
      <c r="I235" s="30"/>
      <c r="J235" s="25" t="str">
        <f aca="false">IF($D235="","",N(G235)*H235-N(I235))</f>
        <v/>
      </c>
      <c r="K235" s="25" t="str">
        <f aca="false">IF($D235="","",N(G235)*IFERROR(INDEX(المنتجات!$H$5:$H$24,MATCH($D235,المنتجات!$A$5:$A$24,0)),0))</f>
        <v/>
      </c>
      <c r="L235" s="25" t="str">
        <f aca="false">IF($D235="","",J235-K235)</f>
        <v/>
      </c>
      <c r="M235" s="29"/>
      <c r="N235" s="29"/>
    </row>
    <row r="236" customFormat="false" ht="15" hidden="false" customHeight="false" outlineLevel="0" collapsed="false">
      <c r="A236" s="32"/>
      <c r="B236" s="29"/>
      <c r="C236" s="29"/>
      <c r="D236" s="29"/>
      <c r="E236" s="28" t="str">
        <f aca="false">IF($D236="","",IFERROR(INDEX(المنتجات!$C$5:$C$24,MATCH($D236,المنتجات!$A$5:$A$24,0)),"كود غير موجود"))</f>
        <v/>
      </c>
      <c r="F236" s="28" t="str">
        <f aca="false">IF($D236="","",IFERROR(INDEX(المنتجات!$B$5:$B$24,MATCH($D236,المنتجات!$A$5:$A$24,0)),""))</f>
        <v/>
      </c>
      <c r="G236" s="24"/>
      <c r="H236" s="25" t="str">
        <f aca="false">IF($D236="","",IFERROR(INDEX(المنتجات!$F$5:$F$24,MATCH($D236,المنتجات!$A$5:$A$24,0)),0))</f>
        <v/>
      </c>
      <c r="I236" s="30"/>
      <c r="J236" s="25" t="str">
        <f aca="false">IF($D236="","",N(G236)*H236-N(I236))</f>
        <v/>
      </c>
      <c r="K236" s="25" t="str">
        <f aca="false">IF($D236="","",N(G236)*IFERROR(INDEX(المنتجات!$H$5:$H$24,MATCH($D236,المنتجات!$A$5:$A$24,0)),0))</f>
        <v/>
      </c>
      <c r="L236" s="25" t="str">
        <f aca="false">IF($D236="","",J236-K236)</f>
        <v/>
      </c>
      <c r="M236" s="29"/>
      <c r="N236" s="29"/>
    </row>
    <row r="237" customFormat="false" ht="15" hidden="false" customHeight="false" outlineLevel="0" collapsed="false">
      <c r="A237" s="32"/>
      <c r="B237" s="29"/>
      <c r="C237" s="29"/>
      <c r="D237" s="29"/>
      <c r="E237" s="28" t="str">
        <f aca="false">IF($D237="","",IFERROR(INDEX(المنتجات!$C$5:$C$24,MATCH($D237,المنتجات!$A$5:$A$24,0)),"كود غير موجود"))</f>
        <v/>
      </c>
      <c r="F237" s="28" t="str">
        <f aca="false">IF($D237="","",IFERROR(INDEX(المنتجات!$B$5:$B$24,MATCH($D237,المنتجات!$A$5:$A$24,0)),""))</f>
        <v/>
      </c>
      <c r="G237" s="24"/>
      <c r="H237" s="25" t="str">
        <f aca="false">IF($D237="","",IFERROR(INDEX(المنتجات!$F$5:$F$24,MATCH($D237,المنتجات!$A$5:$A$24,0)),0))</f>
        <v/>
      </c>
      <c r="I237" s="30"/>
      <c r="J237" s="25" t="str">
        <f aca="false">IF($D237="","",N(G237)*H237-N(I237))</f>
        <v/>
      </c>
      <c r="K237" s="25" t="str">
        <f aca="false">IF($D237="","",N(G237)*IFERROR(INDEX(المنتجات!$H$5:$H$24,MATCH($D237,المنتجات!$A$5:$A$24,0)),0))</f>
        <v/>
      </c>
      <c r="L237" s="25" t="str">
        <f aca="false">IF($D237="","",J237-K237)</f>
        <v/>
      </c>
      <c r="M237" s="29"/>
      <c r="N237" s="29"/>
    </row>
    <row r="238" customFormat="false" ht="15" hidden="false" customHeight="false" outlineLevel="0" collapsed="false">
      <c r="A238" s="32"/>
      <c r="B238" s="29"/>
      <c r="C238" s="29"/>
      <c r="D238" s="29"/>
      <c r="E238" s="28" t="str">
        <f aca="false">IF($D238="","",IFERROR(INDEX(المنتجات!$C$5:$C$24,MATCH($D238,المنتجات!$A$5:$A$24,0)),"كود غير موجود"))</f>
        <v/>
      </c>
      <c r="F238" s="28" t="str">
        <f aca="false">IF($D238="","",IFERROR(INDEX(المنتجات!$B$5:$B$24,MATCH($D238,المنتجات!$A$5:$A$24,0)),""))</f>
        <v/>
      </c>
      <c r="G238" s="24"/>
      <c r="H238" s="25" t="str">
        <f aca="false">IF($D238="","",IFERROR(INDEX(المنتجات!$F$5:$F$24,MATCH($D238,المنتجات!$A$5:$A$24,0)),0))</f>
        <v/>
      </c>
      <c r="I238" s="30"/>
      <c r="J238" s="25" t="str">
        <f aca="false">IF($D238="","",N(G238)*H238-N(I238))</f>
        <v/>
      </c>
      <c r="K238" s="25" t="str">
        <f aca="false">IF($D238="","",N(G238)*IFERROR(INDEX(المنتجات!$H$5:$H$24,MATCH($D238,المنتجات!$A$5:$A$24,0)),0))</f>
        <v/>
      </c>
      <c r="L238" s="25" t="str">
        <f aca="false">IF($D238="","",J238-K238)</f>
        <v/>
      </c>
      <c r="M238" s="29"/>
      <c r="N238" s="29"/>
    </row>
    <row r="239" customFormat="false" ht="15" hidden="false" customHeight="false" outlineLevel="0" collapsed="false">
      <c r="A239" s="32"/>
      <c r="B239" s="29"/>
      <c r="C239" s="29"/>
      <c r="D239" s="29"/>
      <c r="E239" s="28" t="str">
        <f aca="false">IF($D239="","",IFERROR(INDEX(المنتجات!$C$5:$C$24,MATCH($D239,المنتجات!$A$5:$A$24,0)),"كود غير موجود"))</f>
        <v/>
      </c>
      <c r="F239" s="28" t="str">
        <f aca="false">IF($D239="","",IFERROR(INDEX(المنتجات!$B$5:$B$24,MATCH($D239,المنتجات!$A$5:$A$24,0)),""))</f>
        <v/>
      </c>
      <c r="G239" s="24"/>
      <c r="H239" s="25" t="str">
        <f aca="false">IF($D239="","",IFERROR(INDEX(المنتجات!$F$5:$F$24,MATCH($D239,المنتجات!$A$5:$A$24,0)),0))</f>
        <v/>
      </c>
      <c r="I239" s="30"/>
      <c r="J239" s="25" t="str">
        <f aca="false">IF($D239="","",N(G239)*H239-N(I239))</f>
        <v/>
      </c>
      <c r="K239" s="25" t="str">
        <f aca="false">IF($D239="","",N(G239)*IFERROR(INDEX(المنتجات!$H$5:$H$24,MATCH($D239,المنتجات!$A$5:$A$24,0)),0))</f>
        <v/>
      </c>
      <c r="L239" s="25" t="str">
        <f aca="false">IF($D239="","",J239-K239)</f>
        <v/>
      </c>
      <c r="M239" s="29"/>
      <c r="N239" s="29"/>
    </row>
    <row r="240" customFormat="false" ht="15" hidden="false" customHeight="false" outlineLevel="0" collapsed="false">
      <c r="A240" s="32"/>
      <c r="B240" s="29"/>
      <c r="C240" s="29"/>
      <c r="D240" s="29"/>
      <c r="E240" s="28" t="str">
        <f aca="false">IF($D240="","",IFERROR(INDEX(المنتجات!$C$5:$C$24,MATCH($D240,المنتجات!$A$5:$A$24,0)),"كود غير موجود"))</f>
        <v/>
      </c>
      <c r="F240" s="28" t="str">
        <f aca="false">IF($D240="","",IFERROR(INDEX(المنتجات!$B$5:$B$24,MATCH($D240,المنتجات!$A$5:$A$24,0)),""))</f>
        <v/>
      </c>
      <c r="G240" s="24"/>
      <c r="H240" s="25" t="str">
        <f aca="false">IF($D240="","",IFERROR(INDEX(المنتجات!$F$5:$F$24,MATCH($D240,المنتجات!$A$5:$A$24,0)),0))</f>
        <v/>
      </c>
      <c r="I240" s="30"/>
      <c r="J240" s="25" t="str">
        <f aca="false">IF($D240="","",N(G240)*H240-N(I240))</f>
        <v/>
      </c>
      <c r="K240" s="25" t="str">
        <f aca="false">IF($D240="","",N(G240)*IFERROR(INDEX(المنتجات!$H$5:$H$24,MATCH($D240,المنتجات!$A$5:$A$24,0)),0))</f>
        <v/>
      </c>
      <c r="L240" s="25" t="str">
        <f aca="false">IF($D240="","",J240-K240)</f>
        <v/>
      </c>
      <c r="M240" s="29"/>
      <c r="N240" s="29"/>
    </row>
    <row r="241" customFormat="false" ht="15" hidden="false" customHeight="false" outlineLevel="0" collapsed="false">
      <c r="A241" s="32"/>
      <c r="B241" s="29"/>
      <c r="C241" s="29"/>
      <c r="D241" s="29"/>
      <c r="E241" s="28" t="str">
        <f aca="false">IF($D241="","",IFERROR(INDEX(المنتجات!$C$5:$C$24,MATCH($D241,المنتجات!$A$5:$A$24,0)),"كود غير موجود"))</f>
        <v/>
      </c>
      <c r="F241" s="28" t="str">
        <f aca="false">IF($D241="","",IFERROR(INDEX(المنتجات!$B$5:$B$24,MATCH($D241,المنتجات!$A$5:$A$24,0)),""))</f>
        <v/>
      </c>
      <c r="G241" s="24"/>
      <c r="H241" s="25" t="str">
        <f aca="false">IF($D241="","",IFERROR(INDEX(المنتجات!$F$5:$F$24,MATCH($D241,المنتجات!$A$5:$A$24,0)),0))</f>
        <v/>
      </c>
      <c r="I241" s="30"/>
      <c r="J241" s="25" t="str">
        <f aca="false">IF($D241="","",N(G241)*H241-N(I241))</f>
        <v/>
      </c>
      <c r="K241" s="25" t="str">
        <f aca="false">IF($D241="","",N(G241)*IFERROR(INDEX(المنتجات!$H$5:$H$24,MATCH($D241,المنتجات!$A$5:$A$24,0)),0))</f>
        <v/>
      </c>
      <c r="L241" s="25" t="str">
        <f aca="false">IF($D241="","",J241-K241)</f>
        <v/>
      </c>
      <c r="M241" s="29"/>
      <c r="N241" s="29"/>
    </row>
    <row r="242" customFormat="false" ht="15" hidden="false" customHeight="false" outlineLevel="0" collapsed="false">
      <c r="A242" s="32"/>
      <c r="B242" s="29"/>
      <c r="C242" s="29"/>
      <c r="D242" s="29"/>
      <c r="E242" s="28" t="str">
        <f aca="false">IF($D242="","",IFERROR(INDEX(المنتجات!$C$5:$C$24,MATCH($D242,المنتجات!$A$5:$A$24,0)),"كود غير موجود"))</f>
        <v/>
      </c>
      <c r="F242" s="28" t="str">
        <f aca="false">IF($D242="","",IFERROR(INDEX(المنتجات!$B$5:$B$24,MATCH($D242,المنتجات!$A$5:$A$24,0)),""))</f>
        <v/>
      </c>
      <c r="G242" s="24"/>
      <c r="H242" s="25" t="str">
        <f aca="false">IF($D242="","",IFERROR(INDEX(المنتجات!$F$5:$F$24,MATCH($D242,المنتجات!$A$5:$A$24,0)),0))</f>
        <v/>
      </c>
      <c r="I242" s="30"/>
      <c r="J242" s="25" t="str">
        <f aca="false">IF($D242="","",N(G242)*H242-N(I242))</f>
        <v/>
      </c>
      <c r="K242" s="25" t="str">
        <f aca="false">IF($D242="","",N(G242)*IFERROR(INDEX(المنتجات!$H$5:$H$24,MATCH($D242,المنتجات!$A$5:$A$24,0)),0))</f>
        <v/>
      </c>
      <c r="L242" s="25" t="str">
        <f aca="false">IF($D242="","",J242-K242)</f>
        <v/>
      </c>
      <c r="M242" s="29"/>
      <c r="N242" s="29"/>
    </row>
    <row r="243" customFormat="false" ht="15" hidden="false" customHeight="false" outlineLevel="0" collapsed="false">
      <c r="A243" s="32"/>
      <c r="B243" s="29"/>
      <c r="C243" s="29"/>
      <c r="D243" s="29"/>
      <c r="E243" s="28" t="str">
        <f aca="false">IF($D243="","",IFERROR(INDEX(المنتجات!$C$5:$C$24,MATCH($D243,المنتجات!$A$5:$A$24,0)),"كود غير موجود"))</f>
        <v/>
      </c>
      <c r="F243" s="28" t="str">
        <f aca="false">IF($D243="","",IFERROR(INDEX(المنتجات!$B$5:$B$24,MATCH($D243,المنتجات!$A$5:$A$24,0)),""))</f>
        <v/>
      </c>
      <c r="G243" s="24"/>
      <c r="H243" s="25" t="str">
        <f aca="false">IF($D243="","",IFERROR(INDEX(المنتجات!$F$5:$F$24,MATCH($D243,المنتجات!$A$5:$A$24,0)),0))</f>
        <v/>
      </c>
      <c r="I243" s="30"/>
      <c r="J243" s="25" t="str">
        <f aca="false">IF($D243="","",N(G243)*H243-N(I243))</f>
        <v/>
      </c>
      <c r="K243" s="25" t="str">
        <f aca="false">IF($D243="","",N(G243)*IFERROR(INDEX(المنتجات!$H$5:$H$24,MATCH($D243,المنتجات!$A$5:$A$24,0)),0))</f>
        <v/>
      </c>
      <c r="L243" s="25" t="str">
        <f aca="false">IF($D243="","",J243-K243)</f>
        <v/>
      </c>
      <c r="M243" s="29"/>
      <c r="N243" s="29"/>
    </row>
    <row r="244" customFormat="false" ht="15" hidden="false" customHeight="false" outlineLevel="0" collapsed="false">
      <c r="A244" s="32"/>
      <c r="B244" s="29"/>
      <c r="C244" s="29"/>
      <c r="D244" s="29"/>
      <c r="E244" s="28" t="str">
        <f aca="false">IF($D244="","",IFERROR(INDEX(المنتجات!$C$5:$C$24,MATCH($D244,المنتجات!$A$5:$A$24,0)),"كود غير موجود"))</f>
        <v/>
      </c>
      <c r="F244" s="28" t="str">
        <f aca="false">IF($D244="","",IFERROR(INDEX(المنتجات!$B$5:$B$24,MATCH($D244,المنتجات!$A$5:$A$24,0)),""))</f>
        <v/>
      </c>
      <c r="G244" s="24"/>
      <c r="H244" s="25" t="str">
        <f aca="false">IF($D244="","",IFERROR(INDEX(المنتجات!$F$5:$F$24,MATCH($D244,المنتجات!$A$5:$A$24,0)),0))</f>
        <v/>
      </c>
      <c r="I244" s="30"/>
      <c r="J244" s="25" t="str">
        <f aca="false">IF($D244="","",N(G244)*H244-N(I244))</f>
        <v/>
      </c>
      <c r="K244" s="25" t="str">
        <f aca="false">IF($D244="","",N(G244)*IFERROR(INDEX(المنتجات!$H$5:$H$24,MATCH($D244,المنتجات!$A$5:$A$24,0)),0))</f>
        <v/>
      </c>
      <c r="L244" s="25" t="str">
        <f aca="false">IF($D244="","",J244-K244)</f>
        <v/>
      </c>
      <c r="M244" s="29"/>
      <c r="N244" s="29"/>
    </row>
    <row r="245" customFormat="false" ht="15" hidden="false" customHeight="false" outlineLevel="0" collapsed="false">
      <c r="A245" s="32"/>
      <c r="B245" s="29"/>
      <c r="C245" s="29"/>
      <c r="D245" s="29"/>
      <c r="E245" s="28" t="str">
        <f aca="false">IF($D245="","",IFERROR(INDEX(المنتجات!$C$5:$C$24,MATCH($D245,المنتجات!$A$5:$A$24,0)),"كود غير موجود"))</f>
        <v/>
      </c>
      <c r="F245" s="28" t="str">
        <f aca="false">IF($D245="","",IFERROR(INDEX(المنتجات!$B$5:$B$24,MATCH($D245,المنتجات!$A$5:$A$24,0)),""))</f>
        <v/>
      </c>
      <c r="G245" s="24"/>
      <c r="H245" s="25" t="str">
        <f aca="false">IF($D245="","",IFERROR(INDEX(المنتجات!$F$5:$F$24,MATCH($D245,المنتجات!$A$5:$A$24,0)),0))</f>
        <v/>
      </c>
      <c r="I245" s="30"/>
      <c r="J245" s="25" t="str">
        <f aca="false">IF($D245="","",N(G245)*H245-N(I245))</f>
        <v/>
      </c>
      <c r="K245" s="25" t="str">
        <f aca="false">IF($D245="","",N(G245)*IFERROR(INDEX(المنتجات!$H$5:$H$24,MATCH($D245,المنتجات!$A$5:$A$24,0)),0))</f>
        <v/>
      </c>
      <c r="L245" s="25" t="str">
        <f aca="false">IF($D245="","",J245-K245)</f>
        <v/>
      </c>
      <c r="M245" s="29"/>
      <c r="N245" s="29"/>
    </row>
    <row r="246" customFormat="false" ht="15" hidden="false" customHeight="false" outlineLevel="0" collapsed="false">
      <c r="A246" s="32"/>
      <c r="B246" s="29"/>
      <c r="C246" s="29"/>
      <c r="D246" s="29"/>
      <c r="E246" s="28" t="str">
        <f aca="false">IF($D246="","",IFERROR(INDEX(المنتجات!$C$5:$C$24,MATCH($D246,المنتجات!$A$5:$A$24,0)),"كود غير موجود"))</f>
        <v/>
      </c>
      <c r="F246" s="28" t="str">
        <f aca="false">IF($D246="","",IFERROR(INDEX(المنتجات!$B$5:$B$24,MATCH($D246,المنتجات!$A$5:$A$24,0)),""))</f>
        <v/>
      </c>
      <c r="G246" s="24"/>
      <c r="H246" s="25" t="str">
        <f aca="false">IF($D246="","",IFERROR(INDEX(المنتجات!$F$5:$F$24,MATCH($D246,المنتجات!$A$5:$A$24,0)),0))</f>
        <v/>
      </c>
      <c r="I246" s="30"/>
      <c r="J246" s="25" t="str">
        <f aca="false">IF($D246="","",N(G246)*H246-N(I246))</f>
        <v/>
      </c>
      <c r="K246" s="25" t="str">
        <f aca="false">IF($D246="","",N(G246)*IFERROR(INDEX(المنتجات!$H$5:$H$24,MATCH($D246,المنتجات!$A$5:$A$24,0)),0))</f>
        <v/>
      </c>
      <c r="L246" s="25" t="str">
        <f aca="false">IF($D246="","",J246-K246)</f>
        <v/>
      </c>
      <c r="M246" s="29"/>
      <c r="N246" s="29"/>
    </row>
    <row r="247" customFormat="false" ht="15" hidden="false" customHeight="false" outlineLevel="0" collapsed="false">
      <c r="A247" s="32"/>
      <c r="B247" s="29"/>
      <c r="C247" s="29"/>
      <c r="D247" s="29"/>
      <c r="E247" s="28" t="str">
        <f aca="false">IF($D247="","",IFERROR(INDEX(المنتجات!$C$5:$C$24,MATCH($D247,المنتجات!$A$5:$A$24,0)),"كود غير موجود"))</f>
        <v/>
      </c>
      <c r="F247" s="28" t="str">
        <f aca="false">IF($D247="","",IFERROR(INDEX(المنتجات!$B$5:$B$24,MATCH($D247,المنتجات!$A$5:$A$24,0)),""))</f>
        <v/>
      </c>
      <c r="G247" s="24"/>
      <c r="H247" s="25" t="str">
        <f aca="false">IF($D247="","",IFERROR(INDEX(المنتجات!$F$5:$F$24,MATCH($D247,المنتجات!$A$5:$A$24,0)),0))</f>
        <v/>
      </c>
      <c r="I247" s="30"/>
      <c r="J247" s="25" t="str">
        <f aca="false">IF($D247="","",N(G247)*H247-N(I247))</f>
        <v/>
      </c>
      <c r="K247" s="25" t="str">
        <f aca="false">IF($D247="","",N(G247)*IFERROR(INDEX(المنتجات!$H$5:$H$24,MATCH($D247,المنتجات!$A$5:$A$24,0)),0))</f>
        <v/>
      </c>
      <c r="L247" s="25" t="str">
        <f aca="false">IF($D247="","",J247-K247)</f>
        <v/>
      </c>
      <c r="M247" s="29"/>
      <c r="N247" s="29"/>
    </row>
    <row r="248" customFormat="false" ht="15" hidden="false" customHeight="false" outlineLevel="0" collapsed="false">
      <c r="A248" s="32"/>
      <c r="B248" s="29"/>
      <c r="C248" s="29"/>
      <c r="D248" s="29"/>
      <c r="E248" s="28" t="str">
        <f aca="false">IF($D248="","",IFERROR(INDEX(المنتجات!$C$5:$C$24,MATCH($D248,المنتجات!$A$5:$A$24,0)),"كود غير موجود"))</f>
        <v/>
      </c>
      <c r="F248" s="28" t="str">
        <f aca="false">IF($D248="","",IFERROR(INDEX(المنتجات!$B$5:$B$24,MATCH($D248,المنتجات!$A$5:$A$24,0)),""))</f>
        <v/>
      </c>
      <c r="G248" s="24"/>
      <c r="H248" s="25" t="str">
        <f aca="false">IF($D248="","",IFERROR(INDEX(المنتجات!$F$5:$F$24,MATCH($D248,المنتجات!$A$5:$A$24,0)),0))</f>
        <v/>
      </c>
      <c r="I248" s="30"/>
      <c r="J248" s="25" t="str">
        <f aca="false">IF($D248="","",N(G248)*H248-N(I248))</f>
        <v/>
      </c>
      <c r="K248" s="25" t="str">
        <f aca="false">IF($D248="","",N(G248)*IFERROR(INDEX(المنتجات!$H$5:$H$24,MATCH($D248,المنتجات!$A$5:$A$24,0)),0))</f>
        <v/>
      </c>
      <c r="L248" s="25" t="str">
        <f aca="false">IF($D248="","",J248-K248)</f>
        <v/>
      </c>
      <c r="M248" s="29"/>
      <c r="N248" s="29"/>
    </row>
    <row r="249" customFormat="false" ht="15" hidden="false" customHeight="false" outlineLevel="0" collapsed="false">
      <c r="A249" s="32"/>
      <c r="B249" s="29"/>
      <c r="C249" s="29"/>
      <c r="D249" s="29"/>
      <c r="E249" s="28" t="str">
        <f aca="false">IF($D249="","",IFERROR(INDEX(المنتجات!$C$5:$C$24,MATCH($D249,المنتجات!$A$5:$A$24,0)),"كود غير موجود"))</f>
        <v/>
      </c>
      <c r="F249" s="28" t="str">
        <f aca="false">IF($D249="","",IFERROR(INDEX(المنتجات!$B$5:$B$24,MATCH($D249,المنتجات!$A$5:$A$24,0)),""))</f>
        <v/>
      </c>
      <c r="G249" s="24"/>
      <c r="H249" s="25" t="str">
        <f aca="false">IF($D249="","",IFERROR(INDEX(المنتجات!$F$5:$F$24,MATCH($D249,المنتجات!$A$5:$A$24,0)),0))</f>
        <v/>
      </c>
      <c r="I249" s="30"/>
      <c r="J249" s="25" t="str">
        <f aca="false">IF($D249="","",N(G249)*H249-N(I249))</f>
        <v/>
      </c>
      <c r="K249" s="25" t="str">
        <f aca="false">IF($D249="","",N(G249)*IFERROR(INDEX(المنتجات!$H$5:$H$24,MATCH($D249,المنتجات!$A$5:$A$24,0)),0))</f>
        <v/>
      </c>
      <c r="L249" s="25" t="str">
        <f aca="false">IF($D249="","",J249-K249)</f>
        <v/>
      </c>
      <c r="M249" s="29"/>
      <c r="N249" s="29"/>
    </row>
    <row r="250" customFormat="false" ht="15" hidden="false" customHeight="false" outlineLevel="0" collapsed="false">
      <c r="A250" s="32"/>
      <c r="B250" s="29"/>
      <c r="C250" s="29"/>
      <c r="D250" s="29"/>
      <c r="E250" s="28" t="str">
        <f aca="false">IF($D250="","",IFERROR(INDEX(المنتجات!$C$5:$C$24,MATCH($D250,المنتجات!$A$5:$A$24,0)),"كود غير موجود"))</f>
        <v/>
      </c>
      <c r="F250" s="28" t="str">
        <f aca="false">IF($D250="","",IFERROR(INDEX(المنتجات!$B$5:$B$24,MATCH($D250,المنتجات!$A$5:$A$24,0)),""))</f>
        <v/>
      </c>
      <c r="G250" s="24"/>
      <c r="H250" s="25" t="str">
        <f aca="false">IF($D250="","",IFERROR(INDEX(المنتجات!$F$5:$F$24,MATCH($D250,المنتجات!$A$5:$A$24,0)),0))</f>
        <v/>
      </c>
      <c r="I250" s="30"/>
      <c r="J250" s="25" t="str">
        <f aca="false">IF($D250="","",N(G250)*H250-N(I250))</f>
        <v/>
      </c>
      <c r="K250" s="25" t="str">
        <f aca="false">IF($D250="","",N(G250)*IFERROR(INDEX(المنتجات!$H$5:$H$24,MATCH($D250,المنتجات!$A$5:$A$24,0)),0))</f>
        <v/>
      </c>
      <c r="L250" s="25" t="str">
        <f aca="false">IF($D250="","",J250-K250)</f>
        <v/>
      </c>
      <c r="M250" s="29"/>
      <c r="N250" s="29"/>
    </row>
    <row r="251" customFormat="false" ht="15" hidden="false" customHeight="false" outlineLevel="0" collapsed="false">
      <c r="A251" s="32"/>
      <c r="B251" s="29"/>
      <c r="C251" s="29"/>
      <c r="D251" s="29"/>
      <c r="E251" s="28" t="str">
        <f aca="false">IF($D251="","",IFERROR(INDEX(المنتجات!$C$5:$C$24,MATCH($D251,المنتجات!$A$5:$A$24,0)),"كود غير موجود"))</f>
        <v/>
      </c>
      <c r="F251" s="28" t="str">
        <f aca="false">IF($D251="","",IFERROR(INDEX(المنتجات!$B$5:$B$24,MATCH($D251,المنتجات!$A$5:$A$24,0)),""))</f>
        <v/>
      </c>
      <c r="G251" s="24"/>
      <c r="H251" s="25" t="str">
        <f aca="false">IF($D251="","",IFERROR(INDEX(المنتجات!$F$5:$F$24,MATCH($D251,المنتجات!$A$5:$A$24,0)),0))</f>
        <v/>
      </c>
      <c r="I251" s="30"/>
      <c r="J251" s="25" t="str">
        <f aca="false">IF($D251="","",N(G251)*H251-N(I251))</f>
        <v/>
      </c>
      <c r="K251" s="25" t="str">
        <f aca="false">IF($D251="","",N(G251)*IFERROR(INDEX(المنتجات!$H$5:$H$24,MATCH($D251,المنتجات!$A$5:$A$24,0)),0))</f>
        <v/>
      </c>
      <c r="L251" s="25" t="str">
        <f aca="false">IF($D251="","",J251-K251)</f>
        <v/>
      </c>
      <c r="M251" s="29"/>
      <c r="N251" s="29"/>
    </row>
    <row r="252" customFormat="false" ht="15" hidden="false" customHeight="false" outlineLevel="0" collapsed="false">
      <c r="A252" s="32"/>
      <c r="B252" s="29"/>
      <c r="C252" s="29"/>
      <c r="D252" s="29"/>
      <c r="E252" s="28" t="str">
        <f aca="false">IF($D252="","",IFERROR(INDEX(المنتجات!$C$5:$C$24,MATCH($D252,المنتجات!$A$5:$A$24,0)),"كود غير موجود"))</f>
        <v/>
      </c>
      <c r="F252" s="28" t="str">
        <f aca="false">IF($D252="","",IFERROR(INDEX(المنتجات!$B$5:$B$24,MATCH($D252,المنتجات!$A$5:$A$24,0)),""))</f>
        <v/>
      </c>
      <c r="G252" s="24"/>
      <c r="H252" s="25" t="str">
        <f aca="false">IF($D252="","",IFERROR(INDEX(المنتجات!$F$5:$F$24,MATCH($D252,المنتجات!$A$5:$A$24,0)),0))</f>
        <v/>
      </c>
      <c r="I252" s="30"/>
      <c r="J252" s="25" t="str">
        <f aca="false">IF($D252="","",N(G252)*H252-N(I252))</f>
        <v/>
      </c>
      <c r="K252" s="25" t="str">
        <f aca="false">IF($D252="","",N(G252)*IFERROR(INDEX(المنتجات!$H$5:$H$24,MATCH($D252,المنتجات!$A$5:$A$24,0)),0))</f>
        <v/>
      </c>
      <c r="L252" s="25" t="str">
        <f aca="false">IF($D252="","",J252-K252)</f>
        <v/>
      </c>
      <c r="M252" s="29"/>
      <c r="N252" s="29"/>
    </row>
    <row r="253" customFormat="false" ht="15" hidden="false" customHeight="false" outlineLevel="0" collapsed="false">
      <c r="A253" s="32"/>
      <c r="B253" s="29"/>
      <c r="C253" s="29"/>
      <c r="D253" s="29"/>
      <c r="E253" s="28" t="str">
        <f aca="false">IF($D253="","",IFERROR(INDEX(المنتجات!$C$5:$C$24,MATCH($D253,المنتجات!$A$5:$A$24,0)),"كود غير موجود"))</f>
        <v/>
      </c>
      <c r="F253" s="28" t="str">
        <f aca="false">IF($D253="","",IFERROR(INDEX(المنتجات!$B$5:$B$24,MATCH($D253,المنتجات!$A$5:$A$24,0)),""))</f>
        <v/>
      </c>
      <c r="G253" s="24"/>
      <c r="H253" s="25" t="str">
        <f aca="false">IF($D253="","",IFERROR(INDEX(المنتجات!$F$5:$F$24,MATCH($D253,المنتجات!$A$5:$A$24,0)),0))</f>
        <v/>
      </c>
      <c r="I253" s="30"/>
      <c r="J253" s="25" t="str">
        <f aca="false">IF($D253="","",N(G253)*H253-N(I253))</f>
        <v/>
      </c>
      <c r="K253" s="25" t="str">
        <f aca="false">IF($D253="","",N(G253)*IFERROR(INDEX(المنتجات!$H$5:$H$24,MATCH($D253,المنتجات!$A$5:$A$24,0)),0))</f>
        <v/>
      </c>
      <c r="L253" s="25" t="str">
        <f aca="false">IF($D253="","",J253-K253)</f>
        <v/>
      </c>
      <c r="M253" s="29"/>
      <c r="N253" s="29"/>
    </row>
    <row r="254" customFormat="false" ht="15" hidden="false" customHeight="false" outlineLevel="0" collapsed="false">
      <c r="A254" s="32"/>
      <c r="B254" s="29"/>
      <c r="C254" s="29"/>
      <c r="D254" s="29"/>
      <c r="E254" s="28" t="str">
        <f aca="false">IF($D254="","",IFERROR(INDEX(المنتجات!$C$5:$C$24,MATCH($D254,المنتجات!$A$5:$A$24,0)),"كود غير موجود"))</f>
        <v/>
      </c>
      <c r="F254" s="28" t="str">
        <f aca="false">IF($D254="","",IFERROR(INDEX(المنتجات!$B$5:$B$24,MATCH($D254,المنتجات!$A$5:$A$24,0)),""))</f>
        <v/>
      </c>
      <c r="G254" s="24"/>
      <c r="H254" s="25" t="str">
        <f aca="false">IF($D254="","",IFERROR(INDEX(المنتجات!$F$5:$F$24,MATCH($D254,المنتجات!$A$5:$A$24,0)),0))</f>
        <v/>
      </c>
      <c r="I254" s="30"/>
      <c r="J254" s="25" t="str">
        <f aca="false">IF($D254="","",N(G254)*H254-N(I254))</f>
        <v/>
      </c>
      <c r="K254" s="25" t="str">
        <f aca="false">IF($D254="","",N(G254)*IFERROR(INDEX(المنتجات!$H$5:$H$24,MATCH($D254,المنتجات!$A$5:$A$24,0)),0))</f>
        <v/>
      </c>
      <c r="L254" s="25" t="str">
        <f aca="false">IF($D254="","",J254-K254)</f>
        <v/>
      </c>
      <c r="M254" s="29"/>
      <c r="N254" s="29"/>
    </row>
    <row r="255" customFormat="false" ht="15" hidden="false" customHeight="false" outlineLevel="0" collapsed="false">
      <c r="A255" s="32"/>
      <c r="B255" s="29"/>
      <c r="C255" s="29"/>
      <c r="D255" s="29"/>
      <c r="E255" s="28" t="str">
        <f aca="false">IF($D255="","",IFERROR(INDEX(المنتجات!$C$5:$C$24,MATCH($D255,المنتجات!$A$5:$A$24,0)),"كود غير موجود"))</f>
        <v/>
      </c>
      <c r="F255" s="28" t="str">
        <f aca="false">IF($D255="","",IFERROR(INDEX(المنتجات!$B$5:$B$24,MATCH($D255,المنتجات!$A$5:$A$24,0)),""))</f>
        <v/>
      </c>
      <c r="G255" s="24"/>
      <c r="H255" s="25" t="str">
        <f aca="false">IF($D255="","",IFERROR(INDEX(المنتجات!$F$5:$F$24,MATCH($D255,المنتجات!$A$5:$A$24,0)),0))</f>
        <v/>
      </c>
      <c r="I255" s="30"/>
      <c r="J255" s="25" t="str">
        <f aca="false">IF($D255="","",N(G255)*H255-N(I255))</f>
        <v/>
      </c>
      <c r="K255" s="25" t="str">
        <f aca="false">IF($D255="","",N(G255)*IFERROR(INDEX(المنتجات!$H$5:$H$24,MATCH($D255,المنتجات!$A$5:$A$24,0)),0))</f>
        <v/>
      </c>
      <c r="L255" s="25" t="str">
        <f aca="false">IF($D255="","",J255-K255)</f>
        <v/>
      </c>
      <c r="M255" s="29"/>
      <c r="N255" s="29"/>
    </row>
    <row r="256" customFormat="false" ht="15" hidden="false" customHeight="false" outlineLevel="0" collapsed="false">
      <c r="A256" s="32"/>
      <c r="B256" s="29"/>
      <c r="C256" s="29"/>
      <c r="D256" s="29"/>
      <c r="E256" s="28" t="str">
        <f aca="false">IF($D256="","",IFERROR(INDEX(المنتجات!$C$5:$C$24,MATCH($D256,المنتجات!$A$5:$A$24,0)),"كود غير موجود"))</f>
        <v/>
      </c>
      <c r="F256" s="28" t="str">
        <f aca="false">IF($D256="","",IFERROR(INDEX(المنتجات!$B$5:$B$24,MATCH($D256,المنتجات!$A$5:$A$24,0)),""))</f>
        <v/>
      </c>
      <c r="G256" s="24"/>
      <c r="H256" s="25" t="str">
        <f aca="false">IF($D256="","",IFERROR(INDEX(المنتجات!$F$5:$F$24,MATCH($D256,المنتجات!$A$5:$A$24,0)),0))</f>
        <v/>
      </c>
      <c r="I256" s="30"/>
      <c r="J256" s="25" t="str">
        <f aca="false">IF($D256="","",N(G256)*H256-N(I256))</f>
        <v/>
      </c>
      <c r="K256" s="25" t="str">
        <f aca="false">IF($D256="","",N(G256)*IFERROR(INDEX(المنتجات!$H$5:$H$24,MATCH($D256,المنتجات!$A$5:$A$24,0)),0))</f>
        <v/>
      </c>
      <c r="L256" s="25" t="str">
        <f aca="false">IF($D256="","",J256-K256)</f>
        <v/>
      </c>
      <c r="M256" s="29"/>
      <c r="N256" s="29"/>
    </row>
    <row r="257" customFormat="false" ht="15" hidden="false" customHeight="false" outlineLevel="0" collapsed="false">
      <c r="A257" s="32"/>
      <c r="B257" s="29"/>
      <c r="C257" s="29"/>
      <c r="D257" s="29"/>
      <c r="E257" s="28" t="str">
        <f aca="false">IF($D257="","",IFERROR(INDEX(المنتجات!$C$5:$C$24,MATCH($D257,المنتجات!$A$5:$A$24,0)),"كود غير موجود"))</f>
        <v/>
      </c>
      <c r="F257" s="28" t="str">
        <f aca="false">IF($D257="","",IFERROR(INDEX(المنتجات!$B$5:$B$24,MATCH($D257,المنتجات!$A$5:$A$24,0)),""))</f>
        <v/>
      </c>
      <c r="G257" s="24"/>
      <c r="H257" s="25" t="str">
        <f aca="false">IF($D257="","",IFERROR(INDEX(المنتجات!$F$5:$F$24,MATCH($D257,المنتجات!$A$5:$A$24,0)),0))</f>
        <v/>
      </c>
      <c r="I257" s="30"/>
      <c r="J257" s="25" t="str">
        <f aca="false">IF($D257="","",N(G257)*H257-N(I257))</f>
        <v/>
      </c>
      <c r="K257" s="25" t="str">
        <f aca="false">IF($D257="","",N(G257)*IFERROR(INDEX(المنتجات!$H$5:$H$24,MATCH($D257,المنتجات!$A$5:$A$24,0)),0))</f>
        <v/>
      </c>
      <c r="L257" s="25" t="str">
        <f aca="false">IF($D257="","",J257-K257)</f>
        <v/>
      </c>
      <c r="M257" s="29"/>
      <c r="N257" s="29"/>
    </row>
    <row r="258" customFormat="false" ht="15" hidden="false" customHeight="false" outlineLevel="0" collapsed="false">
      <c r="A258" s="32"/>
      <c r="B258" s="29"/>
      <c r="C258" s="29"/>
      <c r="D258" s="29"/>
      <c r="E258" s="28" t="str">
        <f aca="false">IF($D258="","",IFERROR(INDEX(المنتجات!$C$5:$C$24,MATCH($D258,المنتجات!$A$5:$A$24,0)),"كود غير موجود"))</f>
        <v/>
      </c>
      <c r="F258" s="28" t="str">
        <f aca="false">IF($D258="","",IFERROR(INDEX(المنتجات!$B$5:$B$24,MATCH($D258,المنتجات!$A$5:$A$24,0)),""))</f>
        <v/>
      </c>
      <c r="G258" s="24"/>
      <c r="H258" s="25" t="str">
        <f aca="false">IF($D258="","",IFERROR(INDEX(المنتجات!$F$5:$F$24,MATCH($D258,المنتجات!$A$5:$A$24,0)),0))</f>
        <v/>
      </c>
      <c r="I258" s="30"/>
      <c r="J258" s="25" t="str">
        <f aca="false">IF($D258="","",N(G258)*H258-N(I258))</f>
        <v/>
      </c>
      <c r="K258" s="25" t="str">
        <f aca="false">IF($D258="","",N(G258)*IFERROR(INDEX(المنتجات!$H$5:$H$24,MATCH($D258,المنتجات!$A$5:$A$24,0)),0))</f>
        <v/>
      </c>
      <c r="L258" s="25" t="str">
        <f aca="false">IF($D258="","",J258-K258)</f>
        <v/>
      </c>
      <c r="M258" s="29"/>
      <c r="N258" s="29"/>
    </row>
    <row r="259" customFormat="false" ht="15" hidden="false" customHeight="false" outlineLevel="0" collapsed="false">
      <c r="A259" s="32"/>
      <c r="B259" s="29"/>
      <c r="C259" s="29"/>
      <c r="D259" s="29"/>
      <c r="E259" s="28" t="str">
        <f aca="false">IF($D259="","",IFERROR(INDEX(المنتجات!$C$5:$C$24,MATCH($D259,المنتجات!$A$5:$A$24,0)),"كود غير موجود"))</f>
        <v/>
      </c>
      <c r="F259" s="28" t="str">
        <f aca="false">IF($D259="","",IFERROR(INDEX(المنتجات!$B$5:$B$24,MATCH($D259,المنتجات!$A$5:$A$24,0)),""))</f>
        <v/>
      </c>
      <c r="G259" s="24"/>
      <c r="H259" s="25" t="str">
        <f aca="false">IF($D259="","",IFERROR(INDEX(المنتجات!$F$5:$F$24,MATCH($D259,المنتجات!$A$5:$A$24,0)),0))</f>
        <v/>
      </c>
      <c r="I259" s="30"/>
      <c r="J259" s="25" t="str">
        <f aca="false">IF($D259="","",N(G259)*H259-N(I259))</f>
        <v/>
      </c>
      <c r="K259" s="25" t="str">
        <f aca="false">IF($D259="","",N(G259)*IFERROR(INDEX(المنتجات!$H$5:$H$24,MATCH($D259,المنتجات!$A$5:$A$24,0)),0))</f>
        <v/>
      </c>
      <c r="L259" s="25" t="str">
        <f aca="false">IF($D259="","",J259-K259)</f>
        <v/>
      </c>
      <c r="M259" s="29"/>
      <c r="N259" s="29"/>
    </row>
    <row r="260" customFormat="false" ht="15" hidden="false" customHeight="false" outlineLevel="0" collapsed="false">
      <c r="A260" s="32"/>
      <c r="B260" s="29"/>
      <c r="C260" s="29"/>
      <c r="D260" s="29"/>
      <c r="E260" s="28" t="str">
        <f aca="false">IF($D260="","",IFERROR(INDEX(المنتجات!$C$5:$C$24,MATCH($D260,المنتجات!$A$5:$A$24,0)),"كود غير موجود"))</f>
        <v/>
      </c>
      <c r="F260" s="28" t="str">
        <f aca="false">IF($D260="","",IFERROR(INDEX(المنتجات!$B$5:$B$24,MATCH($D260,المنتجات!$A$5:$A$24,0)),""))</f>
        <v/>
      </c>
      <c r="G260" s="24"/>
      <c r="H260" s="25" t="str">
        <f aca="false">IF($D260="","",IFERROR(INDEX(المنتجات!$F$5:$F$24,MATCH($D260,المنتجات!$A$5:$A$24,0)),0))</f>
        <v/>
      </c>
      <c r="I260" s="30"/>
      <c r="J260" s="25" t="str">
        <f aca="false">IF($D260="","",N(G260)*H260-N(I260))</f>
        <v/>
      </c>
      <c r="K260" s="25" t="str">
        <f aca="false">IF($D260="","",N(G260)*IFERROR(INDEX(المنتجات!$H$5:$H$24,MATCH($D260,المنتجات!$A$5:$A$24,0)),0))</f>
        <v/>
      </c>
      <c r="L260" s="25" t="str">
        <f aca="false">IF($D260="","",J260-K260)</f>
        <v/>
      </c>
      <c r="M260" s="29"/>
      <c r="N260" s="29"/>
    </row>
    <row r="261" customFormat="false" ht="15" hidden="false" customHeight="false" outlineLevel="0" collapsed="false">
      <c r="A261" s="32"/>
      <c r="B261" s="29"/>
      <c r="C261" s="29"/>
      <c r="D261" s="29"/>
      <c r="E261" s="28" t="str">
        <f aca="false">IF($D261="","",IFERROR(INDEX(المنتجات!$C$5:$C$24,MATCH($D261,المنتجات!$A$5:$A$24,0)),"كود غير موجود"))</f>
        <v/>
      </c>
      <c r="F261" s="28" t="str">
        <f aca="false">IF($D261="","",IFERROR(INDEX(المنتجات!$B$5:$B$24,MATCH($D261,المنتجات!$A$5:$A$24,0)),""))</f>
        <v/>
      </c>
      <c r="G261" s="24"/>
      <c r="H261" s="25" t="str">
        <f aca="false">IF($D261="","",IFERROR(INDEX(المنتجات!$F$5:$F$24,MATCH($D261,المنتجات!$A$5:$A$24,0)),0))</f>
        <v/>
      </c>
      <c r="I261" s="30"/>
      <c r="J261" s="25" t="str">
        <f aca="false">IF($D261="","",N(G261)*H261-N(I261))</f>
        <v/>
      </c>
      <c r="K261" s="25" t="str">
        <f aca="false">IF($D261="","",N(G261)*IFERROR(INDEX(المنتجات!$H$5:$H$24,MATCH($D261,المنتجات!$A$5:$A$24,0)),0))</f>
        <v/>
      </c>
      <c r="L261" s="25" t="str">
        <f aca="false">IF($D261="","",J261-K261)</f>
        <v/>
      </c>
      <c r="M261" s="29"/>
      <c r="N261" s="29"/>
    </row>
    <row r="262" customFormat="false" ht="15" hidden="false" customHeight="false" outlineLevel="0" collapsed="false">
      <c r="A262" s="32"/>
      <c r="B262" s="29"/>
      <c r="C262" s="29"/>
      <c r="D262" s="29"/>
      <c r="E262" s="28" t="str">
        <f aca="false">IF($D262="","",IFERROR(INDEX(المنتجات!$C$5:$C$24,MATCH($D262,المنتجات!$A$5:$A$24,0)),"كود غير موجود"))</f>
        <v/>
      </c>
      <c r="F262" s="28" t="str">
        <f aca="false">IF($D262="","",IFERROR(INDEX(المنتجات!$B$5:$B$24,MATCH($D262,المنتجات!$A$5:$A$24,0)),""))</f>
        <v/>
      </c>
      <c r="G262" s="24"/>
      <c r="H262" s="25" t="str">
        <f aca="false">IF($D262="","",IFERROR(INDEX(المنتجات!$F$5:$F$24,MATCH($D262,المنتجات!$A$5:$A$24,0)),0))</f>
        <v/>
      </c>
      <c r="I262" s="30"/>
      <c r="J262" s="25" t="str">
        <f aca="false">IF($D262="","",N(G262)*H262-N(I262))</f>
        <v/>
      </c>
      <c r="K262" s="25" t="str">
        <f aca="false">IF($D262="","",N(G262)*IFERROR(INDEX(المنتجات!$H$5:$H$24,MATCH($D262,المنتجات!$A$5:$A$24,0)),0))</f>
        <v/>
      </c>
      <c r="L262" s="25" t="str">
        <f aca="false">IF($D262="","",J262-K262)</f>
        <v/>
      </c>
      <c r="M262" s="29"/>
      <c r="N262" s="29"/>
    </row>
    <row r="263" customFormat="false" ht="15" hidden="false" customHeight="false" outlineLevel="0" collapsed="false">
      <c r="A263" s="32"/>
      <c r="B263" s="29"/>
      <c r="C263" s="29"/>
      <c r="D263" s="29"/>
      <c r="E263" s="28" t="str">
        <f aca="false">IF($D263="","",IFERROR(INDEX(المنتجات!$C$5:$C$24,MATCH($D263,المنتجات!$A$5:$A$24,0)),"كود غير موجود"))</f>
        <v/>
      </c>
      <c r="F263" s="28" t="str">
        <f aca="false">IF($D263="","",IFERROR(INDEX(المنتجات!$B$5:$B$24,MATCH($D263,المنتجات!$A$5:$A$24,0)),""))</f>
        <v/>
      </c>
      <c r="G263" s="24"/>
      <c r="H263" s="25" t="str">
        <f aca="false">IF($D263="","",IFERROR(INDEX(المنتجات!$F$5:$F$24,MATCH($D263,المنتجات!$A$5:$A$24,0)),0))</f>
        <v/>
      </c>
      <c r="I263" s="30"/>
      <c r="J263" s="25" t="str">
        <f aca="false">IF($D263="","",N(G263)*H263-N(I263))</f>
        <v/>
      </c>
      <c r="K263" s="25" t="str">
        <f aca="false">IF($D263="","",N(G263)*IFERROR(INDEX(المنتجات!$H$5:$H$24,MATCH($D263,المنتجات!$A$5:$A$24,0)),0))</f>
        <v/>
      </c>
      <c r="L263" s="25" t="str">
        <f aca="false">IF($D263="","",J263-K263)</f>
        <v/>
      </c>
      <c r="M263" s="29"/>
      <c r="N263" s="29"/>
    </row>
    <row r="264" customFormat="false" ht="15" hidden="false" customHeight="false" outlineLevel="0" collapsed="false">
      <c r="A264" s="32"/>
      <c r="B264" s="29"/>
      <c r="C264" s="29"/>
      <c r="D264" s="29"/>
      <c r="E264" s="28" t="str">
        <f aca="false">IF($D264="","",IFERROR(INDEX(المنتجات!$C$5:$C$24,MATCH($D264,المنتجات!$A$5:$A$24,0)),"كود غير موجود"))</f>
        <v/>
      </c>
      <c r="F264" s="28" t="str">
        <f aca="false">IF($D264="","",IFERROR(INDEX(المنتجات!$B$5:$B$24,MATCH($D264,المنتجات!$A$5:$A$24,0)),""))</f>
        <v/>
      </c>
      <c r="G264" s="24"/>
      <c r="H264" s="25" t="str">
        <f aca="false">IF($D264="","",IFERROR(INDEX(المنتجات!$F$5:$F$24,MATCH($D264,المنتجات!$A$5:$A$24,0)),0))</f>
        <v/>
      </c>
      <c r="I264" s="30"/>
      <c r="J264" s="25" t="str">
        <f aca="false">IF($D264="","",N(G264)*H264-N(I264))</f>
        <v/>
      </c>
      <c r="K264" s="25" t="str">
        <f aca="false">IF($D264="","",N(G264)*IFERROR(INDEX(المنتجات!$H$5:$H$24,MATCH($D264,المنتجات!$A$5:$A$24,0)),0))</f>
        <v/>
      </c>
      <c r="L264" s="25" t="str">
        <f aca="false">IF($D264="","",J264-K264)</f>
        <v/>
      </c>
      <c r="M264" s="29"/>
      <c r="N264" s="29"/>
    </row>
    <row r="265" customFormat="false" ht="15" hidden="false" customHeight="false" outlineLevel="0" collapsed="false">
      <c r="A265" s="32"/>
      <c r="B265" s="29"/>
      <c r="C265" s="29"/>
      <c r="D265" s="29"/>
      <c r="E265" s="28" t="str">
        <f aca="false">IF($D265="","",IFERROR(INDEX(المنتجات!$C$5:$C$24,MATCH($D265,المنتجات!$A$5:$A$24,0)),"كود غير موجود"))</f>
        <v/>
      </c>
      <c r="F265" s="28" t="str">
        <f aca="false">IF($D265="","",IFERROR(INDEX(المنتجات!$B$5:$B$24,MATCH($D265,المنتجات!$A$5:$A$24,0)),""))</f>
        <v/>
      </c>
      <c r="G265" s="24"/>
      <c r="H265" s="25" t="str">
        <f aca="false">IF($D265="","",IFERROR(INDEX(المنتجات!$F$5:$F$24,MATCH($D265,المنتجات!$A$5:$A$24,0)),0))</f>
        <v/>
      </c>
      <c r="I265" s="30"/>
      <c r="J265" s="25" t="str">
        <f aca="false">IF($D265="","",N(G265)*H265-N(I265))</f>
        <v/>
      </c>
      <c r="K265" s="25" t="str">
        <f aca="false">IF($D265="","",N(G265)*IFERROR(INDEX(المنتجات!$H$5:$H$24,MATCH($D265,المنتجات!$A$5:$A$24,0)),0))</f>
        <v/>
      </c>
      <c r="L265" s="25" t="str">
        <f aca="false">IF($D265="","",J265-K265)</f>
        <v/>
      </c>
      <c r="M265" s="29"/>
      <c r="N265" s="29"/>
    </row>
    <row r="266" customFormat="false" ht="15" hidden="false" customHeight="false" outlineLevel="0" collapsed="false">
      <c r="A266" s="32"/>
      <c r="B266" s="29"/>
      <c r="C266" s="29"/>
      <c r="D266" s="29"/>
      <c r="E266" s="28" t="str">
        <f aca="false">IF($D266="","",IFERROR(INDEX(المنتجات!$C$5:$C$24,MATCH($D266,المنتجات!$A$5:$A$24,0)),"كود غير موجود"))</f>
        <v/>
      </c>
      <c r="F266" s="28" t="str">
        <f aca="false">IF($D266="","",IFERROR(INDEX(المنتجات!$B$5:$B$24,MATCH($D266,المنتجات!$A$5:$A$24,0)),""))</f>
        <v/>
      </c>
      <c r="G266" s="24"/>
      <c r="H266" s="25" t="str">
        <f aca="false">IF($D266="","",IFERROR(INDEX(المنتجات!$F$5:$F$24,MATCH($D266,المنتجات!$A$5:$A$24,0)),0))</f>
        <v/>
      </c>
      <c r="I266" s="30"/>
      <c r="J266" s="25" t="str">
        <f aca="false">IF($D266="","",N(G266)*H266-N(I266))</f>
        <v/>
      </c>
      <c r="K266" s="25" t="str">
        <f aca="false">IF($D266="","",N(G266)*IFERROR(INDEX(المنتجات!$H$5:$H$24,MATCH($D266,المنتجات!$A$5:$A$24,0)),0))</f>
        <v/>
      </c>
      <c r="L266" s="25" t="str">
        <f aca="false">IF($D266="","",J266-K266)</f>
        <v/>
      </c>
      <c r="M266" s="29"/>
      <c r="N266" s="29"/>
    </row>
    <row r="267" customFormat="false" ht="15" hidden="false" customHeight="false" outlineLevel="0" collapsed="false">
      <c r="A267" s="32"/>
      <c r="B267" s="29"/>
      <c r="C267" s="29"/>
      <c r="D267" s="29"/>
      <c r="E267" s="28" t="str">
        <f aca="false">IF($D267="","",IFERROR(INDEX(المنتجات!$C$5:$C$24,MATCH($D267,المنتجات!$A$5:$A$24,0)),"كود غير موجود"))</f>
        <v/>
      </c>
      <c r="F267" s="28" t="str">
        <f aca="false">IF($D267="","",IFERROR(INDEX(المنتجات!$B$5:$B$24,MATCH($D267,المنتجات!$A$5:$A$24,0)),""))</f>
        <v/>
      </c>
      <c r="G267" s="24"/>
      <c r="H267" s="25" t="str">
        <f aca="false">IF($D267="","",IFERROR(INDEX(المنتجات!$F$5:$F$24,MATCH($D267,المنتجات!$A$5:$A$24,0)),0))</f>
        <v/>
      </c>
      <c r="I267" s="30"/>
      <c r="J267" s="25" t="str">
        <f aca="false">IF($D267="","",N(G267)*H267-N(I267))</f>
        <v/>
      </c>
      <c r="K267" s="25" t="str">
        <f aca="false">IF($D267="","",N(G267)*IFERROR(INDEX(المنتجات!$H$5:$H$24,MATCH($D267,المنتجات!$A$5:$A$24,0)),0))</f>
        <v/>
      </c>
      <c r="L267" s="25" t="str">
        <f aca="false">IF($D267="","",J267-K267)</f>
        <v/>
      </c>
      <c r="M267" s="29"/>
      <c r="N267" s="29"/>
    </row>
    <row r="268" customFormat="false" ht="15" hidden="false" customHeight="false" outlineLevel="0" collapsed="false">
      <c r="A268" s="32"/>
      <c r="B268" s="29"/>
      <c r="C268" s="29"/>
      <c r="D268" s="29"/>
      <c r="E268" s="28" t="str">
        <f aca="false">IF($D268="","",IFERROR(INDEX(المنتجات!$C$5:$C$24,MATCH($D268,المنتجات!$A$5:$A$24,0)),"كود غير موجود"))</f>
        <v/>
      </c>
      <c r="F268" s="28" t="str">
        <f aca="false">IF($D268="","",IFERROR(INDEX(المنتجات!$B$5:$B$24,MATCH($D268,المنتجات!$A$5:$A$24,0)),""))</f>
        <v/>
      </c>
      <c r="G268" s="24"/>
      <c r="H268" s="25" t="str">
        <f aca="false">IF($D268="","",IFERROR(INDEX(المنتجات!$F$5:$F$24,MATCH($D268,المنتجات!$A$5:$A$24,0)),0))</f>
        <v/>
      </c>
      <c r="I268" s="30"/>
      <c r="J268" s="25" t="str">
        <f aca="false">IF($D268="","",N(G268)*H268-N(I268))</f>
        <v/>
      </c>
      <c r="K268" s="25" t="str">
        <f aca="false">IF($D268="","",N(G268)*IFERROR(INDEX(المنتجات!$H$5:$H$24,MATCH($D268,المنتجات!$A$5:$A$24,0)),0))</f>
        <v/>
      </c>
      <c r="L268" s="25" t="str">
        <f aca="false">IF($D268="","",J268-K268)</f>
        <v/>
      </c>
      <c r="M268" s="29"/>
      <c r="N268" s="29"/>
    </row>
    <row r="269" customFormat="false" ht="15" hidden="false" customHeight="false" outlineLevel="0" collapsed="false">
      <c r="A269" s="32"/>
      <c r="B269" s="29"/>
      <c r="C269" s="29"/>
      <c r="D269" s="29"/>
      <c r="E269" s="28" t="str">
        <f aca="false">IF($D269="","",IFERROR(INDEX(المنتجات!$C$5:$C$24,MATCH($D269,المنتجات!$A$5:$A$24,0)),"كود غير موجود"))</f>
        <v/>
      </c>
      <c r="F269" s="28" t="str">
        <f aca="false">IF($D269="","",IFERROR(INDEX(المنتجات!$B$5:$B$24,MATCH($D269,المنتجات!$A$5:$A$24,0)),""))</f>
        <v/>
      </c>
      <c r="G269" s="24"/>
      <c r="H269" s="25" t="str">
        <f aca="false">IF($D269="","",IFERROR(INDEX(المنتجات!$F$5:$F$24,MATCH($D269,المنتجات!$A$5:$A$24,0)),0))</f>
        <v/>
      </c>
      <c r="I269" s="30"/>
      <c r="J269" s="25" t="str">
        <f aca="false">IF($D269="","",N(G269)*H269-N(I269))</f>
        <v/>
      </c>
      <c r="K269" s="25" t="str">
        <f aca="false">IF($D269="","",N(G269)*IFERROR(INDEX(المنتجات!$H$5:$H$24,MATCH($D269,المنتجات!$A$5:$A$24,0)),0))</f>
        <v/>
      </c>
      <c r="L269" s="25" t="str">
        <f aca="false">IF($D269="","",J269-K269)</f>
        <v/>
      </c>
      <c r="M269" s="29"/>
      <c r="N269" s="29"/>
    </row>
    <row r="270" customFormat="false" ht="15" hidden="false" customHeight="false" outlineLevel="0" collapsed="false">
      <c r="A270" s="32"/>
      <c r="B270" s="29"/>
      <c r="C270" s="29"/>
      <c r="D270" s="29"/>
      <c r="E270" s="28" t="str">
        <f aca="false">IF($D270="","",IFERROR(INDEX(المنتجات!$C$5:$C$24,MATCH($D270,المنتجات!$A$5:$A$24,0)),"كود غير موجود"))</f>
        <v/>
      </c>
      <c r="F270" s="28" t="str">
        <f aca="false">IF($D270="","",IFERROR(INDEX(المنتجات!$B$5:$B$24,MATCH($D270,المنتجات!$A$5:$A$24,0)),""))</f>
        <v/>
      </c>
      <c r="G270" s="24"/>
      <c r="H270" s="25" t="str">
        <f aca="false">IF($D270="","",IFERROR(INDEX(المنتجات!$F$5:$F$24,MATCH($D270,المنتجات!$A$5:$A$24,0)),0))</f>
        <v/>
      </c>
      <c r="I270" s="30"/>
      <c r="J270" s="25" t="str">
        <f aca="false">IF($D270="","",N(G270)*H270-N(I270))</f>
        <v/>
      </c>
      <c r="K270" s="25" t="str">
        <f aca="false">IF($D270="","",N(G270)*IFERROR(INDEX(المنتجات!$H$5:$H$24,MATCH($D270,المنتجات!$A$5:$A$24,0)),0))</f>
        <v/>
      </c>
      <c r="L270" s="25" t="str">
        <f aca="false">IF($D270="","",J270-K270)</f>
        <v/>
      </c>
      <c r="M270" s="29"/>
      <c r="N270" s="29"/>
    </row>
    <row r="271" customFormat="false" ht="15" hidden="false" customHeight="false" outlineLevel="0" collapsed="false">
      <c r="A271" s="32"/>
      <c r="B271" s="29"/>
      <c r="C271" s="29"/>
      <c r="D271" s="29"/>
      <c r="E271" s="28" t="str">
        <f aca="false">IF($D271="","",IFERROR(INDEX(المنتجات!$C$5:$C$24,MATCH($D271,المنتجات!$A$5:$A$24,0)),"كود غير موجود"))</f>
        <v/>
      </c>
      <c r="F271" s="28" t="str">
        <f aca="false">IF($D271="","",IFERROR(INDEX(المنتجات!$B$5:$B$24,MATCH($D271,المنتجات!$A$5:$A$24,0)),""))</f>
        <v/>
      </c>
      <c r="G271" s="24"/>
      <c r="H271" s="25" t="str">
        <f aca="false">IF($D271="","",IFERROR(INDEX(المنتجات!$F$5:$F$24,MATCH($D271,المنتجات!$A$5:$A$24,0)),0))</f>
        <v/>
      </c>
      <c r="I271" s="30"/>
      <c r="J271" s="25" t="str">
        <f aca="false">IF($D271="","",N(G271)*H271-N(I271))</f>
        <v/>
      </c>
      <c r="K271" s="25" t="str">
        <f aca="false">IF($D271="","",N(G271)*IFERROR(INDEX(المنتجات!$H$5:$H$24,MATCH($D271,المنتجات!$A$5:$A$24,0)),0))</f>
        <v/>
      </c>
      <c r="L271" s="25" t="str">
        <f aca="false">IF($D271="","",J271-K271)</f>
        <v/>
      </c>
      <c r="M271" s="29"/>
      <c r="N271" s="29"/>
    </row>
    <row r="272" customFormat="false" ht="15" hidden="false" customHeight="false" outlineLevel="0" collapsed="false">
      <c r="A272" s="32"/>
      <c r="B272" s="29"/>
      <c r="C272" s="29"/>
      <c r="D272" s="29"/>
      <c r="E272" s="28" t="str">
        <f aca="false">IF($D272="","",IFERROR(INDEX(المنتجات!$C$5:$C$24,MATCH($D272,المنتجات!$A$5:$A$24,0)),"كود غير موجود"))</f>
        <v/>
      </c>
      <c r="F272" s="28" t="str">
        <f aca="false">IF($D272="","",IFERROR(INDEX(المنتجات!$B$5:$B$24,MATCH($D272,المنتجات!$A$5:$A$24,0)),""))</f>
        <v/>
      </c>
      <c r="G272" s="24"/>
      <c r="H272" s="25" t="str">
        <f aca="false">IF($D272="","",IFERROR(INDEX(المنتجات!$F$5:$F$24,MATCH($D272,المنتجات!$A$5:$A$24,0)),0))</f>
        <v/>
      </c>
      <c r="I272" s="30"/>
      <c r="J272" s="25" t="str">
        <f aca="false">IF($D272="","",N(G272)*H272-N(I272))</f>
        <v/>
      </c>
      <c r="K272" s="25" t="str">
        <f aca="false">IF($D272="","",N(G272)*IFERROR(INDEX(المنتجات!$H$5:$H$24,MATCH($D272,المنتجات!$A$5:$A$24,0)),0))</f>
        <v/>
      </c>
      <c r="L272" s="25" t="str">
        <f aca="false">IF($D272="","",J272-K272)</f>
        <v/>
      </c>
      <c r="M272" s="29"/>
      <c r="N272" s="29"/>
    </row>
    <row r="273" customFormat="false" ht="15" hidden="false" customHeight="false" outlineLevel="0" collapsed="false">
      <c r="A273" s="32"/>
      <c r="B273" s="29"/>
      <c r="C273" s="29"/>
      <c r="D273" s="29"/>
      <c r="E273" s="28" t="str">
        <f aca="false">IF($D273="","",IFERROR(INDEX(المنتجات!$C$5:$C$24,MATCH($D273,المنتجات!$A$5:$A$24,0)),"كود غير موجود"))</f>
        <v/>
      </c>
      <c r="F273" s="28" t="str">
        <f aca="false">IF($D273="","",IFERROR(INDEX(المنتجات!$B$5:$B$24,MATCH($D273,المنتجات!$A$5:$A$24,0)),""))</f>
        <v/>
      </c>
      <c r="G273" s="24"/>
      <c r="H273" s="25" t="str">
        <f aca="false">IF($D273="","",IFERROR(INDEX(المنتجات!$F$5:$F$24,MATCH($D273,المنتجات!$A$5:$A$24,0)),0))</f>
        <v/>
      </c>
      <c r="I273" s="30"/>
      <c r="J273" s="25" t="str">
        <f aca="false">IF($D273="","",N(G273)*H273-N(I273))</f>
        <v/>
      </c>
      <c r="K273" s="25" t="str">
        <f aca="false">IF($D273="","",N(G273)*IFERROR(INDEX(المنتجات!$H$5:$H$24,MATCH($D273,المنتجات!$A$5:$A$24,0)),0))</f>
        <v/>
      </c>
      <c r="L273" s="25" t="str">
        <f aca="false">IF($D273="","",J273-K273)</f>
        <v/>
      </c>
      <c r="M273" s="29"/>
      <c r="N273" s="29"/>
    </row>
    <row r="274" customFormat="false" ht="15" hidden="false" customHeight="false" outlineLevel="0" collapsed="false">
      <c r="A274" s="32"/>
      <c r="B274" s="29"/>
      <c r="C274" s="29"/>
      <c r="D274" s="29"/>
      <c r="E274" s="28" t="str">
        <f aca="false">IF($D274="","",IFERROR(INDEX(المنتجات!$C$5:$C$24,MATCH($D274,المنتجات!$A$5:$A$24,0)),"كود غير موجود"))</f>
        <v/>
      </c>
      <c r="F274" s="28" t="str">
        <f aca="false">IF($D274="","",IFERROR(INDEX(المنتجات!$B$5:$B$24,MATCH($D274,المنتجات!$A$5:$A$24,0)),""))</f>
        <v/>
      </c>
      <c r="G274" s="24"/>
      <c r="H274" s="25" t="str">
        <f aca="false">IF($D274="","",IFERROR(INDEX(المنتجات!$F$5:$F$24,MATCH($D274,المنتجات!$A$5:$A$24,0)),0))</f>
        <v/>
      </c>
      <c r="I274" s="30"/>
      <c r="J274" s="25" t="str">
        <f aca="false">IF($D274="","",N(G274)*H274-N(I274))</f>
        <v/>
      </c>
      <c r="K274" s="25" t="str">
        <f aca="false">IF($D274="","",N(G274)*IFERROR(INDEX(المنتجات!$H$5:$H$24,MATCH($D274,المنتجات!$A$5:$A$24,0)),0))</f>
        <v/>
      </c>
      <c r="L274" s="25" t="str">
        <f aca="false">IF($D274="","",J274-K274)</f>
        <v/>
      </c>
      <c r="M274" s="29"/>
      <c r="N274" s="29"/>
    </row>
    <row r="275" customFormat="false" ht="15" hidden="false" customHeight="false" outlineLevel="0" collapsed="false">
      <c r="A275" s="32"/>
      <c r="B275" s="29"/>
      <c r="C275" s="29"/>
      <c r="D275" s="29"/>
      <c r="E275" s="28" t="str">
        <f aca="false">IF($D275="","",IFERROR(INDEX(المنتجات!$C$5:$C$24,MATCH($D275,المنتجات!$A$5:$A$24,0)),"كود غير موجود"))</f>
        <v/>
      </c>
      <c r="F275" s="28" t="str">
        <f aca="false">IF($D275="","",IFERROR(INDEX(المنتجات!$B$5:$B$24,MATCH($D275,المنتجات!$A$5:$A$24,0)),""))</f>
        <v/>
      </c>
      <c r="G275" s="24"/>
      <c r="H275" s="25" t="str">
        <f aca="false">IF($D275="","",IFERROR(INDEX(المنتجات!$F$5:$F$24,MATCH($D275,المنتجات!$A$5:$A$24,0)),0))</f>
        <v/>
      </c>
      <c r="I275" s="30"/>
      <c r="J275" s="25" t="str">
        <f aca="false">IF($D275="","",N(G275)*H275-N(I275))</f>
        <v/>
      </c>
      <c r="K275" s="25" t="str">
        <f aca="false">IF($D275="","",N(G275)*IFERROR(INDEX(المنتجات!$H$5:$H$24,MATCH($D275,المنتجات!$A$5:$A$24,0)),0))</f>
        <v/>
      </c>
      <c r="L275" s="25" t="str">
        <f aca="false">IF($D275="","",J275-K275)</f>
        <v/>
      </c>
      <c r="M275" s="29"/>
      <c r="N275" s="29"/>
    </row>
    <row r="276" customFormat="false" ht="15" hidden="false" customHeight="false" outlineLevel="0" collapsed="false">
      <c r="A276" s="32"/>
      <c r="B276" s="29"/>
      <c r="C276" s="29"/>
      <c r="D276" s="29"/>
      <c r="E276" s="28" t="str">
        <f aca="false">IF($D276="","",IFERROR(INDEX(المنتجات!$C$5:$C$24,MATCH($D276,المنتجات!$A$5:$A$24,0)),"كود غير موجود"))</f>
        <v/>
      </c>
      <c r="F276" s="28" t="str">
        <f aca="false">IF($D276="","",IFERROR(INDEX(المنتجات!$B$5:$B$24,MATCH($D276,المنتجات!$A$5:$A$24,0)),""))</f>
        <v/>
      </c>
      <c r="G276" s="24"/>
      <c r="H276" s="25" t="str">
        <f aca="false">IF($D276="","",IFERROR(INDEX(المنتجات!$F$5:$F$24,MATCH($D276,المنتجات!$A$5:$A$24,0)),0))</f>
        <v/>
      </c>
      <c r="I276" s="30"/>
      <c r="J276" s="25" t="str">
        <f aca="false">IF($D276="","",N(G276)*H276-N(I276))</f>
        <v/>
      </c>
      <c r="K276" s="25" t="str">
        <f aca="false">IF($D276="","",N(G276)*IFERROR(INDEX(المنتجات!$H$5:$H$24,MATCH($D276,المنتجات!$A$5:$A$24,0)),0))</f>
        <v/>
      </c>
      <c r="L276" s="25" t="str">
        <f aca="false">IF($D276="","",J276-K276)</f>
        <v/>
      </c>
      <c r="M276" s="29"/>
      <c r="N276" s="29"/>
    </row>
    <row r="277" customFormat="false" ht="15" hidden="false" customHeight="false" outlineLevel="0" collapsed="false">
      <c r="A277" s="32"/>
      <c r="B277" s="29"/>
      <c r="C277" s="29"/>
      <c r="D277" s="29"/>
      <c r="E277" s="28" t="str">
        <f aca="false">IF($D277="","",IFERROR(INDEX(المنتجات!$C$5:$C$24,MATCH($D277,المنتجات!$A$5:$A$24,0)),"كود غير موجود"))</f>
        <v/>
      </c>
      <c r="F277" s="28" t="str">
        <f aca="false">IF($D277="","",IFERROR(INDEX(المنتجات!$B$5:$B$24,MATCH($D277,المنتجات!$A$5:$A$24,0)),""))</f>
        <v/>
      </c>
      <c r="G277" s="24"/>
      <c r="H277" s="25" t="str">
        <f aca="false">IF($D277="","",IFERROR(INDEX(المنتجات!$F$5:$F$24,MATCH($D277,المنتجات!$A$5:$A$24,0)),0))</f>
        <v/>
      </c>
      <c r="I277" s="30"/>
      <c r="J277" s="25" t="str">
        <f aca="false">IF($D277="","",N(G277)*H277-N(I277))</f>
        <v/>
      </c>
      <c r="K277" s="25" t="str">
        <f aca="false">IF($D277="","",N(G277)*IFERROR(INDEX(المنتجات!$H$5:$H$24,MATCH($D277,المنتجات!$A$5:$A$24,0)),0))</f>
        <v/>
      </c>
      <c r="L277" s="25" t="str">
        <f aca="false">IF($D277="","",J277-K277)</f>
        <v/>
      </c>
      <c r="M277" s="29"/>
      <c r="N277" s="29"/>
    </row>
    <row r="278" customFormat="false" ht="15" hidden="false" customHeight="false" outlineLevel="0" collapsed="false">
      <c r="A278" s="32"/>
      <c r="B278" s="29"/>
      <c r="C278" s="29"/>
      <c r="D278" s="29"/>
      <c r="E278" s="28" t="str">
        <f aca="false">IF($D278="","",IFERROR(INDEX(المنتجات!$C$5:$C$24,MATCH($D278,المنتجات!$A$5:$A$24,0)),"كود غير موجود"))</f>
        <v/>
      </c>
      <c r="F278" s="28" t="str">
        <f aca="false">IF($D278="","",IFERROR(INDEX(المنتجات!$B$5:$B$24,MATCH($D278,المنتجات!$A$5:$A$24,0)),""))</f>
        <v/>
      </c>
      <c r="G278" s="24"/>
      <c r="H278" s="25" t="str">
        <f aca="false">IF($D278="","",IFERROR(INDEX(المنتجات!$F$5:$F$24,MATCH($D278,المنتجات!$A$5:$A$24,0)),0))</f>
        <v/>
      </c>
      <c r="I278" s="30"/>
      <c r="J278" s="25" t="str">
        <f aca="false">IF($D278="","",N(G278)*H278-N(I278))</f>
        <v/>
      </c>
      <c r="K278" s="25" t="str">
        <f aca="false">IF($D278="","",N(G278)*IFERROR(INDEX(المنتجات!$H$5:$H$24,MATCH($D278,المنتجات!$A$5:$A$24,0)),0))</f>
        <v/>
      </c>
      <c r="L278" s="25" t="str">
        <f aca="false">IF($D278="","",J278-K278)</f>
        <v/>
      </c>
      <c r="M278" s="29"/>
      <c r="N278" s="29"/>
    </row>
    <row r="279" customFormat="false" ht="15" hidden="false" customHeight="false" outlineLevel="0" collapsed="false">
      <c r="A279" s="32"/>
      <c r="B279" s="29"/>
      <c r="C279" s="29"/>
      <c r="D279" s="29"/>
      <c r="E279" s="28" t="str">
        <f aca="false">IF($D279="","",IFERROR(INDEX(المنتجات!$C$5:$C$24,MATCH($D279,المنتجات!$A$5:$A$24,0)),"كود غير موجود"))</f>
        <v/>
      </c>
      <c r="F279" s="28" t="str">
        <f aca="false">IF($D279="","",IFERROR(INDEX(المنتجات!$B$5:$B$24,MATCH($D279,المنتجات!$A$5:$A$24,0)),""))</f>
        <v/>
      </c>
      <c r="G279" s="24"/>
      <c r="H279" s="25" t="str">
        <f aca="false">IF($D279="","",IFERROR(INDEX(المنتجات!$F$5:$F$24,MATCH($D279,المنتجات!$A$5:$A$24,0)),0))</f>
        <v/>
      </c>
      <c r="I279" s="30"/>
      <c r="J279" s="25" t="str">
        <f aca="false">IF($D279="","",N(G279)*H279-N(I279))</f>
        <v/>
      </c>
      <c r="K279" s="25" t="str">
        <f aca="false">IF($D279="","",N(G279)*IFERROR(INDEX(المنتجات!$H$5:$H$24,MATCH($D279,المنتجات!$A$5:$A$24,0)),0))</f>
        <v/>
      </c>
      <c r="L279" s="25" t="str">
        <f aca="false">IF($D279="","",J279-K279)</f>
        <v/>
      </c>
      <c r="M279" s="29"/>
      <c r="N279" s="29"/>
    </row>
    <row r="280" customFormat="false" ht="15" hidden="false" customHeight="false" outlineLevel="0" collapsed="false">
      <c r="A280" s="32"/>
      <c r="B280" s="29"/>
      <c r="C280" s="29"/>
      <c r="D280" s="29"/>
      <c r="E280" s="28" t="str">
        <f aca="false">IF($D280="","",IFERROR(INDEX(المنتجات!$C$5:$C$24,MATCH($D280,المنتجات!$A$5:$A$24,0)),"كود غير موجود"))</f>
        <v/>
      </c>
      <c r="F280" s="28" t="str">
        <f aca="false">IF($D280="","",IFERROR(INDEX(المنتجات!$B$5:$B$24,MATCH($D280,المنتجات!$A$5:$A$24,0)),""))</f>
        <v/>
      </c>
      <c r="G280" s="24"/>
      <c r="H280" s="25" t="str">
        <f aca="false">IF($D280="","",IFERROR(INDEX(المنتجات!$F$5:$F$24,MATCH($D280,المنتجات!$A$5:$A$24,0)),0))</f>
        <v/>
      </c>
      <c r="I280" s="30"/>
      <c r="J280" s="25" t="str">
        <f aca="false">IF($D280="","",N(G280)*H280-N(I280))</f>
        <v/>
      </c>
      <c r="K280" s="25" t="str">
        <f aca="false">IF($D280="","",N(G280)*IFERROR(INDEX(المنتجات!$H$5:$H$24,MATCH($D280,المنتجات!$A$5:$A$24,0)),0))</f>
        <v/>
      </c>
      <c r="L280" s="25" t="str">
        <f aca="false">IF($D280="","",J280-K280)</f>
        <v/>
      </c>
      <c r="M280" s="29"/>
      <c r="N280" s="29"/>
    </row>
    <row r="281" customFormat="false" ht="15" hidden="false" customHeight="false" outlineLevel="0" collapsed="false">
      <c r="A281" s="32"/>
      <c r="B281" s="29"/>
      <c r="C281" s="29"/>
      <c r="D281" s="29"/>
      <c r="E281" s="28" t="str">
        <f aca="false">IF($D281="","",IFERROR(INDEX(المنتجات!$C$5:$C$24,MATCH($D281,المنتجات!$A$5:$A$24,0)),"كود غير موجود"))</f>
        <v/>
      </c>
      <c r="F281" s="28" t="str">
        <f aca="false">IF($D281="","",IFERROR(INDEX(المنتجات!$B$5:$B$24,MATCH($D281,المنتجات!$A$5:$A$24,0)),""))</f>
        <v/>
      </c>
      <c r="G281" s="24"/>
      <c r="H281" s="25" t="str">
        <f aca="false">IF($D281="","",IFERROR(INDEX(المنتجات!$F$5:$F$24,MATCH($D281,المنتجات!$A$5:$A$24,0)),0))</f>
        <v/>
      </c>
      <c r="I281" s="30"/>
      <c r="J281" s="25" t="str">
        <f aca="false">IF($D281="","",N(G281)*H281-N(I281))</f>
        <v/>
      </c>
      <c r="K281" s="25" t="str">
        <f aca="false">IF($D281="","",N(G281)*IFERROR(INDEX(المنتجات!$H$5:$H$24,MATCH($D281,المنتجات!$A$5:$A$24,0)),0))</f>
        <v/>
      </c>
      <c r="L281" s="25" t="str">
        <f aca="false">IF($D281="","",J281-K281)</f>
        <v/>
      </c>
      <c r="M281" s="29"/>
      <c r="N281" s="29"/>
    </row>
    <row r="282" customFormat="false" ht="15" hidden="false" customHeight="false" outlineLevel="0" collapsed="false">
      <c r="A282" s="32"/>
      <c r="B282" s="29"/>
      <c r="C282" s="29"/>
      <c r="D282" s="29"/>
      <c r="E282" s="28" t="str">
        <f aca="false">IF($D282="","",IFERROR(INDEX(المنتجات!$C$5:$C$24,MATCH($D282,المنتجات!$A$5:$A$24,0)),"كود غير موجود"))</f>
        <v/>
      </c>
      <c r="F282" s="28" t="str">
        <f aca="false">IF($D282="","",IFERROR(INDEX(المنتجات!$B$5:$B$24,MATCH($D282,المنتجات!$A$5:$A$24,0)),""))</f>
        <v/>
      </c>
      <c r="G282" s="24"/>
      <c r="H282" s="25" t="str">
        <f aca="false">IF($D282="","",IFERROR(INDEX(المنتجات!$F$5:$F$24,MATCH($D282,المنتجات!$A$5:$A$24,0)),0))</f>
        <v/>
      </c>
      <c r="I282" s="30"/>
      <c r="J282" s="25" t="str">
        <f aca="false">IF($D282="","",N(G282)*H282-N(I282))</f>
        <v/>
      </c>
      <c r="K282" s="25" t="str">
        <f aca="false">IF($D282="","",N(G282)*IFERROR(INDEX(المنتجات!$H$5:$H$24,MATCH($D282,المنتجات!$A$5:$A$24,0)),0))</f>
        <v/>
      </c>
      <c r="L282" s="25" t="str">
        <f aca="false">IF($D282="","",J282-K282)</f>
        <v/>
      </c>
      <c r="M282" s="29"/>
      <c r="N282" s="29"/>
    </row>
    <row r="283" customFormat="false" ht="15" hidden="false" customHeight="false" outlineLevel="0" collapsed="false">
      <c r="A283" s="32"/>
      <c r="B283" s="29"/>
      <c r="C283" s="29"/>
      <c r="D283" s="29"/>
      <c r="E283" s="28" t="str">
        <f aca="false">IF($D283="","",IFERROR(INDEX(المنتجات!$C$5:$C$24,MATCH($D283,المنتجات!$A$5:$A$24,0)),"كود غير موجود"))</f>
        <v/>
      </c>
      <c r="F283" s="28" t="str">
        <f aca="false">IF($D283="","",IFERROR(INDEX(المنتجات!$B$5:$B$24,MATCH($D283,المنتجات!$A$5:$A$24,0)),""))</f>
        <v/>
      </c>
      <c r="G283" s="24"/>
      <c r="H283" s="25" t="str">
        <f aca="false">IF($D283="","",IFERROR(INDEX(المنتجات!$F$5:$F$24,MATCH($D283,المنتجات!$A$5:$A$24,0)),0))</f>
        <v/>
      </c>
      <c r="I283" s="30"/>
      <c r="J283" s="25" t="str">
        <f aca="false">IF($D283="","",N(G283)*H283-N(I283))</f>
        <v/>
      </c>
      <c r="K283" s="25" t="str">
        <f aca="false">IF($D283="","",N(G283)*IFERROR(INDEX(المنتجات!$H$5:$H$24,MATCH($D283,المنتجات!$A$5:$A$24,0)),0))</f>
        <v/>
      </c>
      <c r="L283" s="25" t="str">
        <f aca="false">IF($D283="","",J283-K283)</f>
        <v/>
      </c>
      <c r="M283" s="29"/>
      <c r="N283" s="29"/>
    </row>
    <row r="284" customFormat="false" ht="15" hidden="false" customHeight="false" outlineLevel="0" collapsed="false">
      <c r="A284" s="32"/>
      <c r="B284" s="29"/>
      <c r="C284" s="29"/>
      <c r="D284" s="29"/>
      <c r="E284" s="28" t="str">
        <f aca="false">IF($D284="","",IFERROR(INDEX(المنتجات!$C$5:$C$24,MATCH($D284,المنتجات!$A$5:$A$24,0)),"كود غير موجود"))</f>
        <v/>
      </c>
      <c r="F284" s="28" t="str">
        <f aca="false">IF($D284="","",IFERROR(INDEX(المنتجات!$B$5:$B$24,MATCH($D284,المنتجات!$A$5:$A$24,0)),""))</f>
        <v/>
      </c>
      <c r="G284" s="24"/>
      <c r="H284" s="25" t="str">
        <f aca="false">IF($D284="","",IFERROR(INDEX(المنتجات!$F$5:$F$24,MATCH($D284,المنتجات!$A$5:$A$24,0)),0))</f>
        <v/>
      </c>
      <c r="I284" s="30"/>
      <c r="J284" s="25" t="str">
        <f aca="false">IF($D284="","",N(G284)*H284-N(I284))</f>
        <v/>
      </c>
      <c r="K284" s="25" t="str">
        <f aca="false">IF($D284="","",N(G284)*IFERROR(INDEX(المنتجات!$H$5:$H$24,MATCH($D284,المنتجات!$A$5:$A$24,0)),0))</f>
        <v/>
      </c>
      <c r="L284" s="25" t="str">
        <f aca="false">IF($D284="","",J284-K284)</f>
        <v/>
      </c>
      <c r="M284" s="29"/>
      <c r="N284" s="29"/>
    </row>
    <row r="285" customFormat="false" ht="15" hidden="false" customHeight="false" outlineLevel="0" collapsed="false">
      <c r="A285" s="32"/>
      <c r="B285" s="29"/>
      <c r="C285" s="29"/>
      <c r="D285" s="29"/>
      <c r="E285" s="28" t="str">
        <f aca="false">IF($D285="","",IFERROR(INDEX(المنتجات!$C$5:$C$24,MATCH($D285,المنتجات!$A$5:$A$24,0)),"كود غير موجود"))</f>
        <v/>
      </c>
      <c r="F285" s="28" t="str">
        <f aca="false">IF($D285="","",IFERROR(INDEX(المنتجات!$B$5:$B$24,MATCH($D285,المنتجات!$A$5:$A$24,0)),""))</f>
        <v/>
      </c>
      <c r="G285" s="24"/>
      <c r="H285" s="25" t="str">
        <f aca="false">IF($D285="","",IFERROR(INDEX(المنتجات!$F$5:$F$24,MATCH($D285,المنتجات!$A$5:$A$24,0)),0))</f>
        <v/>
      </c>
      <c r="I285" s="30"/>
      <c r="J285" s="25" t="str">
        <f aca="false">IF($D285="","",N(G285)*H285-N(I285))</f>
        <v/>
      </c>
      <c r="K285" s="25" t="str">
        <f aca="false">IF($D285="","",N(G285)*IFERROR(INDEX(المنتجات!$H$5:$H$24,MATCH($D285,المنتجات!$A$5:$A$24,0)),0))</f>
        <v/>
      </c>
      <c r="L285" s="25" t="str">
        <f aca="false">IF($D285="","",J285-K285)</f>
        <v/>
      </c>
      <c r="M285" s="29"/>
      <c r="N285" s="29"/>
    </row>
    <row r="286" customFormat="false" ht="15" hidden="false" customHeight="false" outlineLevel="0" collapsed="false">
      <c r="A286" s="32"/>
      <c r="B286" s="29"/>
      <c r="C286" s="29"/>
      <c r="D286" s="29"/>
      <c r="E286" s="28" t="str">
        <f aca="false">IF($D286="","",IFERROR(INDEX(المنتجات!$C$5:$C$24,MATCH($D286,المنتجات!$A$5:$A$24,0)),"كود غير موجود"))</f>
        <v/>
      </c>
      <c r="F286" s="28" t="str">
        <f aca="false">IF($D286="","",IFERROR(INDEX(المنتجات!$B$5:$B$24,MATCH($D286,المنتجات!$A$5:$A$24,0)),""))</f>
        <v/>
      </c>
      <c r="G286" s="24"/>
      <c r="H286" s="25" t="str">
        <f aca="false">IF($D286="","",IFERROR(INDEX(المنتجات!$F$5:$F$24,MATCH($D286,المنتجات!$A$5:$A$24,0)),0))</f>
        <v/>
      </c>
      <c r="I286" s="30"/>
      <c r="J286" s="25" t="str">
        <f aca="false">IF($D286="","",N(G286)*H286-N(I286))</f>
        <v/>
      </c>
      <c r="K286" s="25" t="str">
        <f aca="false">IF($D286="","",N(G286)*IFERROR(INDEX(المنتجات!$H$5:$H$24,MATCH($D286,المنتجات!$A$5:$A$24,0)),0))</f>
        <v/>
      </c>
      <c r="L286" s="25" t="str">
        <f aca="false">IF($D286="","",J286-K286)</f>
        <v/>
      </c>
      <c r="M286" s="29"/>
      <c r="N286" s="29"/>
    </row>
    <row r="287" customFormat="false" ht="15" hidden="false" customHeight="false" outlineLevel="0" collapsed="false">
      <c r="A287" s="32"/>
      <c r="B287" s="29"/>
      <c r="C287" s="29"/>
      <c r="D287" s="29"/>
      <c r="E287" s="28" t="str">
        <f aca="false">IF($D287="","",IFERROR(INDEX(المنتجات!$C$5:$C$24,MATCH($D287,المنتجات!$A$5:$A$24,0)),"كود غير موجود"))</f>
        <v/>
      </c>
      <c r="F287" s="28" t="str">
        <f aca="false">IF($D287="","",IFERROR(INDEX(المنتجات!$B$5:$B$24,MATCH($D287,المنتجات!$A$5:$A$24,0)),""))</f>
        <v/>
      </c>
      <c r="G287" s="24"/>
      <c r="H287" s="25" t="str">
        <f aca="false">IF($D287="","",IFERROR(INDEX(المنتجات!$F$5:$F$24,MATCH($D287,المنتجات!$A$5:$A$24,0)),0))</f>
        <v/>
      </c>
      <c r="I287" s="30"/>
      <c r="J287" s="25" t="str">
        <f aca="false">IF($D287="","",N(G287)*H287-N(I287))</f>
        <v/>
      </c>
      <c r="K287" s="25" t="str">
        <f aca="false">IF($D287="","",N(G287)*IFERROR(INDEX(المنتجات!$H$5:$H$24,MATCH($D287,المنتجات!$A$5:$A$24,0)),0))</f>
        <v/>
      </c>
      <c r="L287" s="25" t="str">
        <f aca="false">IF($D287="","",J287-K287)</f>
        <v/>
      </c>
      <c r="M287" s="29"/>
      <c r="N287" s="29"/>
    </row>
    <row r="288" customFormat="false" ht="15" hidden="false" customHeight="false" outlineLevel="0" collapsed="false">
      <c r="A288" s="32"/>
      <c r="B288" s="29"/>
      <c r="C288" s="29"/>
      <c r="D288" s="29"/>
      <c r="E288" s="28" t="str">
        <f aca="false">IF($D288="","",IFERROR(INDEX(المنتجات!$C$5:$C$24,MATCH($D288,المنتجات!$A$5:$A$24,0)),"كود غير موجود"))</f>
        <v/>
      </c>
      <c r="F288" s="28" t="str">
        <f aca="false">IF($D288="","",IFERROR(INDEX(المنتجات!$B$5:$B$24,MATCH($D288,المنتجات!$A$5:$A$24,0)),""))</f>
        <v/>
      </c>
      <c r="G288" s="24"/>
      <c r="H288" s="25" t="str">
        <f aca="false">IF($D288="","",IFERROR(INDEX(المنتجات!$F$5:$F$24,MATCH($D288,المنتجات!$A$5:$A$24,0)),0))</f>
        <v/>
      </c>
      <c r="I288" s="30"/>
      <c r="J288" s="25" t="str">
        <f aca="false">IF($D288="","",N(G288)*H288-N(I288))</f>
        <v/>
      </c>
      <c r="K288" s="25" t="str">
        <f aca="false">IF($D288="","",N(G288)*IFERROR(INDEX(المنتجات!$H$5:$H$24,MATCH($D288,المنتجات!$A$5:$A$24,0)),0))</f>
        <v/>
      </c>
      <c r="L288" s="25" t="str">
        <f aca="false">IF($D288="","",J288-K288)</f>
        <v/>
      </c>
      <c r="M288" s="29"/>
      <c r="N288" s="29"/>
    </row>
    <row r="289" customFormat="false" ht="15" hidden="false" customHeight="false" outlineLevel="0" collapsed="false">
      <c r="A289" s="32"/>
      <c r="B289" s="29"/>
      <c r="C289" s="29"/>
      <c r="D289" s="29"/>
      <c r="E289" s="28" t="str">
        <f aca="false">IF($D289="","",IFERROR(INDEX(المنتجات!$C$5:$C$24,MATCH($D289,المنتجات!$A$5:$A$24,0)),"كود غير موجود"))</f>
        <v/>
      </c>
      <c r="F289" s="28" t="str">
        <f aca="false">IF($D289="","",IFERROR(INDEX(المنتجات!$B$5:$B$24,MATCH($D289,المنتجات!$A$5:$A$24,0)),""))</f>
        <v/>
      </c>
      <c r="G289" s="24"/>
      <c r="H289" s="25" t="str">
        <f aca="false">IF($D289="","",IFERROR(INDEX(المنتجات!$F$5:$F$24,MATCH($D289,المنتجات!$A$5:$A$24,0)),0))</f>
        <v/>
      </c>
      <c r="I289" s="30"/>
      <c r="J289" s="25" t="str">
        <f aca="false">IF($D289="","",N(G289)*H289-N(I289))</f>
        <v/>
      </c>
      <c r="K289" s="25" t="str">
        <f aca="false">IF($D289="","",N(G289)*IFERROR(INDEX(المنتجات!$H$5:$H$24,MATCH($D289,المنتجات!$A$5:$A$24,0)),0))</f>
        <v/>
      </c>
      <c r="L289" s="25" t="str">
        <f aca="false">IF($D289="","",J289-K289)</f>
        <v/>
      </c>
      <c r="M289" s="29"/>
      <c r="N289" s="29"/>
    </row>
    <row r="290" customFormat="false" ht="15" hidden="false" customHeight="false" outlineLevel="0" collapsed="false">
      <c r="A290" s="32"/>
      <c r="B290" s="29"/>
      <c r="C290" s="29"/>
      <c r="D290" s="29"/>
      <c r="E290" s="28" t="str">
        <f aca="false">IF($D290="","",IFERROR(INDEX(المنتجات!$C$5:$C$24,MATCH($D290,المنتجات!$A$5:$A$24,0)),"كود غير موجود"))</f>
        <v/>
      </c>
      <c r="F290" s="28" t="str">
        <f aca="false">IF($D290="","",IFERROR(INDEX(المنتجات!$B$5:$B$24,MATCH($D290,المنتجات!$A$5:$A$24,0)),""))</f>
        <v/>
      </c>
      <c r="G290" s="24"/>
      <c r="H290" s="25" t="str">
        <f aca="false">IF($D290="","",IFERROR(INDEX(المنتجات!$F$5:$F$24,MATCH($D290,المنتجات!$A$5:$A$24,0)),0))</f>
        <v/>
      </c>
      <c r="I290" s="30"/>
      <c r="J290" s="25" t="str">
        <f aca="false">IF($D290="","",N(G290)*H290-N(I290))</f>
        <v/>
      </c>
      <c r="K290" s="25" t="str">
        <f aca="false">IF($D290="","",N(G290)*IFERROR(INDEX(المنتجات!$H$5:$H$24,MATCH($D290,المنتجات!$A$5:$A$24,0)),0))</f>
        <v/>
      </c>
      <c r="L290" s="25" t="str">
        <f aca="false">IF($D290="","",J290-K290)</f>
        <v/>
      </c>
      <c r="M290" s="29"/>
      <c r="N290" s="29"/>
    </row>
    <row r="291" customFormat="false" ht="15" hidden="false" customHeight="false" outlineLevel="0" collapsed="false">
      <c r="A291" s="32"/>
      <c r="B291" s="29"/>
      <c r="C291" s="29"/>
      <c r="D291" s="29"/>
      <c r="E291" s="28" t="str">
        <f aca="false">IF($D291="","",IFERROR(INDEX(المنتجات!$C$5:$C$24,MATCH($D291,المنتجات!$A$5:$A$24,0)),"كود غير موجود"))</f>
        <v/>
      </c>
      <c r="F291" s="28" t="str">
        <f aca="false">IF($D291="","",IFERROR(INDEX(المنتجات!$B$5:$B$24,MATCH($D291,المنتجات!$A$5:$A$24,0)),""))</f>
        <v/>
      </c>
      <c r="G291" s="24"/>
      <c r="H291" s="25" t="str">
        <f aca="false">IF($D291="","",IFERROR(INDEX(المنتجات!$F$5:$F$24,MATCH($D291,المنتجات!$A$5:$A$24,0)),0))</f>
        <v/>
      </c>
      <c r="I291" s="30"/>
      <c r="J291" s="25" t="str">
        <f aca="false">IF($D291="","",N(G291)*H291-N(I291))</f>
        <v/>
      </c>
      <c r="K291" s="25" t="str">
        <f aca="false">IF($D291="","",N(G291)*IFERROR(INDEX(المنتجات!$H$5:$H$24,MATCH($D291,المنتجات!$A$5:$A$24,0)),0))</f>
        <v/>
      </c>
      <c r="L291" s="25" t="str">
        <f aca="false">IF($D291="","",J291-K291)</f>
        <v/>
      </c>
      <c r="M291" s="29"/>
      <c r="N291" s="29"/>
    </row>
    <row r="292" customFormat="false" ht="15" hidden="false" customHeight="false" outlineLevel="0" collapsed="false">
      <c r="A292" s="32"/>
      <c r="B292" s="29"/>
      <c r="C292" s="29"/>
      <c r="D292" s="29"/>
      <c r="E292" s="28" t="str">
        <f aca="false">IF($D292="","",IFERROR(INDEX(المنتجات!$C$5:$C$24,MATCH($D292,المنتجات!$A$5:$A$24,0)),"كود غير موجود"))</f>
        <v/>
      </c>
      <c r="F292" s="28" t="str">
        <f aca="false">IF($D292="","",IFERROR(INDEX(المنتجات!$B$5:$B$24,MATCH($D292,المنتجات!$A$5:$A$24,0)),""))</f>
        <v/>
      </c>
      <c r="G292" s="24"/>
      <c r="H292" s="25" t="str">
        <f aca="false">IF($D292="","",IFERROR(INDEX(المنتجات!$F$5:$F$24,MATCH($D292,المنتجات!$A$5:$A$24,0)),0))</f>
        <v/>
      </c>
      <c r="I292" s="30"/>
      <c r="J292" s="25" t="str">
        <f aca="false">IF($D292="","",N(G292)*H292-N(I292))</f>
        <v/>
      </c>
      <c r="K292" s="25" t="str">
        <f aca="false">IF($D292="","",N(G292)*IFERROR(INDEX(المنتجات!$H$5:$H$24,MATCH($D292,المنتجات!$A$5:$A$24,0)),0))</f>
        <v/>
      </c>
      <c r="L292" s="25" t="str">
        <f aca="false">IF($D292="","",J292-K292)</f>
        <v/>
      </c>
      <c r="M292" s="29"/>
      <c r="N292" s="29"/>
    </row>
    <row r="293" customFormat="false" ht="15" hidden="false" customHeight="false" outlineLevel="0" collapsed="false">
      <c r="A293" s="32"/>
      <c r="B293" s="29"/>
      <c r="C293" s="29"/>
      <c r="D293" s="29"/>
      <c r="E293" s="28" t="str">
        <f aca="false">IF($D293="","",IFERROR(INDEX(المنتجات!$C$5:$C$24,MATCH($D293,المنتجات!$A$5:$A$24,0)),"كود غير موجود"))</f>
        <v/>
      </c>
      <c r="F293" s="28" t="str">
        <f aca="false">IF($D293="","",IFERROR(INDEX(المنتجات!$B$5:$B$24,MATCH($D293,المنتجات!$A$5:$A$24,0)),""))</f>
        <v/>
      </c>
      <c r="G293" s="24"/>
      <c r="H293" s="25" t="str">
        <f aca="false">IF($D293="","",IFERROR(INDEX(المنتجات!$F$5:$F$24,MATCH($D293,المنتجات!$A$5:$A$24,0)),0))</f>
        <v/>
      </c>
      <c r="I293" s="30"/>
      <c r="J293" s="25" t="str">
        <f aca="false">IF($D293="","",N(G293)*H293-N(I293))</f>
        <v/>
      </c>
      <c r="K293" s="25" t="str">
        <f aca="false">IF($D293="","",N(G293)*IFERROR(INDEX(المنتجات!$H$5:$H$24,MATCH($D293,المنتجات!$A$5:$A$24,0)),0))</f>
        <v/>
      </c>
      <c r="L293" s="25" t="str">
        <f aca="false">IF($D293="","",J293-K293)</f>
        <v/>
      </c>
      <c r="M293" s="29"/>
      <c r="N293" s="29"/>
    </row>
    <row r="294" customFormat="false" ht="15" hidden="false" customHeight="false" outlineLevel="0" collapsed="false">
      <c r="A294" s="32"/>
      <c r="B294" s="29"/>
      <c r="C294" s="29"/>
      <c r="D294" s="29"/>
      <c r="E294" s="28" t="str">
        <f aca="false">IF($D294="","",IFERROR(INDEX(المنتجات!$C$5:$C$24,MATCH($D294,المنتجات!$A$5:$A$24,0)),"كود غير موجود"))</f>
        <v/>
      </c>
      <c r="F294" s="28" t="str">
        <f aca="false">IF($D294="","",IFERROR(INDEX(المنتجات!$B$5:$B$24,MATCH($D294,المنتجات!$A$5:$A$24,0)),""))</f>
        <v/>
      </c>
      <c r="G294" s="24"/>
      <c r="H294" s="25" t="str">
        <f aca="false">IF($D294="","",IFERROR(INDEX(المنتجات!$F$5:$F$24,MATCH($D294,المنتجات!$A$5:$A$24,0)),0))</f>
        <v/>
      </c>
      <c r="I294" s="30"/>
      <c r="J294" s="25" t="str">
        <f aca="false">IF($D294="","",N(G294)*H294-N(I294))</f>
        <v/>
      </c>
      <c r="K294" s="25" t="str">
        <f aca="false">IF($D294="","",N(G294)*IFERROR(INDEX(المنتجات!$H$5:$H$24,MATCH($D294,المنتجات!$A$5:$A$24,0)),0))</f>
        <v/>
      </c>
      <c r="L294" s="25" t="str">
        <f aca="false">IF($D294="","",J294-K294)</f>
        <v/>
      </c>
      <c r="M294" s="29"/>
      <c r="N294" s="29"/>
    </row>
    <row r="295" customFormat="false" ht="15" hidden="false" customHeight="false" outlineLevel="0" collapsed="false">
      <c r="A295" s="32"/>
      <c r="B295" s="29"/>
      <c r="C295" s="29"/>
      <c r="D295" s="29"/>
      <c r="E295" s="28" t="str">
        <f aca="false">IF($D295="","",IFERROR(INDEX(المنتجات!$C$5:$C$24,MATCH($D295,المنتجات!$A$5:$A$24,0)),"كود غير موجود"))</f>
        <v/>
      </c>
      <c r="F295" s="28" t="str">
        <f aca="false">IF($D295="","",IFERROR(INDEX(المنتجات!$B$5:$B$24,MATCH($D295,المنتجات!$A$5:$A$24,0)),""))</f>
        <v/>
      </c>
      <c r="G295" s="24"/>
      <c r="H295" s="25" t="str">
        <f aca="false">IF($D295="","",IFERROR(INDEX(المنتجات!$F$5:$F$24,MATCH($D295,المنتجات!$A$5:$A$24,0)),0))</f>
        <v/>
      </c>
      <c r="I295" s="30"/>
      <c r="J295" s="25" t="str">
        <f aca="false">IF($D295="","",N(G295)*H295-N(I295))</f>
        <v/>
      </c>
      <c r="K295" s="25" t="str">
        <f aca="false">IF($D295="","",N(G295)*IFERROR(INDEX(المنتجات!$H$5:$H$24,MATCH($D295,المنتجات!$A$5:$A$24,0)),0))</f>
        <v/>
      </c>
      <c r="L295" s="25" t="str">
        <f aca="false">IF($D295="","",J295-K295)</f>
        <v/>
      </c>
      <c r="M295" s="29"/>
      <c r="N295" s="29"/>
    </row>
    <row r="296" customFormat="false" ht="15" hidden="false" customHeight="false" outlineLevel="0" collapsed="false">
      <c r="A296" s="32"/>
      <c r="B296" s="29"/>
      <c r="C296" s="29"/>
      <c r="D296" s="29"/>
      <c r="E296" s="28" t="str">
        <f aca="false">IF($D296="","",IFERROR(INDEX(المنتجات!$C$5:$C$24,MATCH($D296,المنتجات!$A$5:$A$24,0)),"كود غير موجود"))</f>
        <v/>
      </c>
      <c r="F296" s="28" t="str">
        <f aca="false">IF($D296="","",IFERROR(INDEX(المنتجات!$B$5:$B$24,MATCH($D296,المنتجات!$A$5:$A$24,0)),""))</f>
        <v/>
      </c>
      <c r="G296" s="24"/>
      <c r="H296" s="25" t="str">
        <f aca="false">IF($D296="","",IFERROR(INDEX(المنتجات!$F$5:$F$24,MATCH($D296,المنتجات!$A$5:$A$24,0)),0))</f>
        <v/>
      </c>
      <c r="I296" s="30"/>
      <c r="J296" s="25" t="str">
        <f aca="false">IF($D296="","",N(G296)*H296-N(I296))</f>
        <v/>
      </c>
      <c r="K296" s="25" t="str">
        <f aca="false">IF($D296="","",N(G296)*IFERROR(INDEX(المنتجات!$H$5:$H$24,MATCH($D296,المنتجات!$A$5:$A$24,0)),0))</f>
        <v/>
      </c>
      <c r="L296" s="25" t="str">
        <f aca="false">IF($D296="","",J296-K296)</f>
        <v/>
      </c>
      <c r="M296" s="29"/>
      <c r="N296" s="29"/>
    </row>
    <row r="297" customFormat="false" ht="15" hidden="false" customHeight="false" outlineLevel="0" collapsed="false">
      <c r="A297" s="32"/>
      <c r="B297" s="29"/>
      <c r="C297" s="29"/>
      <c r="D297" s="29"/>
      <c r="E297" s="28" t="str">
        <f aca="false">IF($D297="","",IFERROR(INDEX(المنتجات!$C$5:$C$24,MATCH($D297,المنتجات!$A$5:$A$24,0)),"كود غير موجود"))</f>
        <v/>
      </c>
      <c r="F297" s="28" t="str">
        <f aca="false">IF($D297="","",IFERROR(INDEX(المنتجات!$B$5:$B$24,MATCH($D297,المنتجات!$A$5:$A$24,0)),""))</f>
        <v/>
      </c>
      <c r="G297" s="24"/>
      <c r="H297" s="25" t="str">
        <f aca="false">IF($D297="","",IFERROR(INDEX(المنتجات!$F$5:$F$24,MATCH($D297,المنتجات!$A$5:$A$24,0)),0))</f>
        <v/>
      </c>
      <c r="I297" s="30"/>
      <c r="J297" s="25" t="str">
        <f aca="false">IF($D297="","",N(G297)*H297-N(I297))</f>
        <v/>
      </c>
      <c r="K297" s="25" t="str">
        <f aca="false">IF($D297="","",N(G297)*IFERROR(INDEX(المنتجات!$H$5:$H$24,MATCH($D297,المنتجات!$A$5:$A$24,0)),0))</f>
        <v/>
      </c>
      <c r="L297" s="25" t="str">
        <f aca="false">IF($D297="","",J297-K297)</f>
        <v/>
      </c>
      <c r="M297" s="29"/>
      <c r="N297" s="29"/>
    </row>
    <row r="298" customFormat="false" ht="15" hidden="false" customHeight="false" outlineLevel="0" collapsed="false">
      <c r="A298" s="32"/>
      <c r="B298" s="29"/>
      <c r="C298" s="29"/>
      <c r="D298" s="29"/>
      <c r="E298" s="28" t="str">
        <f aca="false">IF($D298="","",IFERROR(INDEX(المنتجات!$C$5:$C$24,MATCH($D298,المنتجات!$A$5:$A$24,0)),"كود غير موجود"))</f>
        <v/>
      </c>
      <c r="F298" s="28" t="str">
        <f aca="false">IF($D298="","",IFERROR(INDEX(المنتجات!$B$5:$B$24,MATCH($D298,المنتجات!$A$5:$A$24,0)),""))</f>
        <v/>
      </c>
      <c r="G298" s="24"/>
      <c r="H298" s="25" t="str">
        <f aca="false">IF($D298="","",IFERROR(INDEX(المنتجات!$F$5:$F$24,MATCH($D298,المنتجات!$A$5:$A$24,0)),0))</f>
        <v/>
      </c>
      <c r="I298" s="30"/>
      <c r="J298" s="25" t="str">
        <f aca="false">IF($D298="","",N(G298)*H298-N(I298))</f>
        <v/>
      </c>
      <c r="K298" s="25" t="str">
        <f aca="false">IF($D298="","",N(G298)*IFERROR(INDEX(المنتجات!$H$5:$H$24,MATCH($D298,المنتجات!$A$5:$A$24,0)),0))</f>
        <v/>
      </c>
      <c r="L298" s="25" t="str">
        <f aca="false">IF($D298="","",J298-K298)</f>
        <v/>
      </c>
      <c r="M298" s="29"/>
      <c r="N298" s="29"/>
    </row>
    <row r="299" customFormat="false" ht="15" hidden="false" customHeight="false" outlineLevel="0" collapsed="false">
      <c r="A299" s="32"/>
      <c r="B299" s="29"/>
      <c r="C299" s="29"/>
      <c r="D299" s="29"/>
      <c r="E299" s="28" t="str">
        <f aca="false">IF($D299="","",IFERROR(INDEX(المنتجات!$C$5:$C$24,MATCH($D299,المنتجات!$A$5:$A$24,0)),"كود غير موجود"))</f>
        <v/>
      </c>
      <c r="F299" s="28" t="str">
        <f aca="false">IF($D299="","",IFERROR(INDEX(المنتجات!$B$5:$B$24,MATCH($D299,المنتجات!$A$5:$A$24,0)),""))</f>
        <v/>
      </c>
      <c r="G299" s="24"/>
      <c r="H299" s="25" t="str">
        <f aca="false">IF($D299="","",IFERROR(INDEX(المنتجات!$F$5:$F$24,MATCH($D299,المنتجات!$A$5:$A$24,0)),0))</f>
        <v/>
      </c>
      <c r="I299" s="30"/>
      <c r="J299" s="25" t="str">
        <f aca="false">IF($D299="","",N(G299)*H299-N(I299))</f>
        <v/>
      </c>
      <c r="K299" s="25" t="str">
        <f aca="false">IF($D299="","",N(G299)*IFERROR(INDEX(المنتجات!$H$5:$H$24,MATCH($D299,المنتجات!$A$5:$A$24,0)),0))</f>
        <v/>
      </c>
      <c r="L299" s="25" t="str">
        <f aca="false">IF($D299="","",J299-K299)</f>
        <v/>
      </c>
      <c r="M299" s="29"/>
      <c r="N299" s="29"/>
    </row>
    <row r="300" customFormat="false" ht="15" hidden="false" customHeight="false" outlineLevel="0" collapsed="false">
      <c r="A300" s="32"/>
      <c r="B300" s="29"/>
      <c r="C300" s="29"/>
      <c r="D300" s="29"/>
      <c r="E300" s="28" t="str">
        <f aca="false">IF($D300="","",IFERROR(INDEX(المنتجات!$C$5:$C$24,MATCH($D300,المنتجات!$A$5:$A$24,0)),"كود غير موجود"))</f>
        <v/>
      </c>
      <c r="F300" s="28" t="str">
        <f aca="false">IF($D300="","",IFERROR(INDEX(المنتجات!$B$5:$B$24,MATCH($D300,المنتجات!$A$5:$A$24,0)),""))</f>
        <v/>
      </c>
      <c r="G300" s="24"/>
      <c r="H300" s="25" t="str">
        <f aca="false">IF($D300="","",IFERROR(INDEX(المنتجات!$F$5:$F$24,MATCH($D300,المنتجات!$A$5:$A$24,0)),0))</f>
        <v/>
      </c>
      <c r="I300" s="30"/>
      <c r="J300" s="25" t="str">
        <f aca="false">IF($D300="","",N(G300)*H300-N(I300))</f>
        <v/>
      </c>
      <c r="K300" s="25" t="str">
        <f aca="false">IF($D300="","",N(G300)*IFERROR(INDEX(المنتجات!$H$5:$H$24,MATCH($D300,المنتجات!$A$5:$A$24,0)),0))</f>
        <v/>
      </c>
      <c r="L300" s="25" t="str">
        <f aca="false">IF($D300="","",J300-K300)</f>
        <v/>
      </c>
      <c r="M300" s="29"/>
      <c r="N300" s="29"/>
    </row>
    <row r="301" customFormat="false" ht="15" hidden="false" customHeight="false" outlineLevel="0" collapsed="false">
      <c r="A301" s="32"/>
      <c r="B301" s="29"/>
      <c r="C301" s="29"/>
      <c r="D301" s="29"/>
      <c r="E301" s="28" t="str">
        <f aca="false">IF($D301="","",IFERROR(INDEX(المنتجات!$C$5:$C$24,MATCH($D301,المنتجات!$A$5:$A$24,0)),"كود غير موجود"))</f>
        <v/>
      </c>
      <c r="F301" s="28" t="str">
        <f aca="false">IF($D301="","",IFERROR(INDEX(المنتجات!$B$5:$B$24,MATCH($D301,المنتجات!$A$5:$A$24,0)),""))</f>
        <v/>
      </c>
      <c r="G301" s="24"/>
      <c r="H301" s="25" t="str">
        <f aca="false">IF($D301="","",IFERROR(INDEX(المنتجات!$F$5:$F$24,MATCH($D301,المنتجات!$A$5:$A$24,0)),0))</f>
        <v/>
      </c>
      <c r="I301" s="30"/>
      <c r="J301" s="25" t="str">
        <f aca="false">IF($D301="","",N(G301)*H301-N(I301))</f>
        <v/>
      </c>
      <c r="K301" s="25" t="str">
        <f aca="false">IF($D301="","",N(G301)*IFERROR(INDEX(المنتجات!$H$5:$H$24,MATCH($D301,المنتجات!$A$5:$A$24,0)),0))</f>
        <v/>
      </c>
      <c r="L301" s="25" t="str">
        <f aca="false">IF($D301="","",J301-K301)</f>
        <v/>
      </c>
      <c r="M301" s="29"/>
      <c r="N301" s="29"/>
    </row>
    <row r="302" customFormat="false" ht="15" hidden="false" customHeight="false" outlineLevel="0" collapsed="false">
      <c r="A302" s="32"/>
      <c r="B302" s="29"/>
      <c r="C302" s="29"/>
      <c r="D302" s="29"/>
      <c r="E302" s="28" t="str">
        <f aca="false">IF($D302="","",IFERROR(INDEX(المنتجات!$C$5:$C$24,MATCH($D302,المنتجات!$A$5:$A$24,0)),"كود غير موجود"))</f>
        <v/>
      </c>
      <c r="F302" s="28" t="str">
        <f aca="false">IF($D302="","",IFERROR(INDEX(المنتجات!$B$5:$B$24,MATCH($D302,المنتجات!$A$5:$A$24,0)),""))</f>
        <v/>
      </c>
      <c r="G302" s="24"/>
      <c r="H302" s="25" t="str">
        <f aca="false">IF($D302="","",IFERROR(INDEX(المنتجات!$F$5:$F$24,MATCH($D302,المنتجات!$A$5:$A$24,0)),0))</f>
        <v/>
      </c>
      <c r="I302" s="30"/>
      <c r="J302" s="25" t="str">
        <f aca="false">IF($D302="","",N(G302)*H302-N(I302))</f>
        <v/>
      </c>
      <c r="K302" s="25" t="str">
        <f aca="false">IF($D302="","",N(G302)*IFERROR(INDEX(المنتجات!$H$5:$H$24,MATCH($D302,المنتجات!$A$5:$A$24,0)),0))</f>
        <v/>
      </c>
      <c r="L302" s="25" t="str">
        <f aca="false">IF($D302="","",J302-K302)</f>
        <v/>
      </c>
      <c r="M302" s="29"/>
      <c r="N302" s="29"/>
    </row>
    <row r="303" customFormat="false" ht="15" hidden="false" customHeight="false" outlineLevel="0" collapsed="false">
      <c r="A303" s="32"/>
      <c r="B303" s="29"/>
      <c r="C303" s="29"/>
      <c r="D303" s="29"/>
      <c r="E303" s="28" t="str">
        <f aca="false">IF($D303="","",IFERROR(INDEX(المنتجات!$C$5:$C$24,MATCH($D303,المنتجات!$A$5:$A$24,0)),"كود غير موجود"))</f>
        <v/>
      </c>
      <c r="F303" s="28" t="str">
        <f aca="false">IF($D303="","",IFERROR(INDEX(المنتجات!$B$5:$B$24,MATCH($D303,المنتجات!$A$5:$A$24,0)),""))</f>
        <v/>
      </c>
      <c r="G303" s="24"/>
      <c r="H303" s="25" t="str">
        <f aca="false">IF($D303="","",IFERROR(INDEX(المنتجات!$F$5:$F$24,MATCH($D303,المنتجات!$A$5:$A$24,0)),0))</f>
        <v/>
      </c>
      <c r="I303" s="30"/>
      <c r="J303" s="25" t="str">
        <f aca="false">IF($D303="","",N(G303)*H303-N(I303))</f>
        <v/>
      </c>
      <c r="K303" s="25" t="str">
        <f aca="false">IF($D303="","",N(G303)*IFERROR(INDEX(المنتجات!$H$5:$H$24,MATCH($D303,المنتجات!$A$5:$A$24,0)),0))</f>
        <v/>
      </c>
      <c r="L303" s="25" t="str">
        <f aca="false">IF($D303="","",J303-K303)</f>
        <v/>
      </c>
      <c r="M303" s="29"/>
      <c r="N303" s="29"/>
    </row>
    <row r="304" customFormat="false" ht="15" hidden="false" customHeight="false" outlineLevel="0" collapsed="false">
      <c r="A304" s="32"/>
      <c r="B304" s="29"/>
      <c r="C304" s="29"/>
      <c r="D304" s="29"/>
      <c r="E304" s="28" t="str">
        <f aca="false">IF($D304="","",IFERROR(INDEX(المنتجات!$C$5:$C$24,MATCH($D304,المنتجات!$A$5:$A$24,0)),"كود غير موجود"))</f>
        <v/>
      </c>
      <c r="F304" s="28" t="str">
        <f aca="false">IF($D304="","",IFERROR(INDEX(المنتجات!$B$5:$B$24,MATCH($D304,المنتجات!$A$5:$A$24,0)),""))</f>
        <v/>
      </c>
      <c r="G304" s="24"/>
      <c r="H304" s="25" t="str">
        <f aca="false">IF($D304="","",IFERROR(INDEX(المنتجات!$F$5:$F$24,MATCH($D304,المنتجات!$A$5:$A$24,0)),0))</f>
        <v/>
      </c>
      <c r="I304" s="30"/>
      <c r="J304" s="25" t="str">
        <f aca="false">IF($D304="","",N(G304)*H304-N(I304))</f>
        <v/>
      </c>
      <c r="K304" s="25" t="str">
        <f aca="false">IF($D304="","",N(G304)*IFERROR(INDEX(المنتجات!$H$5:$H$24,MATCH($D304,المنتجات!$A$5:$A$24,0)),0))</f>
        <v/>
      </c>
      <c r="L304" s="25" t="str">
        <f aca="false">IF($D304="","",J304-K304)</f>
        <v/>
      </c>
      <c r="M304" s="29"/>
      <c r="N304" s="29"/>
    </row>
    <row r="305" customFormat="false" ht="15" hidden="false" customHeight="false" outlineLevel="0" collapsed="false">
      <c r="A305" s="32"/>
      <c r="B305" s="29"/>
      <c r="C305" s="29"/>
      <c r="D305" s="29"/>
      <c r="E305" s="28" t="str">
        <f aca="false">IF($D305="","",IFERROR(INDEX(المنتجات!$C$5:$C$24,MATCH($D305,المنتجات!$A$5:$A$24,0)),"كود غير موجود"))</f>
        <v/>
      </c>
      <c r="F305" s="28" t="str">
        <f aca="false">IF($D305="","",IFERROR(INDEX(المنتجات!$B$5:$B$24,MATCH($D305,المنتجات!$A$5:$A$24,0)),""))</f>
        <v/>
      </c>
      <c r="G305" s="24"/>
      <c r="H305" s="25" t="str">
        <f aca="false">IF($D305="","",IFERROR(INDEX(المنتجات!$F$5:$F$24,MATCH($D305,المنتجات!$A$5:$A$24,0)),0))</f>
        <v/>
      </c>
      <c r="I305" s="30"/>
      <c r="J305" s="25" t="str">
        <f aca="false">IF($D305="","",N(G305)*H305-N(I305))</f>
        <v/>
      </c>
      <c r="K305" s="25" t="str">
        <f aca="false">IF($D305="","",N(G305)*IFERROR(INDEX(المنتجات!$H$5:$H$24,MATCH($D305,المنتجات!$A$5:$A$24,0)),0))</f>
        <v/>
      </c>
      <c r="L305" s="25" t="str">
        <f aca="false">IF($D305="","",J305-K305)</f>
        <v/>
      </c>
      <c r="M305" s="29"/>
      <c r="N305" s="29"/>
    </row>
    <row r="306" customFormat="false" ht="15" hidden="false" customHeight="false" outlineLevel="0" collapsed="false">
      <c r="A306" s="32"/>
      <c r="B306" s="29"/>
      <c r="C306" s="29"/>
      <c r="D306" s="29"/>
      <c r="E306" s="28" t="str">
        <f aca="false">IF($D306="","",IFERROR(INDEX(المنتجات!$C$5:$C$24,MATCH($D306,المنتجات!$A$5:$A$24,0)),"كود غير موجود"))</f>
        <v/>
      </c>
      <c r="F306" s="28" t="str">
        <f aca="false">IF($D306="","",IFERROR(INDEX(المنتجات!$B$5:$B$24,MATCH($D306,المنتجات!$A$5:$A$24,0)),""))</f>
        <v/>
      </c>
      <c r="G306" s="24"/>
      <c r="H306" s="25" t="str">
        <f aca="false">IF($D306="","",IFERROR(INDEX(المنتجات!$F$5:$F$24,MATCH($D306,المنتجات!$A$5:$A$24,0)),0))</f>
        <v/>
      </c>
      <c r="I306" s="30"/>
      <c r="J306" s="25" t="str">
        <f aca="false">IF($D306="","",N(G306)*H306-N(I306))</f>
        <v/>
      </c>
      <c r="K306" s="25" t="str">
        <f aca="false">IF($D306="","",N(G306)*IFERROR(INDEX(المنتجات!$H$5:$H$24,MATCH($D306,المنتجات!$A$5:$A$24,0)),0))</f>
        <v/>
      </c>
      <c r="L306" s="25" t="str">
        <f aca="false">IF($D306="","",J306-K306)</f>
        <v/>
      </c>
      <c r="M306" s="29"/>
      <c r="N306" s="29"/>
    </row>
    <row r="307" customFormat="false" ht="15" hidden="false" customHeight="false" outlineLevel="0" collapsed="false">
      <c r="A307" s="32"/>
      <c r="B307" s="29"/>
      <c r="C307" s="29"/>
      <c r="D307" s="29"/>
      <c r="E307" s="28" t="str">
        <f aca="false">IF($D307="","",IFERROR(INDEX(المنتجات!$C$5:$C$24,MATCH($D307,المنتجات!$A$5:$A$24,0)),"كود غير موجود"))</f>
        <v/>
      </c>
      <c r="F307" s="28" t="str">
        <f aca="false">IF($D307="","",IFERROR(INDEX(المنتجات!$B$5:$B$24,MATCH($D307,المنتجات!$A$5:$A$24,0)),""))</f>
        <v/>
      </c>
      <c r="G307" s="24"/>
      <c r="H307" s="25" t="str">
        <f aca="false">IF($D307="","",IFERROR(INDEX(المنتجات!$F$5:$F$24,MATCH($D307,المنتجات!$A$5:$A$24,0)),0))</f>
        <v/>
      </c>
      <c r="I307" s="30"/>
      <c r="J307" s="25" t="str">
        <f aca="false">IF($D307="","",N(G307)*H307-N(I307))</f>
        <v/>
      </c>
      <c r="K307" s="25" t="str">
        <f aca="false">IF($D307="","",N(G307)*IFERROR(INDEX(المنتجات!$H$5:$H$24,MATCH($D307,المنتجات!$A$5:$A$24,0)),0))</f>
        <v/>
      </c>
      <c r="L307" s="25" t="str">
        <f aca="false">IF($D307="","",J307-K307)</f>
        <v/>
      </c>
      <c r="M307" s="29"/>
      <c r="N307" s="29"/>
    </row>
    <row r="308" customFormat="false" ht="15" hidden="false" customHeight="false" outlineLevel="0" collapsed="false">
      <c r="A308" s="32"/>
      <c r="B308" s="29"/>
      <c r="C308" s="29"/>
      <c r="D308" s="29"/>
      <c r="E308" s="28" t="str">
        <f aca="false">IF($D308="","",IFERROR(INDEX(المنتجات!$C$5:$C$24,MATCH($D308,المنتجات!$A$5:$A$24,0)),"كود غير موجود"))</f>
        <v/>
      </c>
      <c r="F308" s="28" t="str">
        <f aca="false">IF($D308="","",IFERROR(INDEX(المنتجات!$B$5:$B$24,MATCH($D308,المنتجات!$A$5:$A$24,0)),""))</f>
        <v/>
      </c>
      <c r="G308" s="24"/>
      <c r="H308" s="25" t="str">
        <f aca="false">IF($D308="","",IFERROR(INDEX(المنتجات!$F$5:$F$24,MATCH($D308,المنتجات!$A$5:$A$24,0)),0))</f>
        <v/>
      </c>
      <c r="I308" s="30"/>
      <c r="J308" s="25" t="str">
        <f aca="false">IF($D308="","",N(G308)*H308-N(I308))</f>
        <v/>
      </c>
      <c r="K308" s="25" t="str">
        <f aca="false">IF($D308="","",N(G308)*IFERROR(INDEX(المنتجات!$H$5:$H$24,MATCH($D308,المنتجات!$A$5:$A$24,0)),0))</f>
        <v/>
      </c>
      <c r="L308" s="25" t="str">
        <f aca="false">IF($D308="","",J308-K308)</f>
        <v/>
      </c>
      <c r="M308" s="29"/>
      <c r="N308" s="29"/>
    </row>
    <row r="309" customFormat="false" ht="15" hidden="false" customHeight="false" outlineLevel="0" collapsed="false">
      <c r="A309" s="32"/>
      <c r="B309" s="29"/>
      <c r="C309" s="29"/>
      <c r="D309" s="29"/>
      <c r="E309" s="28" t="str">
        <f aca="false">IF($D309="","",IFERROR(INDEX(المنتجات!$C$5:$C$24,MATCH($D309,المنتجات!$A$5:$A$24,0)),"كود غير موجود"))</f>
        <v/>
      </c>
      <c r="F309" s="28" t="str">
        <f aca="false">IF($D309="","",IFERROR(INDEX(المنتجات!$B$5:$B$24,MATCH($D309,المنتجات!$A$5:$A$24,0)),""))</f>
        <v/>
      </c>
      <c r="G309" s="24"/>
      <c r="H309" s="25" t="str">
        <f aca="false">IF($D309="","",IFERROR(INDEX(المنتجات!$F$5:$F$24,MATCH($D309,المنتجات!$A$5:$A$24,0)),0))</f>
        <v/>
      </c>
      <c r="I309" s="30"/>
      <c r="J309" s="25" t="str">
        <f aca="false">IF($D309="","",N(G309)*H309-N(I309))</f>
        <v/>
      </c>
      <c r="K309" s="25" t="str">
        <f aca="false">IF($D309="","",N(G309)*IFERROR(INDEX(المنتجات!$H$5:$H$24,MATCH($D309,المنتجات!$A$5:$A$24,0)),0))</f>
        <v/>
      </c>
      <c r="L309" s="25" t="str">
        <f aca="false">IF($D309="","",J309-K309)</f>
        <v/>
      </c>
      <c r="M309" s="29"/>
      <c r="N309" s="29"/>
    </row>
    <row r="310" customFormat="false" ht="15" hidden="false" customHeight="false" outlineLevel="0" collapsed="false">
      <c r="A310" s="32"/>
      <c r="B310" s="29"/>
      <c r="C310" s="29"/>
      <c r="D310" s="29"/>
      <c r="E310" s="28" t="str">
        <f aca="false">IF($D310="","",IFERROR(INDEX(المنتجات!$C$5:$C$24,MATCH($D310,المنتجات!$A$5:$A$24,0)),"كود غير موجود"))</f>
        <v/>
      </c>
      <c r="F310" s="28" t="str">
        <f aca="false">IF($D310="","",IFERROR(INDEX(المنتجات!$B$5:$B$24,MATCH($D310,المنتجات!$A$5:$A$24,0)),""))</f>
        <v/>
      </c>
      <c r="G310" s="24"/>
      <c r="H310" s="25" t="str">
        <f aca="false">IF($D310="","",IFERROR(INDEX(المنتجات!$F$5:$F$24,MATCH($D310,المنتجات!$A$5:$A$24,0)),0))</f>
        <v/>
      </c>
      <c r="I310" s="30"/>
      <c r="J310" s="25" t="str">
        <f aca="false">IF($D310="","",N(G310)*H310-N(I310))</f>
        <v/>
      </c>
      <c r="K310" s="25" t="str">
        <f aca="false">IF($D310="","",N(G310)*IFERROR(INDEX(المنتجات!$H$5:$H$24,MATCH($D310,المنتجات!$A$5:$A$24,0)),0))</f>
        <v/>
      </c>
      <c r="L310" s="25" t="str">
        <f aca="false">IF($D310="","",J310-K310)</f>
        <v/>
      </c>
      <c r="M310" s="29"/>
      <c r="N310" s="29"/>
    </row>
    <row r="311" customFormat="false" ht="15" hidden="false" customHeight="false" outlineLevel="0" collapsed="false">
      <c r="A311" s="32"/>
      <c r="B311" s="29"/>
      <c r="C311" s="29"/>
      <c r="D311" s="29"/>
      <c r="E311" s="28" t="str">
        <f aca="false">IF($D311="","",IFERROR(INDEX(المنتجات!$C$5:$C$24,MATCH($D311,المنتجات!$A$5:$A$24,0)),"كود غير موجود"))</f>
        <v/>
      </c>
      <c r="F311" s="28" t="str">
        <f aca="false">IF($D311="","",IFERROR(INDEX(المنتجات!$B$5:$B$24,MATCH($D311,المنتجات!$A$5:$A$24,0)),""))</f>
        <v/>
      </c>
      <c r="G311" s="24"/>
      <c r="H311" s="25" t="str">
        <f aca="false">IF($D311="","",IFERROR(INDEX(المنتجات!$F$5:$F$24,MATCH($D311,المنتجات!$A$5:$A$24,0)),0))</f>
        <v/>
      </c>
      <c r="I311" s="30"/>
      <c r="J311" s="25" t="str">
        <f aca="false">IF($D311="","",N(G311)*H311-N(I311))</f>
        <v/>
      </c>
      <c r="K311" s="25" t="str">
        <f aca="false">IF($D311="","",N(G311)*IFERROR(INDEX(المنتجات!$H$5:$H$24,MATCH($D311,المنتجات!$A$5:$A$24,0)),0))</f>
        <v/>
      </c>
      <c r="L311" s="25" t="str">
        <f aca="false">IF($D311="","",J311-K311)</f>
        <v/>
      </c>
      <c r="M311" s="29"/>
      <c r="N311" s="29"/>
    </row>
    <row r="312" customFormat="false" ht="15" hidden="false" customHeight="false" outlineLevel="0" collapsed="false">
      <c r="A312" s="32"/>
      <c r="B312" s="29"/>
      <c r="C312" s="29"/>
      <c r="D312" s="29"/>
      <c r="E312" s="28" t="str">
        <f aca="false">IF($D312="","",IFERROR(INDEX(المنتجات!$C$5:$C$24,MATCH($D312,المنتجات!$A$5:$A$24,0)),"كود غير موجود"))</f>
        <v/>
      </c>
      <c r="F312" s="28" t="str">
        <f aca="false">IF($D312="","",IFERROR(INDEX(المنتجات!$B$5:$B$24,MATCH($D312,المنتجات!$A$5:$A$24,0)),""))</f>
        <v/>
      </c>
      <c r="G312" s="24"/>
      <c r="H312" s="25" t="str">
        <f aca="false">IF($D312="","",IFERROR(INDEX(المنتجات!$F$5:$F$24,MATCH($D312,المنتجات!$A$5:$A$24,0)),0))</f>
        <v/>
      </c>
      <c r="I312" s="30"/>
      <c r="J312" s="25" t="str">
        <f aca="false">IF($D312="","",N(G312)*H312-N(I312))</f>
        <v/>
      </c>
      <c r="K312" s="25" t="str">
        <f aca="false">IF($D312="","",N(G312)*IFERROR(INDEX(المنتجات!$H$5:$H$24,MATCH($D312,المنتجات!$A$5:$A$24,0)),0))</f>
        <v/>
      </c>
      <c r="L312" s="25" t="str">
        <f aca="false">IF($D312="","",J312-K312)</f>
        <v/>
      </c>
      <c r="M312" s="29"/>
      <c r="N312" s="29"/>
    </row>
    <row r="313" customFormat="false" ht="15" hidden="false" customHeight="false" outlineLevel="0" collapsed="false">
      <c r="A313" s="32"/>
      <c r="B313" s="29"/>
      <c r="C313" s="29"/>
      <c r="D313" s="29"/>
      <c r="E313" s="28" t="str">
        <f aca="false">IF($D313="","",IFERROR(INDEX(المنتجات!$C$5:$C$24,MATCH($D313,المنتجات!$A$5:$A$24,0)),"كود غير موجود"))</f>
        <v/>
      </c>
      <c r="F313" s="28" t="str">
        <f aca="false">IF($D313="","",IFERROR(INDEX(المنتجات!$B$5:$B$24,MATCH($D313,المنتجات!$A$5:$A$24,0)),""))</f>
        <v/>
      </c>
      <c r="G313" s="24"/>
      <c r="H313" s="25" t="str">
        <f aca="false">IF($D313="","",IFERROR(INDEX(المنتجات!$F$5:$F$24,MATCH($D313,المنتجات!$A$5:$A$24,0)),0))</f>
        <v/>
      </c>
      <c r="I313" s="30"/>
      <c r="J313" s="25" t="str">
        <f aca="false">IF($D313="","",N(G313)*H313-N(I313))</f>
        <v/>
      </c>
      <c r="K313" s="25" t="str">
        <f aca="false">IF($D313="","",N(G313)*IFERROR(INDEX(المنتجات!$H$5:$H$24,MATCH($D313,المنتجات!$A$5:$A$24,0)),0))</f>
        <v/>
      </c>
      <c r="L313" s="25" t="str">
        <f aca="false">IF($D313="","",J313-K313)</f>
        <v/>
      </c>
      <c r="M313" s="29"/>
      <c r="N313" s="29"/>
    </row>
    <row r="314" customFormat="false" ht="15" hidden="false" customHeight="false" outlineLevel="0" collapsed="false">
      <c r="A314" s="32"/>
      <c r="B314" s="29"/>
      <c r="C314" s="29"/>
      <c r="D314" s="29"/>
      <c r="E314" s="28" t="str">
        <f aca="false">IF($D314="","",IFERROR(INDEX(المنتجات!$C$5:$C$24,MATCH($D314,المنتجات!$A$5:$A$24,0)),"كود غير موجود"))</f>
        <v/>
      </c>
      <c r="F314" s="28" t="str">
        <f aca="false">IF($D314="","",IFERROR(INDEX(المنتجات!$B$5:$B$24,MATCH($D314,المنتجات!$A$5:$A$24,0)),""))</f>
        <v/>
      </c>
      <c r="G314" s="24"/>
      <c r="H314" s="25" t="str">
        <f aca="false">IF($D314="","",IFERROR(INDEX(المنتجات!$F$5:$F$24,MATCH($D314,المنتجات!$A$5:$A$24,0)),0))</f>
        <v/>
      </c>
      <c r="I314" s="30"/>
      <c r="J314" s="25" t="str">
        <f aca="false">IF($D314="","",N(G314)*H314-N(I314))</f>
        <v/>
      </c>
      <c r="K314" s="25" t="str">
        <f aca="false">IF($D314="","",N(G314)*IFERROR(INDEX(المنتجات!$H$5:$H$24,MATCH($D314,المنتجات!$A$5:$A$24,0)),0))</f>
        <v/>
      </c>
      <c r="L314" s="25" t="str">
        <f aca="false">IF($D314="","",J314-K314)</f>
        <v/>
      </c>
      <c r="M314" s="29"/>
      <c r="N314" s="29"/>
    </row>
    <row r="315" customFormat="false" ht="15" hidden="false" customHeight="false" outlineLevel="0" collapsed="false">
      <c r="A315" s="32"/>
      <c r="B315" s="29"/>
      <c r="C315" s="29"/>
      <c r="D315" s="29"/>
      <c r="E315" s="28" t="str">
        <f aca="false">IF($D315="","",IFERROR(INDEX(المنتجات!$C$5:$C$24,MATCH($D315,المنتجات!$A$5:$A$24,0)),"كود غير موجود"))</f>
        <v/>
      </c>
      <c r="F315" s="28" t="str">
        <f aca="false">IF($D315="","",IFERROR(INDEX(المنتجات!$B$5:$B$24,MATCH($D315,المنتجات!$A$5:$A$24,0)),""))</f>
        <v/>
      </c>
      <c r="G315" s="24"/>
      <c r="H315" s="25" t="str">
        <f aca="false">IF($D315="","",IFERROR(INDEX(المنتجات!$F$5:$F$24,MATCH($D315,المنتجات!$A$5:$A$24,0)),0))</f>
        <v/>
      </c>
      <c r="I315" s="30"/>
      <c r="J315" s="25" t="str">
        <f aca="false">IF($D315="","",N(G315)*H315-N(I315))</f>
        <v/>
      </c>
      <c r="K315" s="25" t="str">
        <f aca="false">IF($D315="","",N(G315)*IFERROR(INDEX(المنتجات!$H$5:$H$24,MATCH($D315,المنتجات!$A$5:$A$24,0)),0))</f>
        <v/>
      </c>
      <c r="L315" s="25" t="str">
        <f aca="false">IF($D315="","",J315-K315)</f>
        <v/>
      </c>
      <c r="M315" s="29"/>
      <c r="N315" s="29"/>
    </row>
    <row r="316" customFormat="false" ht="15" hidden="false" customHeight="false" outlineLevel="0" collapsed="false">
      <c r="A316" s="32"/>
      <c r="B316" s="29"/>
      <c r="C316" s="29"/>
      <c r="D316" s="29"/>
      <c r="E316" s="28" t="str">
        <f aca="false">IF($D316="","",IFERROR(INDEX(المنتجات!$C$5:$C$24,MATCH($D316,المنتجات!$A$5:$A$24,0)),"كود غير موجود"))</f>
        <v/>
      </c>
      <c r="F316" s="28" t="str">
        <f aca="false">IF($D316="","",IFERROR(INDEX(المنتجات!$B$5:$B$24,MATCH($D316,المنتجات!$A$5:$A$24,0)),""))</f>
        <v/>
      </c>
      <c r="G316" s="24"/>
      <c r="H316" s="25" t="str">
        <f aca="false">IF($D316="","",IFERROR(INDEX(المنتجات!$F$5:$F$24,MATCH($D316,المنتجات!$A$5:$A$24,0)),0))</f>
        <v/>
      </c>
      <c r="I316" s="30"/>
      <c r="J316" s="25" t="str">
        <f aca="false">IF($D316="","",N(G316)*H316-N(I316))</f>
        <v/>
      </c>
      <c r="K316" s="25" t="str">
        <f aca="false">IF($D316="","",N(G316)*IFERROR(INDEX(المنتجات!$H$5:$H$24,MATCH($D316,المنتجات!$A$5:$A$24,0)),0))</f>
        <v/>
      </c>
      <c r="L316" s="25" t="str">
        <f aca="false">IF($D316="","",J316-K316)</f>
        <v/>
      </c>
      <c r="M316" s="29"/>
      <c r="N316" s="29"/>
    </row>
    <row r="317" customFormat="false" ht="15" hidden="false" customHeight="false" outlineLevel="0" collapsed="false">
      <c r="A317" s="32"/>
      <c r="B317" s="29"/>
      <c r="C317" s="29"/>
      <c r="D317" s="29"/>
      <c r="E317" s="28" t="str">
        <f aca="false">IF($D317="","",IFERROR(INDEX(المنتجات!$C$5:$C$24,MATCH($D317,المنتجات!$A$5:$A$24,0)),"كود غير موجود"))</f>
        <v/>
      </c>
      <c r="F317" s="28" t="str">
        <f aca="false">IF($D317="","",IFERROR(INDEX(المنتجات!$B$5:$B$24,MATCH($D317,المنتجات!$A$5:$A$24,0)),""))</f>
        <v/>
      </c>
      <c r="G317" s="24"/>
      <c r="H317" s="25" t="str">
        <f aca="false">IF($D317="","",IFERROR(INDEX(المنتجات!$F$5:$F$24,MATCH($D317,المنتجات!$A$5:$A$24,0)),0))</f>
        <v/>
      </c>
      <c r="I317" s="30"/>
      <c r="J317" s="25" t="str">
        <f aca="false">IF($D317="","",N(G317)*H317-N(I317))</f>
        <v/>
      </c>
      <c r="K317" s="25" t="str">
        <f aca="false">IF($D317="","",N(G317)*IFERROR(INDEX(المنتجات!$H$5:$H$24,MATCH($D317,المنتجات!$A$5:$A$24,0)),0))</f>
        <v/>
      </c>
      <c r="L317" s="25" t="str">
        <f aca="false">IF($D317="","",J317-K317)</f>
        <v/>
      </c>
      <c r="M317" s="29"/>
      <c r="N317" s="29"/>
    </row>
    <row r="318" customFormat="false" ht="15" hidden="false" customHeight="false" outlineLevel="0" collapsed="false">
      <c r="A318" s="32"/>
      <c r="B318" s="29"/>
      <c r="C318" s="29"/>
      <c r="D318" s="29"/>
      <c r="E318" s="28" t="str">
        <f aca="false">IF($D318="","",IFERROR(INDEX(المنتجات!$C$5:$C$24,MATCH($D318,المنتجات!$A$5:$A$24,0)),"كود غير موجود"))</f>
        <v/>
      </c>
      <c r="F318" s="28" t="str">
        <f aca="false">IF($D318="","",IFERROR(INDEX(المنتجات!$B$5:$B$24,MATCH($D318,المنتجات!$A$5:$A$24,0)),""))</f>
        <v/>
      </c>
      <c r="G318" s="24"/>
      <c r="H318" s="25" t="str">
        <f aca="false">IF($D318="","",IFERROR(INDEX(المنتجات!$F$5:$F$24,MATCH($D318,المنتجات!$A$5:$A$24,0)),0))</f>
        <v/>
      </c>
      <c r="I318" s="30"/>
      <c r="J318" s="25" t="str">
        <f aca="false">IF($D318="","",N(G318)*H318-N(I318))</f>
        <v/>
      </c>
      <c r="K318" s="25" t="str">
        <f aca="false">IF($D318="","",N(G318)*IFERROR(INDEX(المنتجات!$H$5:$H$24,MATCH($D318,المنتجات!$A$5:$A$24,0)),0))</f>
        <v/>
      </c>
      <c r="L318" s="25" t="str">
        <f aca="false">IF($D318="","",J318-K318)</f>
        <v/>
      </c>
      <c r="M318" s="29"/>
      <c r="N318" s="29"/>
    </row>
    <row r="319" customFormat="false" ht="15" hidden="false" customHeight="false" outlineLevel="0" collapsed="false">
      <c r="A319" s="32"/>
      <c r="B319" s="29"/>
      <c r="C319" s="29"/>
      <c r="D319" s="29"/>
      <c r="E319" s="28" t="str">
        <f aca="false">IF($D319="","",IFERROR(INDEX(المنتجات!$C$5:$C$24,MATCH($D319,المنتجات!$A$5:$A$24,0)),"كود غير موجود"))</f>
        <v/>
      </c>
      <c r="F319" s="28" t="str">
        <f aca="false">IF($D319="","",IFERROR(INDEX(المنتجات!$B$5:$B$24,MATCH($D319,المنتجات!$A$5:$A$24,0)),""))</f>
        <v/>
      </c>
      <c r="G319" s="24"/>
      <c r="H319" s="25" t="str">
        <f aca="false">IF($D319="","",IFERROR(INDEX(المنتجات!$F$5:$F$24,MATCH($D319,المنتجات!$A$5:$A$24,0)),0))</f>
        <v/>
      </c>
      <c r="I319" s="30"/>
      <c r="J319" s="25" t="str">
        <f aca="false">IF($D319="","",N(G319)*H319-N(I319))</f>
        <v/>
      </c>
      <c r="K319" s="25" t="str">
        <f aca="false">IF($D319="","",N(G319)*IFERROR(INDEX(المنتجات!$H$5:$H$24,MATCH($D319,المنتجات!$A$5:$A$24,0)),0))</f>
        <v/>
      </c>
      <c r="L319" s="25" t="str">
        <f aca="false">IF($D319="","",J319-K319)</f>
        <v/>
      </c>
      <c r="M319" s="29"/>
      <c r="N319" s="29"/>
    </row>
    <row r="320" customFormat="false" ht="15" hidden="false" customHeight="false" outlineLevel="0" collapsed="false">
      <c r="A320" s="32"/>
      <c r="B320" s="29"/>
      <c r="C320" s="29"/>
      <c r="D320" s="29"/>
      <c r="E320" s="28" t="str">
        <f aca="false">IF($D320="","",IFERROR(INDEX(المنتجات!$C$5:$C$24,MATCH($D320,المنتجات!$A$5:$A$24,0)),"كود غير موجود"))</f>
        <v/>
      </c>
      <c r="F320" s="28" t="str">
        <f aca="false">IF($D320="","",IFERROR(INDEX(المنتجات!$B$5:$B$24,MATCH($D320,المنتجات!$A$5:$A$24,0)),""))</f>
        <v/>
      </c>
      <c r="G320" s="24"/>
      <c r="H320" s="25" t="str">
        <f aca="false">IF($D320="","",IFERROR(INDEX(المنتجات!$F$5:$F$24,MATCH($D320,المنتجات!$A$5:$A$24,0)),0))</f>
        <v/>
      </c>
      <c r="I320" s="30"/>
      <c r="J320" s="25" t="str">
        <f aca="false">IF($D320="","",N(G320)*H320-N(I320))</f>
        <v/>
      </c>
      <c r="K320" s="25" t="str">
        <f aca="false">IF($D320="","",N(G320)*IFERROR(INDEX(المنتجات!$H$5:$H$24,MATCH($D320,المنتجات!$A$5:$A$24,0)),0))</f>
        <v/>
      </c>
      <c r="L320" s="25" t="str">
        <f aca="false">IF($D320="","",J320-K320)</f>
        <v/>
      </c>
      <c r="M320" s="29"/>
      <c r="N320" s="29"/>
    </row>
    <row r="321" customFormat="false" ht="15" hidden="false" customHeight="false" outlineLevel="0" collapsed="false">
      <c r="A321" s="32"/>
      <c r="B321" s="29"/>
      <c r="C321" s="29"/>
      <c r="D321" s="29"/>
      <c r="E321" s="28" t="str">
        <f aca="false">IF($D321="","",IFERROR(INDEX(المنتجات!$C$5:$C$24,MATCH($D321,المنتجات!$A$5:$A$24,0)),"كود غير موجود"))</f>
        <v/>
      </c>
      <c r="F321" s="28" t="str">
        <f aca="false">IF($D321="","",IFERROR(INDEX(المنتجات!$B$5:$B$24,MATCH($D321,المنتجات!$A$5:$A$24,0)),""))</f>
        <v/>
      </c>
      <c r="G321" s="24"/>
      <c r="H321" s="25" t="str">
        <f aca="false">IF($D321="","",IFERROR(INDEX(المنتجات!$F$5:$F$24,MATCH($D321,المنتجات!$A$5:$A$24,0)),0))</f>
        <v/>
      </c>
      <c r="I321" s="30"/>
      <c r="J321" s="25" t="str">
        <f aca="false">IF($D321="","",N(G321)*H321-N(I321))</f>
        <v/>
      </c>
      <c r="K321" s="25" t="str">
        <f aca="false">IF($D321="","",N(G321)*IFERROR(INDEX(المنتجات!$H$5:$H$24,MATCH($D321,المنتجات!$A$5:$A$24,0)),0))</f>
        <v/>
      </c>
      <c r="L321" s="25" t="str">
        <f aca="false">IF($D321="","",J321-K321)</f>
        <v/>
      </c>
      <c r="M321" s="29"/>
      <c r="N321" s="29"/>
    </row>
    <row r="322" customFormat="false" ht="15" hidden="false" customHeight="false" outlineLevel="0" collapsed="false">
      <c r="A322" s="32"/>
      <c r="B322" s="29"/>
      <c r="C322" s="29"/>
      <c r="D322" s="29"/>
      <c r="E322" s="28" t="str">
        <f aca="false">IF($D322="","",IFERROR(INDEX(المنتجات!$C$5:$C$24,MATCH($D322,المنتجات!$A$5:$A$24,0)),"كود غير موجود"))</f>
        <v/>
      </c>
      <c r="F322" s="28" t="str">
        <f aca="false">IF($D322="","",IFERROR(INDEX(المنتجات!$B$5:$B$24,MATCH($D322,المنتجات!$A$5:$A$24,0)),""))</f>
        <v/>
      </c>
      <c r="G322" s="24"/>
      <c r="H322" s="25" t="str">
        <f aca="false">IF($D322="","",IFERROR(INDEX(المنتجات!$F$5:$F$24,MATCH($D322,المنتجات!$A$5:$A$24,0)),0))</f>
        <v/>
      </c>
      <c r="I322" s="30"/>
      <c r="J322" s="25" t="str">
        <f aca="false">IF($D322="","",N(G322)*H322-N(I322))</f>
        <v/>
      </c>
      <c r="K322" s="25" t="str">
        <f aca="false">IF($D322="","",N(G322)*IFERROR(INDEX(المنتجات!$H$5:$H$24,MATCH($D322,المنتجات!$A$5:$A$24,0)),0))</f>
        <v/>
      </c>
      <c r="L322" s="25" t="str">
        <f aca="false">IF($D322="","",J322-K322)</f>
        <v/>
      </c>
      <c r="M322" s="29"/>
      <c r="N322" s="29"/>
    </row>
    <row r="323" customFormat="false" ht="15" hidden="false" customHeight="false" outlineLevel="0" collapsed="false">
      <c r="A323" s="32"/>
      <c r="B323" s="29"/>
      <c r="C323" s="29"/>
      <c r="D323" s="29"/>
      <c r="E323" s="28" t="str">
        <f aca="false">IF($D323="","",IFERROR(INDEX(المنتجات!$C$5:$C$24,MATCH($D323,المنتجات!$A$5:$A$24,0)),"كود غير موجود"))</f>
        <v/>
      </c>
      <c r="F323" s="28" t="str">
        <f aca="false">IF($D323="","",IFERROR(INDEX(المنتجات!$B$5:$B$24,MATCH($D323,المنتجات!$A$5:$A$24,0)),""))</f>
        <v/>
      </c>
      <c r="G323" s="24"/>
      <c r="H323" s="25" t="str">
        <f aca="false">IF($D323="","",IFERROR(INDEX(المنتجات!$F$5:$F$24,MATCH($D323,المنتجات!$A$5:$A$24,0)),0))</f>
        <v/>
      </c>
      <c r="I323" s="30"/>
      <c r="J323" s="25" t="str">
        <f aca="false">IF($D323="","",N(G323)*H323-N(I323))</f>
        <v/>
      </c>
      <c r="K323" s="25" t="str">
        <f aca="false">IF($D323="","",N(G323)*IFERROR(INDEX(المنتجات!$H$5:$H$24,MATCH($D323,المنتجات!$A$5:$A$24,0)),0))</f>
        <v/>
      </c>
      <c r="L323" s="25" t="str">
        <f aca="false">IF($D323="","",J323-K323)</f>
        <v/>
      </c>
      <c r="M323" s="29"/>
      <c r="N323" s="29"/>
    </row>
    <row r="324" customFormat="false" ht="15" hidden="false" customHeight="false" outlineLevel="0" collapsed="false">
      <c r="A324" s="32"/>
      <c r="B324" s="29"/>
      <c r="C324" s="29"/>
      <c r="D324" s="29"/>
      <c r="E324" s="28" t="str">
        <f aca="false">IF($D324="","",IFERROR(INDEX(المنتجات!$C$5:$C$24,MATCH($D324,المنتجات!$A$5:$A$24,0)),"كود غير موجود"))</f>
        <v/>
      </c>
      <c r="F324" s="28" t="str">
        <f aca="false">IF($D324="","",IFERROR(INDEX(المنتجات!$B$5:$B$24,MATCH($D324,المنتجات!$A$5:$A$24,0)),""))</f>
        <v/>
      </c>
      <c r="G324" s="24"/>
      <c r="H324" s="25" t="str">
        <f aca="false">IF($D324="","",IFERROR(INDEX(المنتجات!$F$5:$F$24,MATCH($D324,المنتجات!$A$5:$A$24,0)),0))</f>
        <v/>
      </c>
      <c r="I324" s="30"/>
      <c r="J324" s="25" t="str">
        <f aca="false">IF($D324="","",N(G324)*H324-N(I324))</f>
        <v/>
      </c>
      <c r="K324" s="25" t="str">
        <f aca="false">IF($D324="","",N(G324)*IFERROR(INDEX(المنتجات!$H$5:$H$24,MATCH($D324,المنتجات!$A$5:$A$24,0)),0))</f>
        <v/>
      </c>
      <c r="L324" s="25" t="str">
        <f aca="false">IF($D324="","",J324-K324)</f>
        <v/>
      </c>
      <c r="M324" s="29"/>
      <c r="N324" s="29"/>
    </row>
    <row r="325" customFormat="false" ht="15" hidden="false" customHeight="false" outlineLevel="0" collapsed="false">
      <c r="A325" s="32"/>
      <c r="B325" s="29"/>
      <c r="C325" s="29"/>
      <c r="D325" s="29"/>
      <c r="E325" s="28" t="str">
        <f aca="false">IF($D325="","",IFERROR(INDEX(المنتجات!$C$5:$C$24,MATCH($D325,المنتجات!$A$5:$A$24,0)),"كود غير موجود"))</f>
        <v/>
      </c>
      <c r="F325" s="28" t="str">
        <f aca="false">IF($D325="","",IFERROR(INDEX(المنتجات!$B$5:$B$24,MATCH($D325,المنتجات!$A$5:$A$24,0)),""))</f>
        <v/>
      </c>
      <c r="G325" s="24"/>
      <c r="H325" s="25" t="str">
        <f aca="false">IF($D325="","",IFERROR(INDEX(المنتجات!$F$5:$F$24,MATCH($D325,المنتجات!$A$5:$A$24,0)),0))</f>
        <v/>
      </c>
      <c r="I325" s="30"/>
      <c r="J325" s="25" t="str">
        <f aca="false">IF($D325="","",N(G325)*H325-N(I325))</f>
        <v/>
      </c>
      <c r="K325" s="25" t="str">
        <f aca="false">IF($D325="","",N(G325)*IFERROR(INDEX(المنتجات!$H$5:$H$24,MATCH($D325,المنتجات!$A$5:$A$24,0)),0))</f>
        <v/>
      </c>
      <c r="L325" s="25" t="str">
        <f aca="false">IF($D325="","",J325-K325)</f>
        <v/>
      </c>
      <c r="M325" s="29"/>
      <c r="N325" s="29"/>
    </row>
    <row r="326" customFormat="false" ht="15" hidden="false" customHeight="false" outlineLevel="0" collapsed="false">
      <c r="A326" s="32"/>
      <c r="B326" s="29"/>
      <c r="C326" s="29"/>
      <c r="D326" s="29"/>
      <c r="E326" s="28" t="str">
        <f aca="false">IF($D326="","",IFERROR(INDEX(المنتجات!$C$5:$C$24,MATCH($D326,المنتجات!$A$5:$A$24,0)),"كود غير موجود"))</f>
        <v/>
      </c>
      <c r="F326" s="28" t="str">
        <f aca="false">IF($D326="","",IFERROR(INDEX(المنتجات!$B$5:$B$24,MATCH($D326,المنتجات!$A$5:$A$24,0)),""))</f>
        <v/>
      </c>
      <c r="G326" s="24"/>
      <c r="H326" s="25" t="str">
        <f aca="false">IF($D326="","",IFERROR(INDEX(المنتجات!$F$5:$F$24,MATCH($D326,المنتجات!$A$5:$A$24,0)),0))</f>
        <v/>
      </c>
      <c r="I326" s="30"/>
      <c r="J326" s="25" t="str">
        <f aca="false">IF($D326="","",N(G326)*H326-N(I326))</f>
        <v/>
      </c>
      <c r="K326" s="25" t="str">
        <f aca="false">IF($D326="","",N(G326)*IFERROR(INDEX(المنتجات!$H$5:$H$24,MATCH($D326,المنتجات!$A$5:$A$24,0)),0))</f>
        <v/>
      </c>
      <c r="L326" s="25" t="str">
        <f aca="false">IF($D326="","",J326-K326)</f>
        <v/>
      </c>
      <c r="M326" s="29"/>
      <c r="N326" s="29"/>
    </row>
    <row r="327" customFormat="false" ht="15" hidden="false" customHeight="false" outlineLevel="0" collapsed="false">
      <c r="A327" s="32"/>
      <c r="B327" s="29"/>
      <c r="C327" s="29"/>
      <c r="D327" s="29"/>
      <c r="E327" s="28" t="str">
        <f aca="false">IF($D327="","",IFERROR(INDEX(المنتجات!$C$5:$C$24,MATCH($D327,المنتجات!$A$5:$A$24,0)),"كود غير موجود"))</f>
        <v/>
      </c>
      <c r="F327" s="28" t="str">
        <f aca="false">IF($D327="","",IFERROR(INDEX(المنتجات!$B$5:$B$24,MATCH($D327,المنتجات!$A$5:$A$24,0)),""))</f>
        <v/>
      </c>
      <c r="G327" s="24"/>
      <c r="H327" s="25" t="str">
        <f aca="false">IF($D327="","",IFERROR(INDEX(المنتجات!$F$5:$F$24,MATCH($D327,المنتجات!$A$5:$A$24,0)),0))</f>
        <v/>
      </c>
      <c r="I327" s="30"/>
      <c r="J327" s="25" t="str">
        <f aca="false">IF($D327="","",N(G327)*H327-N(I327))</f>
        <v/>
      </c>
      <c r="K327" s="25" t="str">
        <f aca="false">IF($D327="","",N(G327)*IFERROR(INDEX(المنتجات!$H$5:$H$24,MATCH($D327,المنتجات!$A$5:$A$24,0)),0))</f>
        <v/>
      </c>
      <c r="L327" s="25" t="str">
        <f aca="false">IF($D327="","",J327-K327)</f>
        <v/>
      </c>
      <c r="M327" s="29"/>
      <c r="N327" s="29"/>
    </row>
    <row r="328" customFormat="false" ht="15" hidden="false" customHeight="false" outlineLevel="0" collapsed="false">
      <c r="A328" s="32"/>
      <c r="B328" s="29"/>
      <c r="C328" s="29"/>
      <c r="D328" s="29"/>
      <c r="E328" s="28" t="str">
        <f aca="false">IF($D328="","",IFERROR(INDEX(المنتجات!$C$5:$C$24,MATCH($D328,المنتجات!$A$5:$A$24,0)),"كود غير موجود"))</f>
        <v/>
      </c>
      <c r="F328" s="28" t="str">
        <f aca="false">IF($D328="","",IFERROR(INDEX(المنتجات!$B$5:$B$24,MATCH($D328,المنتجات!$A$5:$A$24,0)),""))</f>
        <v/>
      </c>
      <c r="G328" s="24"/>
      <c r="H328" s="25" t="str">
        <f aca="false">IF($D328="","",IFERROR(INDEX(المنتجات!$F$5:$F$24,MATCH($D328,المنتجات!$A$5:$A$24,0)),0))</f>
        <v/>
      </c>
      <c r="I328" s="30"/>
      <c r="J328" s="25" t="str">
        <f aca="false">IF($D328="","",N(G328)*H328-N(I328))</f>
        <v/>
      </c>
      <c r="K328" s="25" t="str">
        <f aca="false">IF($D328="","",N(G328)*IFERROR(INDEX(المنتجات!$H$5:$H$24,MATCH($D328,المنتجات!$A$5:$A$24,0)),0))</f>
        <v/>
      </c>
      <c r="L328" s="25" t="str">
        <f aca="false">IF($D328="","",J328-K328)</f>
        <v/>
      </c>
      <c r="M328" s="29"/>
      <c r="N328" s="29"/>
    </row>
    <row r="329" customFormat="false" ht="15" hidden="false" customHeight="false" outlineLevel="0" collapsed="false">
      <c r="A329" s="32"/>
      <c r="B329" s="29"/>
      <c r="C329" s="29"/>
      <c r="D329" s="29"/>
      <c r="E329" s="28" t="str">
        <f aca="false">IF($D329="","",IFERROR(INDEX(المنتجات!$C$5:$C$24,MATCH($D329,المنتجات!$A$5:$A$24,0)),"كود غير موجود"))</f>
        <v/>
      </c>
      <c r="F329" s="28" t="str">
        <f aca="false">IF($D329="","",IFERROR(INDEX(المنتجات!$B$5:$B$24,MATCH($D329,المنتجات!$A$5:$A$24,0)),""))</f>
        <v/>
      </c>
      <c r="G329" s="24"/>
      <c r="H329" s="25" t="str">
        <f aca="false">IF($D329="","",IFERROR(INDEX(المنتجات!$F$5:$F$24,MATCH($D329,المنتجات!$A$5:$A$24,0)),0))</f>
        <v/>
      </c>
      <c r="I329" s="30"/>
      <c r="J329" s="25" t="str">
        <f aca="false">IF($D329="","",N(G329)*H329-N(I329))</f>
        <v/>
      </c>
      <c r="K329" s="25" t="str">
        <f aca="false">IF($D329="","",N(G329)*IFERROR(INDEX(المنتجات!$H$5:$H$24,MATCH($D329,المنتجات!$A$5:$A$24,0)),0))</f>
        <v/>
      </c>
      <c r="L329" s="25" t="str">
        <f aca="false">IF($D329="","",J329-K329)</f>
        <v/>
      </c>
      <c r="M329" s="29"/>
      <c r="N329" s="29"/>
    </row>
    <row r="330" customFormat="false" ht="15" hidden="false" customHeight="false" outlineLevel="0" collapsed="false">
      <c r="A330" s="32"/>
      <c r="B330" s="29"/>
      <c r="C330" s="29"/>
      <c r="D330" s="29"/>
      <c r="E330" s="28" t="str">
        <f aca="false">IF($D330="","",IFERROR(INDEX(المنتجات!$C$5:$C$24,MATCH($D330,المنتجات!$A$5:$A$24,0)),"كود غير موجود"))</f>
        <v/>
      </c>
      <c r="F330" s="28" t="str">
        <f aca="false">IF($D330="","",IFERROR(INDEX(المنتجات!$B$5:$B$24,MATCH($D330,المنتجات!$A$5:$A$24,0)),""))</f>
        <v/>
      </c>
      <c r="G330" s="24"/>
      <c r="H330" s="25" t="str">
        <f aca="false">IF($D330="","",IFERROR(INDEX(المنتجات!$F$5:$F$24,MATCH($D330,المنتجات!$A$5:$A$24,0)),0))</f>
        <v/>
      </c>
      <c r="I330" s="30"/>
      <c r="J330" s="25" t="str">
        <f aca="false">IF($D330="","",N(G330)*H330-N(I330))</f>
        <v/>
      </c>
      <c r="K330" s="25" t="str">
        <f aca="false">IF($D330="","",N(G330)*IFERROR(INDEX(المنتجات!$H$5:$H$24,MATCH($D330,المنتجات!$A$5:$A$24,0)),0))</f>
        <v/>
      </c>
      <c r="L330" s="25" t="str">
        <f aca="false">IF($D330="","",J330-K330)</f>
        <v/>
      </c>
      <c r="M330" s="29"/>
      <c r="N330" s="29"/>
    </row>
    <row r="331" customFormat="false" ht="15" hidden="false" customHeight="false" outlineLevel="0" collapsed="false">
      <c r="A331" s="32"/>
      <c r="B331" s="29"/>
      <c r="C331" s="29"/>
      <c r="D331" s="29"/>
      <c r="E331" s="28" t="str">
        <f aca="false">IF($D331="","",IFERROR(INDEX(المنتجات!$C$5:$C$24,MATCH($D331,المنتجات!$A$5:$A$24,0)),"كود غير موجود"))</f>
        <v/>
      </c>
      <c r="F331" s="28" t="str">
        <f aca="false">IF($D331="","",IFERROR(INDEX(المنتجات!$B$5:$B$24,MATCH($D331,المنتجات!$A$5:$A$24,0)),""))</f>
        <v/>
      </c>
      <c r="G331" s="24"/>
      <c r="H331" s="25" t="str">
        <f aca="false">IF($D331="","",IFERROR(INDEX(المنتجات!$F$5:$F$24,MATCH($D331,المنتجات!$A$5:$A$24,0)),0))</f>
        <v/>
      </c>
      <c r="I331" s="30"/>
      <c r="J331" s="25" t="str">
        <f aca="false">IF($D331="","",N(G331)*H331-N(I331))</f>
        <v/>
      </c>
      <c r="K331" s="25" t="str">
        <f aca="false">IF($D331="","",N(G331)*IFERROR(INDEX(المنتجات!$H$5:$H$24,MATCH($D331,المنتجات!$A$5:$A$24,0)),0))</f>
        <v/>
      </c>
      <c r="L331" s="25" t="str">
        <f aca="false">IF($D331="","",J331-K331)</f>
        <v/>
      </c>
      <c r="M331" s="29"/>
      <c r="N331" s="29"/>
    </row>
    <row r="332" customFormat="false" ht="15" hidden="false" customHeight="false" outlineLevel="0" collapsed="false">
      <c r="A332" s="32"/>
      <c r="B332" s="29"/>
      <c r="C332" s="29"/>
      <c r="D332" s="29"/>
      <c r="E332" s="28" t="str">
        <f aca="false">IF($D332="","",IFERROR(INDEX(المنتجات!$C$5:$C$24,MATCH($D332,المنتجات!$A$5:$A$24,0)),"كود غير موجود"))</f>
        <v/>
      </c>
      <c r="F332" s="28" t="str">
        <f aca="false">IF($D332="","",IFERROR(INDEX(المنتجات!$B$5:$B$24,MATCH($D332,المنتجات!$A$5:$A$24,0)),""))</f>
        <v/>
      </c>
      <c r="G332" s="24"/>
      <c r="H332" s="25" t="str">
        <f aca="false">IF($D332="","",IFERROR(INDEX(المنتجات!$F$5:$F$24,MATCH($D332,المنتجات!$A$5:$A$24,0)),0))</f>
        <v/>
      </c>
      <c r="I332" s="30"/>
      <c r="J332" s="25" t="str">
        <f aca="false">IF($D332="","",N(G332)*H332-N(I332))</f>
        <v/>
      </c>
      <c r="K332" s="25" t="str">
        <f aca="false">IF($D332="","",N(G332)*IFERROR(INDEX(المنتجات!$H$5:$H$24,MATCH($D332,المنتجات!$A$5:$A$24,0)),0))</f>
        <v/>
      </c>
      <c r="L332" s="25" t="str">
        <f aca="false">IF($D332="","",J332-K332)</f>
        <v/>
      </c>
      <c r="M332" s="29"/>
      <c r="N332" s="29"/>
    </row>
    <row r="333" customFormat="false" ht="15" hidden="false" customHeight="false" outlineLevel="0" collapsed="false">
      <c r="A333" s="32"/>
      <c r="B333" s="29"/>
      <c r="C333" s="29"/>
      <c r="D333" s="29"/>
      <c r="E333" s="28" t="str">
        <f aca="false">IF($D333="","",IFERROR(INDEX(المنتجات!$C$5:$C$24,MATCH($D333,المنتجات!$A$5:$A$24,0)),"كود غير موجود"))</f>
        <v/>
      </c>
      <c r="F333" s="28" t="str">
        <f aca="false">IF($D333="","",IFERROR(INDEX(المنتجات!$B$5:$B$24,MATCH($D333,المنتجات!$A$5:$A$24,0)),""))</f>
        <v/>
      </c>
      <c r="G333" s="24"/>
      <c r="H333" s="25" t="str">
        <f aca="false">IF($D333="","",IFERROR(INDEX(المنتجات!$F$5:$F$24,MATCH($D333,المنتجات!$A$5:$A$24,0)),0))</f>
        <v/>
      </c>
      <c r="I333" s="30"/>
      <c r="J333" s="25" t="str">
        <f aca="false">IF($D333="","",N(G333)*H333-N(I333))</f>
        <v/>
      </c>
      <c r="K333" s="25" t="str">
        <f aca="false">IF($D333="","",N(G333)*IFERROR(INDEX(المنتجات!$H$5:$H$24,MATCH($D333,المنتجات!$A$5:$A$24,0)),0))</f>
        <v/>
      </c>
      <c r="L333" s="25" t="str">
        <f aca="false">IF($D333="","",J333-K333)</f>
        <v/>
      </c>
      <c r="M333" s="29"/>
      <c r="N333" s="29"/>
    </row>
    <row r="334" customFormat="false" ht="15" hidden="false" customHeight="false" outlineLevel="0" collapsed="false">
      <c r="A334" s="32"/>
      <c r="B334" s="29"/>
      <c r="C334" s="29"/>
      <c r="D334" s="29"/>
      <c r="E334" s="28" t="str">
        <f aca="false">IF($D334="","",IFERROR(INDEX(المنتجات!$C$5:$C$24,MATCH($D334,المنتجات!$A$5:$A$24,0)),"كود غير موجود"))</f>
        <v/>
      </c>
      <c r="F334" s="28" t="str">
        <f aca="false">IF($D334="","",IFERROR(INDEX(المنتجات!$B$5:$B$24,MATCH($D334,المنتجات!$A$5:$A$24,0)),""))</f>
        <v/>
      </c>
      <c r="G334" s="24"/>
      <c r="H334" s="25" t="str">
        <f aca="false">IF($D334="","",IFERROR(INDEX(المنتجات!$F$5:$F$24,MATCH($D334,المنتجات!$A$5:$A$24,0)),0))</f>
        <v/>
      </c>
      <c r="I334" s="30"/>
      <c r="J334" s="25" t="str">
        <f aca="false">IF($D334="","",N(G334)*H334-N(I334))</f>
        <v/>
      </c>
      <c r="K334" s="25" t="str">
        <f aca="false">IF($D334="","",N(G334)*IFERROR(INDEX(المنتجات!$H$5:$H$24,MATCH($D334,المنتجات!$A$5:$A$24,0)),0))</f>
        <v/>
      </c>
      <c r="L334" s="25" t="str">
        <f aca="false">IF($D334="","",J334-K334)</f>
        <v/>
      </c>
      <c r="M334" s="29"/>
      <c r="N334" s="29"/>
    </row>
    <row r="335" customFormat="false" ht="15" hidden="false" customHeight="false" outlineLevel="0" collapsed="false">
      <c r="A335" s="32"/>
      <c r="B335" s="29"/>
      <c r="C335" s="29"/>
      <c r="D335" s="29"/>
      <c r="E335" s="28" t="str">
        <f aca="false">IF($D335="","",IFERROR(INDEX(المنتجات!$C$5:$C$24,MATCH($D335,المنتجات!$A$5:$A$24,0)),"كود غير موجود"))</f>
        <v/>
      </c>
      <c r="F335" s="28" t="str">
        <f aca="false">IF($D335="","",IFERROR(INDEX(المنتجات!$B$5:$B$24,MATCH($D335,المنتجات!$A$5:$A$24,0)),""))</f>
        <v/>
      </c>
      <c r="G335" s="24"/>
      <c r="H335" s="25" t="str">
        <f aca="false">IF($D335="","",IFERROR(INDEX(المنتجات!$F$5:$F$24,MATCH($D335,المنتجات!$A$5:$A$24,0)),0))</f>
        <v/>
      </c>
      <c r="I335" s="30"/>
      <c r="J335" s="25" t="str">
        <f aca="false">IF($D335="","",N(G335)*H335-N(I335))</f>
        <v/>
      </c>
      <c r="K335" s="25" t="str">
        <f aca="false">IF($D335="","",N(G335)*IFERROR(INDEX(المنتجات!$H$5:$H$24,MATCH($D335,المنتجات!$A$5:$A$24,0)),0))</f>
        <v/>
      </c>
      <c r="L335" s="25" t="str">
        <f aca="false">IF($D335="","",J335-K335)</f>
        <v/>
      </c>
      <c r="M335" s="29"/>
      <c r="N335" s="29"/>
    </row>
    <row r="336" customFormat="false" ht="15" hidden="false" customHeight="false" outlineLevel="0" collapsed="false">
      <c r="A336" s="32"/>
      <c r="B336" s="29"/>
      <c r="C336" s="29"/>
      <c r="D336" s="29"/>
      <c r="E336" s="28" t="str">
        <f aca="false">IF($D336="","",IFERROR(INDEX(المنتجات!$C$5:$C$24,MATCH($D336,المنتجات!$A$5:$A$24,0)),"كود غير موجود"))</f>
        <v/>
      </c>
      <c r="F336" s="28" t="str">
        <f aca="false">IF($D336="","",IFERROR(INDEX(المنتجات!$B$5:$B$24,MATCH($D336,المنتجات!$A$5:$A$24,0)),""))</f>
        <v/>
      </c>
      <c r="G336" s="24"/>
      <c r="H336" s="25" t="str">
        <f aca="false">IF($D336="","",IFERROR(INDEX(المنتجات!$F$5:$F$24,MATCH($D336,المنتجات!$A$5:$A$24,0)),0))</f>
        <v/>
      </c>
      <c r="I336" s="30"/>
      <c r="J336" s="25" t="str">
        <f aca="false">IF($D336="","",N(G336)*H336-N(I336))</f>
        <v/>
      </c>
      <c r="K336" s="25" t="str">
        <f aca="false">IF($D336="","",N(G336)*IFERROR(INDEX(المنتجات!$H$5:$H$24,MATCH($D336,المنتجات!$A$5:$A$24,0)),0))</f>
        <v/>
      </c>
      <c r="L336" s="25" t="str">
        <f aca="false">IF($D336="","",J336-K336)</f>
        <v/>
      </c>
      <c r="M336" s="29"/>
      <c r="N336" s="29"/>
    </row>
    <row r="337" customFormat="false" ht="15" hidden="false" customHeight="false" outlineLevel="0" collapsed="false">
      <c r="A337" s="32"/>
      <c r="B337" s="29"/>
      <c r="C337" s="29"/>
      <c r="D337" s="29"/>
      <c r="E337" s="28" t="str">
        <f aca="false">IF($D337="","",IFERROR(INDEX(المنتجات!$C$5:$C$24,MATCH($D337,المنتجات!$A$5:$A$24,0)),"كود غير موجود"))</f>
        <v/>
      </c>
      <c r="F337" s="28" t="str">
        <f aca="false">IF($D337="","",IFERROR(INDEX(المنتجات!$B$5:$B$24,MATCH($D337,المنتجات!$A$5:$A$24,0)),""))</f>
        <v/>
      </c>
      <c r="G337" s="24"/>
      <c r="H337" s="25" t="str">
        <f aca="false">IF($D337="","",IFERROR(INDEX(المنتجات!$F$5:$F$24,MATCH($D337,المنتجات!$A$5:$A$24,0)),0))</f>
        <v/>
      </c>
      <c r="I337" s="30"/>
      <c r="J337" s="25" t="str">
        <f aca="false">IF($D337="","",N(G337)*H337-N(I337))</f>
        <v/>
      </c>
      <c r="K337" s="25" t="str">
        <f aca="false">IF($D337="","",N(G337)*IFERROR(INDEX(المنتجات!$H$5:$H$24,MATCH($D337,المنتجات!$A$5:$A$24,0)),0))</f>
        <v/>
      </c>
      <c r="L337" s="25" t="str">
        <f aca="false">IF($D337="","",J337-K337)</f>
        <v/>
      </c>
      <c r="M337" s="29"/>
      <c r="N337" s="29"/>
    </row>
    <row r="338" customFormat="false" ht="15" hidden="false" customHeight="false" outlineLevel="0" collapsed="false">
      <c r="A338" s="32"/>
      <c r="B338" s="29"/>
      <c r="C338" s="29"/>
      <c r="D338" s="29"/>
      <c r="E338" s="28" t="str">
        <f aca="false">IF($D338="","",IFERROR(INDEX(المنتجات!$C$5:$C$24,MATCH($D338,المنتجات!$A$5:$A$24,0)),"كود غير موجود"))</f>
        <v/>
      </c>
      <c r="F338" s="28" t="str">
        <f aca="false">IF($D338="","",IFERROR(INDEX(المنتجات!$B$5:$B$24,MATCH($D338,المنتجات!$A$5:$A$24,0)),""))</f>
        <v/>
      </c>
      <c r="G338" s="24"/>
      <c r="H338" s="25" t="str">
        <f aca="false">IF($D338="","",IFERROR(INDEX(المنتجات!$F$5:$F$24,MATCH($D338,المنتجات!$A$5:$A$24,0)),0))</f>
        <v/>
      </c>
      <c r="I338" s="30"/>
      <c r="J338" s="25" t="str">
        <f aca="false">IF($D338="","",N(G338)*H338-N(I338))</f>
        <v/>
      </c>
      <c r="K338" s="25" t="str">
        <f aca="false">IF($D338="","",N(G338)*IFERROR(INDEX(المنتجات!$H$5:$H$24,MATCH($D338,المنتجات!$A$5:$A$24,0)),0))</f>
        <v/>
      </c>
      <c r="L338" s="25" t="str">
        <f aca="false">IF($D338="","",J338-K338)</f>
        <v/>
      </c>
      <c r="M338" s="29"/>
      <c r="N338" s="29"/>
    </row>
    <row r="339" customFormat="false" ht="15" hidden="false" customHeight="false" outlineLevel="0" collapsed="false">
      <c r="A339" s="32"/>
      <c r="B339" s="29"/>
      <c r="C339" s="29"/>
      <c r="D339" s="29"/>
      <c r="E339" s="28" t="str">
        <f aca="false">IF($D339="","",IFERROR(INDEX(المنتجات!$C$5:$C$24,MATCH($D339,المنتجات!$A$5:$A$24,0)),"كود غير موجود"))</f>
        <v/>
      </c>
      <c r="F339" s="28" t="str">
        <f aca="false">IF($D339="","",IFERROR(INDEX(المنتجات!$B$5:$B$24,MATCH($D339,المنتجات!$A$5:$A$24,0)),""))</f>
        <v/>
      </c>
      <c r="G339" s="24"/>
      <c r="H339" s="25" t="str">
        <f aca="false">IF($D339="","",IFERROR(INDEX(المنتجات!$F$5:$F$24,MATCH($D339,المنتجات!$A$5:$A$24,0)),0))</f>
        <v/>
      </c>
      <c r="I339" s="30"/>
      <c r="J339" s="25" t="str">
        <f aca="false">IF($D339="","",N(G339)*H339-N(I339))</f>
        <v/>
      </c>
      <c r="K339" s="25" t="str">
        <f aca="false">IF($D339="","",N(G339)*IFERROR(INDEX(المنتجات!$H$5:$H$24,MATCH($D339,المنتجات!$A$5:$A$24,0)),0))</f>
        <v/>
      </c>
      <c r="L339" s="25" t="str">
        <f aca="false">IF($D339="","",J339-K339)</f>
        <v/>
      </c>
      <c r="M339" s="29"/>
      <c r="N339" s="29"/>
    </row>
    <row r="340" customFormat="false" ht="15" hidden="false" customHeight="false" outlineLevel="0" collapsed="false">
      <c r="A340" s="32"/>
      <c r="B340" s="29"/>
      <c r="C340" s="29"/>
      <c r="D340" s="29"/>
      <c r="E340" s="28" t="str">
        <f aca="false">IF($D340="","",IFERROR(INDEX(المنتجات!$C$5:$C$24,MATCH($D340,المنتجات!$A$5:$A$24,0)),"كود غير موجود"))</f>
        <v/>
      </c>
      <c r="F340" s="28" t="str">
        <f aca="false">IF($D340="","",IFERROR(INDEX(المنتجات!$B$5:$B$24,MATCH($D340,المنتجات!$A$5:$A$24,0)),""))</f>
        <v/>
      </c>
      <c r="G340" s="24"/>
      <c r="H340" s="25" t="str">
        <f aca="false">IF($D340="","",IFERROR(INDEX(المنتجات!$F$5:$F$24,MATCH($D340,المنتجات!$A$5:$A$24,0)),0))</f>
        <v/>
      </c>
      <c r="I340" s="30"/>
      <c r="J340" s="25" t="str">
        <f aca="false">IF($D340="","",N(G340)*H340-N(I340))</f>
        <v/>
      </c>
      <c r="K340" s="25" t="str">
        <f aca="false">IF($D340="","",N(G340)*IFERROR(INDEX(المنتجات!$H$5:$H$24,MATCH($D340,المنتجات!$A$5:$A$24,0)),0))</f>
        <v/>
      </c>
      <c r="L340" s="25" t="str">
        <f aca="false">IF($D340="","",J340-K340)</f>
        <v/>
      </c>
      <c r="M340" s="29"/>
      <c r="N340" s="29"/>
    </row>
    <row r="341" customFormat="false" ht="15" hidden="false" customHeight="false" outlineLevel="0" collapsed="false">
      <c r="A341" s="32"/>
      <c r="B341" s="29"/>
      <c r="C341" s="29"/>
      <c r="D341" s="29"/>
      <c r="E341" s="28" t="str">
        <f aca="false">IF($D341="","",IFERROR(INDEX(المنتجات!$C$5:$C$24,MATCH($D341,المنتجات!$A$5:$A$24,0)),"كود غير موجود"))</f>
        <v/>
      </c>
      <c r="F341" s="28" t="str">
        <f aca="false">IF($D341="","",IFERROR(INDEX(المنتجات!$B$5:$B$24,MATCH($D341,المنتجات!$A$5:$A$24,0)),""))</f>
        <v/>
      </c>
      <c r="G341" s="24"/>
      <c r="H341" s="25" t="str">
        <f aca="false">IF($D341="","",IFERROR(INDEX(المنتجات!$F$5:$F$24,MATCH($D341,المنتجات!$A$5:$A$24,0)),0))</f>
        <v/>
      </c>
      <c r="I341" s="30"/>
      <c r="J341" s="25" t="str">
        <f aca="false">IF($D341="","",N(G341)*H341-N(I341))</f>
        <v/>
      </c>
      <c r="K341" s="25" t="str">
        <f aca="false">IF($D341="","",N(G341)*IFERROR(INDEX(المنتجات!$H$5:$H$24,MATCH($D341,المنتجات!$A$5:$A$24,0)),0))</f>
        <v/>
      </c>
      <c r="L341" s="25" t="str">
        <f aca="false">IF($D341="","",J341-K341)</f>
        <v/>
      </c>
      <c r="M341" s="29"/>
      <c r="N341" s="29"/>
    </row>
    <row r="342" customFormat="false" ht="15" hidden="false" customHeight="false" outlineLevel="0" collapsed="false">
      <c r="A342" s="32"/>
      <c r="B342" s="29"/>
      <c r="C342" s="29"/>
      <c r="D342" s="29"/>
      <c r="E342" s="28" t="str">
        <f aca="false">IF($D342="","",IFERROR(INDEX(المنتجات!$C$5:$C$24,MATCH($D342,المنتجات!$A$5:$A$24,0)),"كود غير موجود"))</f>
        <v/>
      </c>
      <c r="F342" s="28" t="str">
        <f aca="false">IF($D342="","",IFERROR(INDEX(المنتجات!$B$5:$B$24,MATCH($D342,المنتجات!$A$5:$A$24,0)),""))</f>
        <v/>
      </c>
      <c r="G342" s="24"/>
      <c r="H342" s="25" t="str">
        <f aca="false">IF($D342="","",IFERROR(INDEX(المنتجات!$F$5:$F$24,MATCH($D342,المنتجات!$A$5:$A$24,0)),0))</f>
        <v/>
      </c>
      <c r="I342" s="30"/>
      <c r="J342" s="25" t="str">
        <f aca="false">IF($D342="","",N(G342)*H342-N(I342))</f>
        <v/>
      </c>
      <c r="K342" s="25" t="str">
        <f aca="false">IF($D342="","",N(G342)*IFERROR(INDEX(المنتجات!$H$5:$H$24,MATCH($D342,المنتجات!$A$5:$A$24,0)),0))</f>
        <v/>
      </c>
      <c r="L342" s="25" t="str">
        <f aca="false">IF($D342="","",J342-K342)</f>
        <v/>
      </c>
      <c r="M342" s="29"/>
      <c r="N342" s="29"/>
    </row>
    <row r="343" customFormat="false" ht="15" hidden="false" customHeight="false" outlineLevel="0" collapsed="false">
      <c r="A343" s="32"/>
      <c r="B343" s="29"/>
      <c r="C343" s="29"/>
      <c r="D343" s="29"/>
      <c r="E343" s="28" t="str">
        <f aca="false">IF($D343="","",IFERROR(INDEX(المنتجات!$C$5:$C$24,MATCH($D343,المنتجات!$A$5:$A$24,0)),"كود غير موجود"))</f>
        <v/>
      </c>
      <c r="F343" s="28" t="str">
        <f aca="false">IF($D343="","",IFERROR(INDEX(المنتجات!$B$5:$B$24,MATCH($D343,المنتجات!$A$5:$A$24,0)),""))</f>
        <v/>
      </c>
      <c r="G343" s="24"/>
      <c r="H343" s="25" t="str">
        <f aca="false">IF($D343="","",IFERROR(INDEX(المنتجات!$F$5:$F$24,MATCH($D343,المنتجات!$A$5:$A$24,0)),0))</f>
        <v/>
      </c>
      <c r="I343" s="30"/>
      <c r="J343" s="25" t="str">
        <f aca="false">IF($D343="","",N(G343)*H343-N(I343))</f>
        <v/>
      </c>
      <c r="K343" s="25" t="str">
        <f aca="false">IF($D343="","",N(G343)*IFERROR(INDEX(المنتجات!$H$5:$H$24,MATCH($D343,المنتجات!$A$5:$A$24,0)),0))</f>
        <v/>
      </c>
      <c r="L343" s="25" t="str">
        <f aca="false">IF($D343="","",J343-K343)</f>
        <v/>
      </c>
      <c r="M343" s="29"/>
      <c r="N343" s="29"/>
    </row>
    <row r="344" customFormat="false" ht="15" hidden="false" customHeight="false" outlineLevel="0" collapsed="false">
      <c r="A344" s="32"/>
      <c r="B344" s="29"/>
      <c r="C344" s="29"/>
      <c r="D344" s="29"/>
      <c r="E344" s="28" t="str">
        <f aca="false">IF($D344="","",IFERROR(INDEX(المنتجات!$C$5:$C$24,MATCH($D344,المنتجات!$A$5:$A$24,0)),"كود غير موجود"))</f>
        <v/>
      </c>
      <c r="F344" s="28" t="str">
        <f aca="false">IF($D344="","",IFERROR(INDEX(المنتجات!$B$5:$B$24,MATCH($D344,المنتجات!$A$5:$A$24,0)),""))</f>
        <v/>
      </c>
      <c r="G344" s="24"/>
      <c r="H344" s="25" t="str">
        <f aca="false">IF($D344="","",IFERROR(INDEX(المنتجات!$F$5:$F$24,MATCH($D344,المنتجات!$A$5:$A$24,0)),0))</f>
        <v/>
      </c>
      <c r="I344" s="30"/>
      <c r="J344" s="25" t="str">
        <f aca="false">IF($D344="","",N(G344)*H344-N(I344))</f>
        <v/>
      </c>
      <c r="K344" s="25" t="str">
        <f aca="false">IF($D344="","",N(G344)*IFERROR(INDEX(المنتجات!$H$5:$H$24,MATCH($D344,المنتجات!$A$5:$A$24,0)),0))</f>
        <v/>
      </c>
      <c r="L344" s="25" t="str">
        <f aca="false">IF($D344="","",J344-K344)</f>
        <v/>
      </c>
      <c r="M344" s="29"/>
      <c r="N344" s="29"/>
    </row>
    <row r="345" customFormat="false" ht="15" hidden="false" customHeight="false" outlineLevel="0" collapsed="false">
      <c r="A345" s="32"/>
      <c r="B345" s="29"/>
      <c r="C345" s="29"/>
      <c r="D345" s="29"/>
      <c r="E345" s="28" t="str">
        <f aca="false">IF($D345="","",IFERROR(INDEX(المنتجات!$C$5:$C$24,MATCH($D345,المنتجات!$A$5:$A$24,0)),"كود غير موجود"))</f>
        <v/>
      </c>
      <c r="F345" s="28" t="str">
        <f aca="false">IF($D345="","",IFERROR(INDEX(المنتجات!$B$5:$B$24,MATCH($D345,المنتجات!$A$5:$A$24,0)),""))</f>
        <v/>
      </c>
      <c r="G345" s="24"/>
      <c r="H345" s="25" t="str">
        <f aca="false">IF($D345="","",IFERROR(INDEX(المنتجات!$F$5:$F$24,MATCH($D345,المنتجات!$A$5:$A$24,0)),0))</f>
        <v/>
      </c>
      <c r="I345" s="30"/>
      <c r="J345" s="25" t="str">
        <f aca="false">IF($D345="","",N(G345)*H345-N(I345))</f>
        <v/>
      </c>
      <c r="K345" s="25" t="str">
        <f aca="false">IF($D345="","",N(G345)*IFERROR(INDEX(المنتجات!$H$5:$H$24,MATCH($D345,المنتجات!$A$5:$A$24,0)),0))</f>
        <v/>
      </c>
      <c r="L345" s="25" t="str">
        <f aca="false">IF($D345="","",J345-K345)</f>
        <v/>
      </c>
      <c r="M345" s="29"/>
      <c r="N345" s="29"/>
    </row>
    <row r="346" customFormat="false" ht="15" hidden="false" customHeight="false" outlineLevel="0" collapsed="false">
      <c r="A346" s="32"/>
      <c r="B346" s="29"/>
      <c r="C346" s="29"/>
      <c r="D346" s="29"/>
      <c r="E346" s="28" t="str">
        <f aca="false">IF($D346="","",IFERROR(INDEX(المنتجات!$C$5:$C$24,MATCH($D346,المنتجات!$A$5:$A$24,0)),"كود غير موجود"))</f>
        <v/>
      </c>
      <c r="F346" s="28" t="str">
        <f aca="false">IF($D346="","",IFERROR(INDEX(المنتجات!$B$5:$B$24,MATCH($D346,المنتجات!$A$5:$A$24,0)),""))</f>
        <v/>
      </c>
      <c r="G346" s="24"/>
      <c r="H346" s="25" t="str">
        <f aca="false">IF($D346="","",IFERROR(INDEX(المنتجات!$F$5:$F$24,MATCH($D346,المنتجات!$A$5:$A$24,0)),0))</f>
        <v/>
      </c>
      <c r="I346" s="30"/>
      <c r="J346" s="25" t="str">
        <f aca="false">IF($D346="","",N(G346)*H346-N(I346))</f>
        <v/>
      </c>
      <c r="K346" s="25" t="str">
        <f aca="false">IF($D346="","",N(G346)*IFERROR(INDEX(المنتجات!$H$5:$H$24,MATCH($D346,المنتجات!$A$5:$A$24,0)),0))</f>
        <v/>
      </c>
      <c r="L346" s="25" t="str">
        <f aca="false">IF($D346="","",J346-K346)</f>
        <v/>
      </c>
      <c r="M346" s="29"/>
      <c r="N346" s="29"/>
    </row>
    <row r="347" customFormat="false" ht="15" hidden="false" customHeight="false" outlineLevel="0" collapsed="false">
      <c r="A347" s="32"/>
      <c r="B347" s="29"/>
      <c r="C347" s="29"/>
      <c r="D347" s="29"/>
      <c r="E347" s="28" t="str">
        <f aca="false">IF($D347="","",IFERROR(INDEX(المنتجات!$C$5:$C$24,MATCH($D347,المنتجات!$A$5:$A$24,0)),"كود غير موجود"))</f>
        <v/>
      </c>
      <c r="F347" s="28" t="str">
        <f aca="false">IF($D347="","",IFERROR(INDEX(المنتجات!$B$5:$B$24,MATCH($D347,المنتجات!$A$5:$A$24,0)),""))</f>
        <v/>
      </c>
      <c r="G347" s="24"/>
      <c r="H347" s="25" t="str">
        <f aca="false">IF($D347="","",IFERROR(INDEX(المنتجات!$F$5:$F$24,MATCH($D347,المنتجات!$A$5:$A$24,0)),0))</f>
        <v/>
      </c>
      <c r="I347" s="30"/>
      <c r="J347" s="25" t="str">
        <f aca="false">IF($D347="","",N(G347)*H347-N(I347))</f>
        <v/>
      </c>
      <c r="K347" s="25" t="str">
        <f aca="false">IF($D347="","",N(G347)*IFERROR(INDEX(المنتجات!$H$5:$H$24,MATCH($D347,المنتجات!$A$5:$A$24,0)),0))</f>
        <v/>
      </c>
      <c r="L347" s="25" t="str">
        <f aca="false">IF($D347="","",J347-K347)</f>
        <v/>
      </c>
      <c r="M347" s="29"/>
      <c r="N347" s="29"/>
    </row>
    <row r="348" customFormat="false" ht="15" hidden="false" customHeight="false" outlineLevel="0" collapsed="false">
      <c r="A348" s="32"/>
      <c r="B348" s="29"/>
      <c r="C348" s="29"/>
      <c r="D348" s="29"/>
      <c r="E348" s="28" t="str">
        <f aca="false">IF($D348="","",IFERROR(INDEX(المنتجات!$C$5:$C$24,MATCH($D348,المنتجات!$A$5:$A$24,0)),"كود غير موجود"))</f>
        <v/>
      </c>
      <c r="F348" s="28" t="str">
        <f aca="false">IF($D348="","",IFERROR(INDEX(المنتجات!$B$5:$B$24,MATCH($D348,المنتجات!$A$5:$A$24,0)),""))</f>
        <v/>
      </c>
      <c r="G348" s="24"/>
      <c r="H348" s="25" t="str">
        <f aca="false">IF($D348="","",IFERROR(INDEX(المنتجات!$F$5:$F$24,MATCH($D348,المنتجات!$A$5:$A$24,0)),0))</f>
        <v/>
      </c>
      <c r="I348" s="30"/>
      <c r="J348" s="25" t="str">
        <f aca="false">IF($D348="","",N(G348)*H348-N(I348))</f>
        <v/>
      </c>
      <c r="K348" s="25" t="str">
        <f aca="false">IF($D348="","",N(G348)*IFERROR(INDEX(المنتجات!$H$5:$H$24,MATCH($D348,المنتجات!$A$5:$A$24,0)),0))</f>
        <v/>
      </c>
      <c r="L348" s="25" t="str">
        <f aca="false">IF($D348="","",J348-K348)</f>
        <v/>
      </c>
      <c r="M348" s="29"/>
      <c r="N348" s="29"/>
    </row>
    <row r="349" customFormat="false" ht="15" hidden="false" customHeight="false" outlineLevel="0" collapsed="false">
      <c r="A349" s="32"/>
      <c r="B349" s="29"/>
      <c r="C349" s="29"/>
      <c r="D349" s="29"/>
      <c r="E349" s="28" t="str">
        <f aca="false">IF($D349="","",IFERROR(INDEX(المنتجات!$C$5:$C$24,MATCH($D349,المنتجات!$A$5:$A$24,0)),"كود غير موجود"))</f>
        <v/>
      </c>
      <c r="F349" s="28" t="str">
        <f aca="false">IF($D349="","",IFERROR(INDEX(المنتجات!$B$5:$B$24,MATCH($D349,المنتجات!$A$5:$A$24,0)),""))</f>
        <v/>
      </c>
      <c r="G349" s="24"/>
      <c r="H349" s="25" t="str">
        <f aca="false">IF($D349="","",IFERROR(INDEX(المنتجات!$F$5:$F$24,MATCH($D349,المنتجات!$A$5:$A$24,0)),0))</f>
        <v/>
      </c>
      <c r="I349" s="30"/>
      <c r="J349" s="25" t="str">
        <f aca="false">IF($D349="","",N(G349)*H349-N(I349))</f>
        <v/>
      </c>
      <c r="K349" s="25" t="str">
        <f aca="false">IF($D349="","",N(G349)*IFERROR(INDEX(المنتجات!$H$5:$H$24,MATCH($D349,المنتجات!$A$5:$A$24,0)),0))</f>
        <v/>
      </c>
      <c r="L349" s="25" t="str">
        <f aca="false">IF($D349="","",J349-K349)</f>
        <v/>
      </c>
      <c r="M349" s="29"/>
      <c r="N349" s="29"/>
    </row>
    <row r="350" customFormat="false" ht="15" hidden="false" customHeight="false" outlineLevel="0" collapsed="false">
      <c r="A350" s="32"/>
      <c r="B350" s="29"/>
      <c r="C350" s="29"/>
      <c r="D350" s="29"/>
      <c r="E350" s="28" t="str">
        <f aca="false">IF($D350="","",IFERROR(INDEX(المنتجات!$C$5:$C$24,MATCH($D350,المنتجات!$A$5:$A$24,0)),"كود غير موجود"))</f>
        <v/>
      </c>
      <c r="F350" s="28" t="str">
        <f aca="false">IF($D350="","",IFERROR(INDEX(المنتجات!$B$5:$B$24,MATCH($D350,المنتجات!$A$5:$A$24,0)),""))</f>
        <v/>
      </c>
      <c r="G350" s="24"/>
      <c r="H350" s="25" t="str">
        <f aca="false">IF($D350="","",IFERROR(INDEX(المنتجات!$F$5:$F$24,MATCH($D350,المنتجات!$A$5:$A$24,0)),0))</f>
        <v/>
      </c>
      <c r="I350" s="30"/>
      <c r="J350" s="25" t="str">
        <f aca="false">IF($D350="","",N(G350)*H350-N(I350))</f>
        <v/>
      </c>
      <c r="K350" s="25" t="str">
        <f aca="false">IF($D350="","",N(G350)*IFERROR(INDEX(المنتجات!$H$5:$H$24,MATCH($D350,المنتجات!$A$5:$A$24,0)),0))</f>
        <v/>
      </c>
      <c r="L350" s="25" t="str">
        <f aca="false">IF($D350="","",J350-K350)</f>
        <v/>
      </c>
      <c r="M350" s="29"/>
      <c r="N350" s="29"/>
    </row>
    <row r="351" customFormat="false" ht="15" hidden="false" customHeight="false" outlineLevel="0" collapsed="false">
      <c r="A351" s="32"/>
      <c r="B351" s="29"/>
      <c r="C351" s="29"/>
      <c r="D351" s="29"/>
      <c r="E351" s="28" t="str">
        <f aca="false">IF($D351="","",IFERROR(INDEX(المنتجات!$C$5:$C$24,MATCH($D351,المنتجات!$A$5:$A$24,0)),"كود غير موجود"))</f>
        <v/>
      </c>
      <c r="F351" s="28" t="str">
        <f aca="false">IF($D351="","",IFERROR(INDEX(المنتجات!$B$5:$B$24,MATCH($D351,المنتجات!$A$5:$A$24,0)),""))</f>
        <v/>
      </c>
      <c r="G351" s="24"/>
      <c r="H351" s="25" t="str">
        <f aca="false">IF($D351="","",IFERROR(INDEX(المنتجات!$F$5:$F$24,MATCH($D351,المنتجات!$A$5:$A$24,0)),0))</f>
        <v/>
      </c>
      <c r="I351" s="30"/>
      <c r="J351" s="25" t="str">
        <f aca="false">IF($D351="","",N(G351)*H351-N(I351))</f>
        <v/>
      </c>
      <c r="K351" s="25" t="str">
        <f aca="false">IF($D351="","",N(G351)*IFERROR(INDEX(المنتجات!$H$5:$H$24,MATCH($D351,المنتجات!$A$5:$A$24,0)),0))</f>
        <v/>
      </c>
      <c r="L351" s="25" t="str">
        <f aca="false">IF($D351="","",J351-K351)</f>
        <v/>
      </c>
      <c r="M351" s="29"/>
      <c r="N351" s="29"/>
    </row>
    <row r="352" customFormat="false" ht="15" hidden="false" customHeight="false" outlineLevel="0" collapsed="false">
      <c r="A352" s="32"/>
      <c r="B352" s="29"/>
      <c r="C352" s="29"/>
      <c r="D352" s="29"/>
      <c r="E352" s="28" t="str">
        <f aca="false">IF($D352="","",IFERROR(INDEX(المنتجات!$C$5:$C$24,MATCH($D352,المنتجات!$A$5:$A$24,0)),"كود غير موجود"))</f>
        <v/>
      </c>
      <c r="F352" s="28" t="str">
        <f aca="false">IF($D352="","",IFERROR(INDEX(المنتجات!$B$5:$B$24,MATCH($D352,المنتجات!$A$5:$A$24,0)),""))</f>
        <v/>
      </c>
      <c r="G352" s="24"/>
      <c r="H352" s="25" t="str">
        <f aca="false">IF($D352="","",IFERROR(INDEX(المنتجات!$F$5:$F$24,MATCH($D352,المنتجات!$A$5:$A$24,0)),0))</f>
        <v/>
      </c>
      <c r="I352" s="30"/>
      <c r="J352" s="25" t="str">
        <f aca="false">IF($D352="","",N(G352)*H352-N(I352))</f>
        <v/>
      </c>
      <c r="K352" s="25" t="str">
        <f aca="false">IF($D352="","",N(G352)*IFERROR(INDEX(المنتجات!$H$5:$H$24,MATCH($D352,المنتجات!$A$5:$A$24,0)),0))</f>
        <v/>
      </c>
      <c r="L352" s="25" t="str">
        <f aca="false">IF($D352="","",J352-K352)</f>
        <v/>
      </c>
      <c r="M352" s="29"/>
      <c r="N352" s="29"/>
    </row>
    <row r="353" customFormat="false" ht="15" hidden="false" customHeight="false" outlineLevel="0" collapsed="false">
      <c r="A353" s="32"/>
      <c r="B353" s="29"/>
      <c r="C353" s="29"/>
      <c r="D353" s="29"/>
      <c r="E353" s="28" t="str">
        <f aca="false">IF($D353="","",IFERROR(INDEX(المنتجات!$C$5:$C$24,MATCH($D353,المنتجات!$A$5:$A$24,0)),"كود غير موجود"))</f>
        <v/>
      </c>
      <c r="F353" s="28" t="str">
        <f aca="false">IF($D353="","",IFERROR(INDEX(المنتجات!$B$5:$B$24,MATCH($D353,المنتجات!$A$5:$A$24,0)),""))</f>
        <v/>
      </c>
      <c r="G353" s="24"/>
      <c r="H353" s="25" t="str">
        <f aca="false">IF($D353="","",IFERROR(INDEX(المنتجات!$F$5:$F$24,MATCH($D353,المنتجات!$A$5:$A$24,0)),0))</f>
        <v/>
      </c>
      <c r="I353" s="30"/>
      <c r="J353" s="25" t="str">
        <f aca="false">IF($D353="","",N(G353)*H353-N(I353))</f>
        <v/>
      </c>
      <c r="K353" s="25" t="str">
        <f aca="false">IF($D353="","",N(G353)*IFERROR(INDEX(المنتجات!$H$5:$H$24,MATCH($D353,المنتجات!$A$5:$A$24,0)),0))</f>
        <v/>
      </c>
      <c r="L353" s="25" t="str">
        <f aca="false">IF($D353="","",J353-K353)</f>
        <v/>
      </c>
      <c r="M353" s="29"/>
      <c r="N353" s="29"/>
    </row>
    <row r="354" customFormat="false" ht="15" hidden="false" customHeight="false" outlineLevel="0" collapsed="false">
      <c r="A354" s="32"/>
      <c r="B354" s="29"/>
      <c r="C354" s="29"/>
      <c r="D354" s="29"/>
      <c r="E354" s="28" t="str">
        <f aca="false">IF($D354="","",IFERROR(INDEX(المنتجات!$C$5:$C$24,MATCH($D354,المنتجات!$A$5:$A$24,0)),"كود غير موجود"))</f>
        <v/>
      </c>
      <c r="F354" s="28" t="str">
        <f aca="false">IF($D354="","",IFERROR(INDEX(المنتجات!$B$5:$B$24,MATCH($D354,المنتجات!$A$5:$A$24,0)),""))</f>
        <v/>
      </c>
      <c r="G354" s="24"/>
      <c r="H354" s="25" t="str">
        <f aca="false">IF($D354="","",IFERROR(INDEX(المنتجات!$F$5:$F$24,MATCH($D354,المنتجات!$A$5:$A$24,0)),0))</f>
        <v/>
      </c>
      <c r="I354" s="30"/>
      <c r="J354" s="25" t="str">
        <f aca="false">IF($D354="","",N(G354)*H354-N(I354))</f>
        <v/>
      </c>
      <c r="K354" s="25" t="str">
        <f aca="false">IF($D354="","",N(G354)*IFERROR(INDEX(المنتجات!$H$5:$H$24,MATCH($D354,المنتجات!$A$5:$A$24,0)),0))</f>
        <v/>
      </c>
      <c r="L354" s="25" t="str">
        <f aca="false">IF($D354="","",J354-K354)</f>
        <v/>
      </c>
      <c r="M354" s="29"/>
      <c r="N354" s="29"/>
    </row>
    <row r="355" customFormat="false" ht="15" hidden="false" customHeight="false" outlineLevel="0" collapsed="false">
      <c r="A355" s="32"/>
      <c r="B355" s="29"/>
      <c r="C355" s="29"/>
      <c r="D355" s="29"/>
      <c r="E355" s="28" t="str">
        <f aca="false">IF($D355="","",IFERROR(INDEX(المنتجات!$C$5:$C$24,MATCH($D355,المنتجات!$A$5:$A$24,0)),"كود غير موجود"))</f>
        <v/>
      </c>
      <c r="F355" s="28" t="str">
        <f aca="false">IF($D355="","",IFERROR(INDEX(المنتجات!$B$5:$B$24,MATCH($D355,المنتجات!$A$5:$A$24,0)),""))</f>
        <v/>
      </c>
      <c r="G355" s="24"/>
      <c r="H355" s="25" t="str">
        <f aca="false">IF($D355="","",IFERROR(INDEX(المنتجات!$F$5:$F$24,MATCH($D355,المنتجات!$A$5:$A$24,0)),0))</f>
        <v/>
      </c>
      <c r="I355" s="30"/>
      <c r="J355" s="25" t="str">
        <f aca="false">IF($D355="","",N(G355)*H355-N(I355))</f>
        <v/>
      </c>
      <c r="K355" s="25" t="str">
        <f aca="false">IF($D355="","",N(G355)*IFERROR(INDEX(المنتجات!$H$5:$H$24,MATCH($D355,المنتجات!$A$5:$A$24,0)),0))</f>
        <v/>
      </c>
      <c r="L355" s="25" t="str">
        <f aca="false">IF($D355="","",J355-K355)</f>
        <v/>
      </c>
      <c r="M355" s="29"/>
      <c r="N355" s="29"/>
    </row>
    <row r="356" customFormat="false" ht="15" hidden="false" customHeight="false" outlineLevel="0" collapsed="false">
      <c r="A356" s="32"/>
      <c r="B356" s="29"/>
      <c r="C356" s="29"/>
      <c r="D356" s="29"/>
      <c r="E356" s="28" t="str">
        <f aca="false">IF($D356="","",IFERROR(INDEX(المنتجات!$C$5:$C$24,MATCH($D356,المنتجات!$A$5:$A$24,0)),"كود غير موجود"))</f>
        <v/>
      </c>
      <c r="F356" s="28" t="str">
        <f aca="false">IF($D356="","",IFERROR(INDEX(المنتجات!$B$5:$B$24,MATCH($D356,المنتجات!$A$5:$A$24,0)),""))</f>
        <v/>
      </c>
      <c r="G356" s="24"/>
      <c r="H356" s="25" t="str">
        <f aca="false">IF($D356="","",IFERROR(INDEX(المنتجات!$F$5:$F$24,MATCH($D356,المنتجات!$A$5:$A$24,0)),0))</f>
        <v/>
      </c>
      <c r="I356" s="30"/>
      <c r="J356" s="25" t="str">
        <f aca="false">IF($D356="","",N(G356)*H356-N(I356))</f>
        <v/>
      </c>
      <c r="K356" s="25" t="str">
        <f aca="false">IF($D356="","",N(G356)*IFERROR(INDEX(المنتجات!$H$5:$H$24,MATCH($D356,المنتجات!$A$5:$A$24,0)),0))</f>
        <v/>
      </c>
      <c r="L356" s="25" t="str">
        <f aca="false">IF($D356="","",J356-K356)</f>
        <v/>
      </c>
      <c r="M356" s="29"/>
      <c r="N356" s="29"/>
    </row>
    <row r="357" customFormat="false" ht="15" hidden="false" customHeight="false" outlineLevel="0" collapsed="false">
      <c r="A357" s="32"/>
      <c r="B357" s="29"/>
      <c r="C357" s="29"/>
      <c r="D357" s="29"/>
      <c r="E357" s="28" t="str">
        <f aca="false">IF($D357="","",IFERROR(INDEX(المنتجات!$C$5:$C$24,MATCH($D357,المنتجات!$A$5:$A$24,0)),"كود غير موجود"))</f>
        <v/>
      </c>
      <c r="F357" s="28" t="str">
        <f aca="false">IF($D357="","",IFERROR(INDEX(المنتجات!$B$5:$B$24,MATCH($D357,المنتجات!$A$5:$A$24,0)),""))</f>
        <v/>
      </c>
      <c r="G357" s="24"/>
      <c r="H357" s="25" t="str">
        <f aca="false">IF($D357="","",IFERROR(INDEX(المنتجات!$F$5:$F$24,MATCH($D357,المنتجات!$A$5:$A$24,0)),0))</f>
        <v/>
      </c>
      <c r="I357" s="30"/>
      <c r="J357" s="25" t="str">
        <f aca="false">IF($D357="","",N(G357)*H357-N(I357))</f>
        <v/>
      </c>
      <c r="K357" s="25" t="str">
        <f aca="false">IF($D357="","",N(G357)*IFERROR(INDEX(المنتجات!$H$5:$H$24,MATCH($D357,المنتجات!$A$5:$A$24,0)),0))</f>
        <v/>
      </c>
      <c r="L357" s="25" t="str">
        <f aca="false">IF($D357="","",J357-K357)</f>
        <v/>
      </c>
      <c r="M357" s="29"/>
      <c r="N357" s="29"/>
    </row>
    <row r="358" customFormat="false" ht="15" hidden="false" customHeight="false" outlineLevel="0" collapsed="false">
      <c r="A358" s="32"/>
      <c r="B358" s="29"/>
      <c r="C358" s="29"/>
      <c r="D358" s="29"/>
      <c r="E358" s="28" t="str">
        <f aca="false">IF($D358="","",IFERROR(INDEX(المنتجات!$C$5:$C$24,MATCH($D358,المنتجات!$A$5:$A$24,0)),"كود غير موجود"))</f>
        <v/>
      </c>
      <c r="F358" s="28" t="str">
        <f aca="false">IF($D358="","",IFERROR(INDEX(المنتجات!$B$5:$B$24,MATCH($D358,المنتجات!$A$5:$A$24,0)),""))</f>
        <v/>
      </c>
      <c r="G358" s="24"/>
      <c r="H358" s="25" t="str">
        <f aca="false">IF($D358="","",IFERROR(INDEX(المنتجات!$F$5:$F$24,MATCH($D358,المنتجات!$A$5:$A$24,0)),0))</f>
        <v/>
      </c>
      <c r="I358" s="30"/>
      <c r="J358" s="25" t="str">
        <f aca="false">IF($D358="","",N(G358)*H358-N(I358))</f>
        <v/>
      </c>
      <c r="K358" s="25" t="str">
        <f aca="false">IF($D358="","",N(G358)*IFERROR(INDEX(المنتجات!$H$5:$H$24,MATCH($D358,المنتجات!$A$5:$A$24,0)),0))</f>
        <v/>
      </c>
      <c r="L358" s="25" t="str">
        <f aca="false">IF($D358="","",J358-K358)</f>
        <v/>
      </c>
      <c r="M358" s="29"/>
      <c r="N358" s="29"/>
    </row>
    <row r="359" customFormat="false" ht="15" hidden="false" customHeight="false" outlineLevel="0" collapsed="false">
      <c r="A359" s="32"/>
      <c r="B359" s="29"/>
      <c r="C359" s="29"/>
      <c r="D359" s="29"/>
      <c r="E359" s="28" t="str">
        <f aca="false">IF($D359="","",IFERROR(INDEX(المنتجات!$C$5:$C$24,MATCH($D359,المنتجات!$A$5:$A$24,0)),"كود غير موجود"))</f>
        <v/>
      </c>
      <c r="F359" s="28" t="str">
        <f aca="false">IF($D359="","",IFERROR(INDEX(المنتجات!$B$5:$B$24,MATCH($D359,المنتجات!$A$5:$A$24,0)),""))</f>
        <v/>
      </c>
      <c r="G359" s="24"/>
      <c r="H359" s="25" t="str">
        <f aca="false">IF($D359="","",IFERROR(INDEX(المنتجات!$F$5:$F$24,MATCH($D359,المنتجات!$A$5:$A$24,0)),0))</f>
        <v/>
      </c>
      <c r="I359" s="30"/>
      <c r="J359" s="25" t="str">
        <f aca="false">IF($D359="","",N(G359)*H359-N(I359))</f>
        <v/>
      </c>
      <c r="K359" s="25" t="str">
        <f aca="false">IF($D359="","",N(G359)*IFERROR(INDEX(المنتجات!$H$5:$H$24,MATCH($D359,المنتجات!$A$5:$A$24,0)),0))</f>
        <v/>
      </c>
      <c r="L359" s="25" t="str">
        <f aca="false">IF($D359="","",J359-K359)</f>
        <v/>
      </c>
      <c r="M359" s="29"/>
      <c r="N359" s="29"/>
    </row>
    <row r="360" customFormat="false" ht="15" hidden="false" customHeight="false" outlineLevel="0" collapsed="false">
      <c r="A360" s="32"/>
      <c r="B360" s="29"/>
      <c r="C360" s="29"/>
      <c r="D360" s="29"/>
      <c r="E360" s="28" t="str">
        <f aca="false">IF($D360="","",IFERROR(INDEX(المنتجات!$C$5:$C$24,MATCH($D360,المنتجات!$A$5:$A$24,0)),"كود غير موجود"))</f>
        <v/>
      </c>
      <c r="F360" s="28" t="str">
        <f aca="false">IF($D360="","",IFERROR(INDEX(المنتجات!$B$5:$B$24,MATCH($D360,المنتجات!$A$5:$A$24,0)),""))</f>
        <v/>
      </c>
      <c r="G360" s="24"/>
      <c r="H360" s="25" t="str">
        <f aca="false">IF($D360="","",IFERROR(INDEX(المنتجات!$F$5:$F$24,MATCH($D360,المنتجات!$A$5:$A$24,0)),0))</f>
        <v/>
      </c>
      <c r="I360" s="30"/>
      <c r="J360" s="25" t="str">
        <f aca="false">IF($D360="","",N(G360)*H360-N(I360))</f>
        <v/>
      </c>
      <c r="K360" s="25" t="str">
        <f aca="false">IF($D360="","",N(G360)*IFERROR(INDEX(المنتجات!$H$5:$H$24,MATCH($D360,المنتجات!$A$5:$A$24,0)),0))</f>
        <v/>
      </c>
      <c r="L360" s="25" t="str">
        <f aca="false">IF($D360="","",J360-K360)</f>
        <v/>
      </c>
      <c r="M360" s="29"/>
      <c r="N360" s="29"/>
    </row>
    <row r="361" customFormat="false" ht="15" hidden="false" customHeight="false" outlineLevel="0" collapsed="false">
      <c r="A361" s="32"/>
      <c r="B361" s="29"/>
      <c r="C361" s="29"/>
      <c r="D361" s="29"/>
      <c r="E361" s="28" t="str">
        <f aca="false">IF($D361="","",IFERROR(INDEX(المنتجات!$C$5:$C$24,MATCH($D361,المنتجات!$A$5:$A$24,0)),"كود غير موجود"))</f>
        <v/>
      </c>
      <c r="F361" s="28" t="str">
        <f aca="false">IF($D361="","",IFERROR(INDEX(المنتجات!$B$5:$B$24,MATCH($D361,المنتجات!$A$5:$A$24,0)),""))</f>
        <v/>
      </c>
      <c r="G361" s="24"/>
      <c r="H361" s="25" t="str">
        <f aca="false">IF($D361="","",IFERROR(INDEX(المنتجات!$F$5:$F$24,MATCH($D361,المنتجات!$A$5:$A$24,0)),0))</f>
        <v/>
      </c>
      <c r="I361" s="30"/>
      <c r="J361" s="25" t="str">
        <f aca="false">IF($D361="","",N(G361)*H361-N(I361))</f>
        <v/>
      </c>
      <c r="K361" s="25" t="str">
        <f aca="false">IF($D361="","",N(G361)*IFERROR(INDEX(المنتجات!$H$5:$H$24,MATCH($D361,المنتجات!$A$5:$A$24,0)),0))</f>
        <v/>
      </c>
      <c r="L361" s="25" t="str">
        <f aca="false">IF($D361="","",J361-K361)</f>
        <v/>
      </c>
      <c r="M361" s="29"/>
      <c r="N361" s="29"/>
    </row>
    <row r="362" customFormat="false" ht="15" hidden="false" customHeight="false" outlineLevel="0" collapsed="false">
      <c r="A362" s="32"/>
      <c r="B362" s="29"/>
      <c r="C362" s="29"/>
      <c r="D362" s="29"/>
      <c r="E362" s="28" t="str">
        <f aca="false">IF($D362="","",IFERROR(INDEX(المنتجات!$C$5:$C$24,MATCH($D362,المنتجات!$A$5:$A$24,0)),"كود غير موجود"))</f>
        <v/>
      </c>
      <c r="F362" s="28" t="str">
        <f aca="false">IF($D362="","",IFERROR(INDEX(المنتجات!$B$5:$B$24,MATCH($D362,المنتجات!$A$5:$A$24,0)),""))</f>
        <v/>
      </c>
      <c r="G362" s="24"/>
      <c r="H362" s="25" t="str">
        <f aca="false">IF($D362="","",IFERROR(INDEX(المنتجات!$F$5:$F$24,MATCH($D362,المنتجات!$A$5:$A$24,0)),0))</f>
        <v/>
      </c>
      <c r="I362" s="30"/>
      <c r="J362" s="25" t="str">
        <f aca="false">IF($D362="","",N(G362)*H362-N(I362))</f>
        <v/>
      </c>
      <c r="K362" s="25" t="str">
        <f aca="false">IF($D362="","",N(G362)*IFERROR(INDEX(المنتجات!$H$5:$H$24,MATCH($D362,المنتجات!$A$5:$A$24,0)),0))</f>
        <v/>
      </c>
      <c r="L362" s="25" t="str">
        <f aca="false">IF($D362="","",J362-K362)</f>
        <v/>
      </c>
      <c r="M362" s="29"/>
      <c r="N362" s="29"/>
    </row>
    <row r="363" customFormat="false" ht="15" hidden="false" customHeight="false" outlineLevel="0" collapsed="false">
      <c r="A363" s="32"/>
      <c r="B363" s="29"/>
      <c r="C363" s="29"/>
      <c r="D363" s="29"/>
      <c r="E363" s="28" t="str">
        <f aca="false">IF($D363="","",IFERROR(INDEX(المنتجات!$C$5:$C$24,MATCH($D363,المنتجات!$A$5:$A$24,0)),"كود غير موجود"))</f>
        <v/>
      </c>
      <c r="F363" s="28" t="str">
        <f aca="false">IF($D363="","",IFERROR(INDEX(المنتجات!$B$5:$B$24,MATCH($D363,المنتجات!$A$5:$A$24,0)),""))</f>
        <v/>
      </c>
      <c r="G363" s="24"/>
      <c r="H363" s="25" t="str">
        <f aca="false">IF($D363="","",IFERROR(INDEX(المنتجات!$F$5:$F$24,MATCH($D363,المنتجات!$A$5:$A$24,0)),0))</f>
        <v/>
      </c>
      <c r="I363" s="30"/>
      <c r="J363" s="25" t="str">
        <f aca="false">IF($D363="","",N(G363)*H363-N(I363))</f>
        <v/>
      </c>
      <c r="K363" s="25" t="str">
        <f aca="false">IF($D363="","",N(G363)*IFERROR(INDEX(المنتجات!$H$5:$H$24,MATCH($D363,المنتجات!$A$5:$A$24,0)),0))</f>
        <v/>
      </c>
      <c r="L363" s="25" t="str">
        <f aca="false">IF($D363="","",J363-K363)</f>
        <v/>
      </c>
      <c r="M363" s="29"/>
      <c r="N363" s="29"/>
    </row>
    <row r="364" customFormat="false" ht="15" hidden="false" customHeight="false" outlineLevel="0" collapsed="false">
      <c r="A364" s="32"/>
      <c r="B364" s="29"/>
      <c r="C364" s="29"/>
      <c r="D364" s="29"/>
      <c r="E364" s="28" t="str">
        <f aca="false">IF($D364="","",IFERROR(INDEX(المنتجات!$C$5:$C$24,MATCH($D364,المنتجات!$A$5:$A$24,0)),"كود غير موجود"))</f>
        <v/>
      </c>
      <c r="F364" s="28" t="str">
        <f aca="false">IF($D364="","",IFERROR(INDEX(المنتجات!$B$5:$B$24,MATCH($D364,المنتجات!$A$5:$A$24,0)),""))</f>
        <v/>
      </c>
      <c r="G364" s="24"/>
      <c r="H364" s="25" t="str">
        <f aca="false">IF($D364="","",IFERROR(INDEX(المنتجات!$F$5:$F$24,MATCH($D364,المنتجات!$A$5:$A$24,0)),0))</f>
        <v/>
      </c>
      <c r="I364" s="30"/>
      <c r="J364" s="25" t="str">
        <f aca="false">IF($D364="","",N(G364)*H364-N(I364))</f>
        <v/>
      </c>
      <c r="K364" s="25" t="str">
        <f aca="false">IF($D364="","",N(G364)*IFERROR(INDEX(المنتجات!$H$5:$H$24,MATCH($D364,المنتجات!$A$5:$A$24,0)),0))</f>
        <v/>
      </c>
      <c r="L364" s="25" t="str">
        <f aca="false">IF($D364="","",J364-K364)</f>
        <v/>
      </c>
      <c r="M364" s="29"/>
      <c r="N364" s="29"/>
    </row>
    <row r="365" customFormat="false" ht="15" hidden="false" customHeight="false" outlineLevel="0" collapsed="false">
      <c r="A365" s="32"/>
      <c r="B365" s="29"/>
      <c r="C365" s="29"/>
      <c r="D365" s="29"/>
      <c r="E365" s="28" t="str">
        <f aca="false">IF($D365="","",IFERROR(INDEX(المنتجات!$C$5:$C$24,MATCH($D365,المنتجات!$A$5:$A$24,0)),"كود غير موجود"))</f>
        <v/>
      </c>
      <c r="F365" s="28" t="str">
        <f aca="false">IF($D365="","",IFERROR(INDEX(المنتجات!$B$5:$B$24,MATCH($D365,المنتجات!$A$5:$A$24,0)),""))</f>
        <v/>
      </c>
      <c r="G365" s="24"/>
      <c r="H365" s="25" t="str">
        <f aca="false">IF($D365="","",IFERROR(INDEX(المنتجات!$F$5:$F$24,MATCH($D365,المنتجات!$A$5:$A$24,0)),0))</f>
        <v/>
      </c>
      <c r="I365" s="30"/>
      <c r="J365" s="25" t="str">
        <f aca="false">IF($D365="","",N(G365)*H365-N(I365))</f>
        <v/>
      </c>
      <c r="K365" s="25" t="str">
        <f aca="false">IF($D365="","",N(G365)*IFERROR(INDEX(المنتجات!$H$5:$H$24,MATCH($D365,المنتجات!$A$5:$A$24,0)),0))</f>
        <v/>
      </c>
      <c r="L365" s="25" t="str">
        <f aca="false">IF($D365="","",J365-K365)</f>
        <v/>
      </c>
      <c r="M365" s="29"/>
      <c r="N365" s="29"/>
    </row>
    <row r="366" customFormat="false" ht="15" hidden="false" customHeight="false" outlineLevel="0" collapsed="false">
      <c r="A366" s="32"/>
      <c r="B366" s="29"/>
      <c r="C366" s="29"/>
      <c r="D366" s="29"/>
      <c r="E366" s="28" t="str">
        <f aca="false">IF($D366="","",IFERROR(INDEX(المنتجات!$C$5:$C$24,MATCH($D366,المنتجات!$A$5:$A$24,0)),"كود غير موجود"))</f>
        <v/>
      </c>
      <c r="F366" s="28" t="str">
        <f aca="false">IF($D366="","",IFERROR(INDEX(المنتجات!$B$5:$B$24,MATCH($D366,المنتجات!$A$5:$A$24,0)),""))</f>
        <v/>
      </c>
      <c r="G366" s="24"/>
      <c r="H366" s="25" t="str">
        <f aca="false">IF($D366="","",IFERROR(INDEX(المنتجات!$F$5:$F$24,MATCH($D366,المنتجات!$A$5:$A$24,0)),0))</f>
        <v/>
      </c>
      <c r="I366" s="30"/>
      <c r="J366" s="25" t="str">
        <f aca="false">IF($D366="","",N(G366)*H366-N(I366))</f>
        <v/>
      </c>
      <c r="K366" s="25" t="str">
        <f aca="false">IF($D366="","",N(G366)*IFERROR(INDEX(المنتجات!$H$5:$H$24,MATCH($D366,المنتجات!$A$5:$A$24,0)),0))</f>
        <v/>
      </c>
      <c r="L366" s="25" t="str">
        <f aca="false">IF($D366="","",J366-K366)</f>
        <v/>
      </c>
      <c r="M366" s="29"/>
      <c r="N366" s="29"/>
    </row>
    <row r="367" customFormat="false" ht="15" hidden="false" customHeight="false" outlineLevel="0" collapsed="false">
      <c r="A367" s="32"/>
      <c r="B367" s="29"/>
      <c r="C367" s="29"/>
      <c r="D367" s="29"/>
      <c r="E367" s="28" t="str">
        <f aca="false">IF($D367="","",IFERROR(INDEX(المنتجات!$C$5:$C$24,MATCH($D367,المنتجات!$A$5:$A$24,0)),"كود غير موجود"))</f>
        <v/>
      </c>
      <c r="F367" s="28" t="str">
        <f aca="false">IF($D367="","",IFERROR(INDEX(المنتجات!$B$5:$B$24,MATCH($D367,المنتجات!$A$5:$A$24,0)),""))</f>
        <v/>
      </c>
      <c r="G367" s="24"/>
      <c r="H367" s="25" t="str">
        <f aca="false">IF($D367="","",IFERROR(INDEX(المنتجات!$F$5:$F$24,MATCH($D367,المنتجات!$A$5:$A$24,0)),0))</f>
        <v/>
      </c>
      <c r="I367" s="30"/>
      <c r="J367" s="25" t="str">
        <f aca="false">IF($D367="","",N(G367)*H367-N(I367))</f>
        <v/>
      </c>
      <c r="K367" s="25" t="str">
        <f aca="false">IF($D367="","",N(G367)*IFERROR(INDEX(المنتجات!$H$5:$H$24,MATCH($D367,المنتجات!$A$5:$A$24,0)),0))</f>
        <v/>
      </c>
      <c r="L367" s="25" t="str">
        <f aca="false">IF($D367="","",J367-K367)</f>
        <v/>
      </c>
      <c r="M367" s="29"/>
      <c r="N367" s="29"/>
    </row>
    <row r="368" customFormat="false" ht="15" hidden="false" customHeight="false" outlineLevel="0" collapsed="false">
      <c r="A368" s="32"/>
      <c r="B368" s="29"/>
      <c r="C368" s="29"/>
      <c r="D368" s="29"/>
      <c r="E368" s="28" t="str">
        <f aca="false">IF($D368="","",IFERROR(INDEX(المنتجات!$C$5:$C$24,MATCH($D368,المنتجات!$A$5:$A$24,0)),"كود غير موجود"))</f>
        <v/>
      </c>
      <c r="F368" s="28" t="str">
        <f aca="false">IF($D368="","",IFERROR(INDEX(المنتجات!$B$5:$B$24,MATCH($D368,المنتجات!$A$5:$A$24,0)),""))</f>
        <v/>
      </c>
      <c r="G368" s="24"/>
      <c r="H368" s="25" t="str">
        <f aca="false">IF($D368="","",IFERROR(INDEX(المنتجات!$F$5:$F$24,MATCH($D368,المنتجات!$A$5:$A$24,0)),0))</f>
        <v/>
      </c>
      <c r="I368" s="30"/>
      <c r="J368" s="25" t="str">
        <f aca="false">IF($D368="","",N(G368)*H368-N(I368))</f>
        <v/>
      </c>
      <c r="K368" s="25" t="str">
        <f aca="false">IF($D368="","",N(G368)*IFERROR(INDEX(المنتجات!$H$5:$H$24,MATCH($D368,المنتجات!$A$5:$A$24,0)),0))</f>
        <v/>
      </c>
      <c r="L368" s="25" t="str">
        <f aca="false">IF($D368="","",J368-K368)</f>
        <v/>
      </c>
      <c r="M368" s="29"/>
      <c r="N368" s="29"/>
    </row>
    <row r="369" customFormat="false" ht="15" hidden="false" customHeight="false" outlineLevel="0" collapsed="false">
      <c r="A369" s="32"/>
      <c r="B369" s="29"/>
      <c r="C369" s="29"/>
      <c r="D369" s="29"/>
      <c r="E369" s="28" t="str">
        <f aca="false">IF($D369="","",IFERROR(INDEX(المنتجات!$C$5:$C$24,MATCH($D369,المنتجات!$A$5:$A$24,0)),"كود غير موجود"))</f>
        <v/>
      </c>
      <c r="F369" s="28" t="str">
        <f aca="false">IF($D369="","",IFERROR(INDEX(المنتجات!$B$5:$B$24,MATCH($D369,المنتجات!$A$5:$A$24,0)),""))</f>
        <v/>
      </c>
      <c r="G369" s="24"/>
      <c r="H369" s="25" t="str">
        <f aca="false">IF($D369="","",IFERROR(INDEX(المنتجات!$F$5:$F$24,MATCH($D369,المنتجات!$A$5:$A$24,0)),0))</f>
        <v/>
      </c>
      <c r="I369" s="30"/>
      <c r="J369" s="25" t="str">
        <f aca="false">IF($D369="","",N(G369)*H369-N(I369))</f>
        <v/>
      </c>
      <c r="K369" s="25" t="str">
        <f aca="false">IF($D369="","",N(G369)*IFERROR(INDEX(المنتجات!$H$5:$H$24,MATCH($D369,المنتجات!$A$5:$A$24,0)),0))</f>
        <v/>
      </c>
      <c r="L369" s="25" t="str">
        <f aca="false">IF($D369="","",J369-K369)</f>
        <v/>
      </c>
      <c r="M369" s="29"/>
      <c r="N369" s="29"/>
    </row>
    <row r="370" customFormat="false" ht="15" hidden="false" customHeight="false" outlineLevel="0" collapsed="false">
      <c r="A370" s="32"/>
      <c r="B370" s="29"/>
      <c r="C370" s="29"/>
      <c r="D370" s="29"/>
      <c r="E370" s="28" t="str">
        <f aca="false">IF($D370="","",IFERROR(INDEX(المنتجات!$C$5:$C$24,MATCH($D370,المنتجات!$A$5:$A$24,0)),"كود غير موجود"))</f>
        <v/>
      </c>
      <c r="F370" s="28" t="str">
        <f aca="false">IF($D370="","",IFERROR(INDEX(المنتجات!$B$5:$B$24,MATCH($D370,المنتجات!$A$5:$A$24,0)),""))</f>
        <v/>
      </c>
      <c r="G370" s="24"/>
      <c r="H370" s="25" t="str">
        <f aca="false">IF($D370="","",IFERROR(INDEX(المنتجات!$F$5:$F$24,MATCH($D370,المنتجات!$A$5:$A$24,0)),0))</f>
        <v/>
      </c>
      <c r="I370" s="30"/>
      <c r="J370" s="25" t="str">
        <f aca="false">IF($D370="","",N(G370)*H370-N(I370))</f>
        <v/>
      </c>
      <c r="K370" s="25" t="str">
        <f aca="false">IF($D370="","",N(G370)*IFERROR(INDEX(المنتجات!$H$5:$H$24,MATCH($D370,المنتجات!$A$5:$A$24,0)),0))</f>
        <v/>
      </c>
      <c r="L370" s="25" t="str">
        <f aca="false">IF($D370="","",J370-K370)</f>
        <v/>
      </c>
      <c r="M370" s="29"/>
      <c r="N370" s="29"/>
    </row>
    <row r="371" customFormat="false" ht="15" hidden="false" customHeight="false" outlineLevel="0" collapsed="false">
      <c r="A371" s="32"/>
      <c r="B371" s="29"/>
      <c r="C371" s="29"/>
      <c r="D371" s="29"/>
      <c r="E371" s="28" t="str">
        <f aca="false">IF($D371="","",IFERROR(INDEX(المنتجات!$C$5:$C$24,MATCH($D371,المنتجات!$A$5:$A$24,0)),"كود غير موجود"))</f>
        <v/>
      </c>
      <c r="F371" s="28" t="str">
        <f aca="false">IF($D371="","",IFERROR(INDEX(المنتجات!$B$5:$B$24,MATCH($D371,المنتجات!$A$5:$A$24,0)),""))</f>
        <v/>
      </c>
      <c r="G371" s="24"/>
      <c r="H371" s="25" t="str">
        <f aca="false">IF($D371="","",IFERROR(INDEX(المنتجات!$F$5:$F$24,MATCH($D371,المنتجات!$A$5:$A$24,0)),0))</f>
        <v/>
      </c>
      <c r="I371" s="30"/>
      <c r="J371" s="25" t="str">
        <f aca="false">IF($D371="","",N(G371)*H371-N(I371))</f>
        <v/>
      </c>
      <c r="K371" s="25" t="str">
        <f aca="false">IF($D371="","",N(G371)*IFERROR(INDEX(المنتجات!$H$5:$H$24,MATCH($D371,المنتجات!$A$5:$A$24,0)),0))</f>
        <v/>
      </c>
      <c r="L371" s="25" t="str">
        <f aca="false">IF($D371="","",J371-K371)</f>
        <v/>
      </c>
      <c r="M371" s="29"/>
      <c r="N371" s="29"/>
    </row>
    <row r="372" customFormat="false" ht="15" hidden="false" customHeight="false" outlineLevel="0" collapsed="false">
      <c r="A372" s="32"/>
      <c r="B372" s="29"/>
      <c r="C372" s="29"/>
      <c r="D372" s="29"/>
      <c r="E372" s="28" t="str">
        <f aca="false">IF($D372="","",IFERROR(INDEX(المنتجات!$C$5:$C$24,MATCH($D372,المنتجات!$A$5:$A$24,0)),"كود غير موجود"))</f>
        <v/>
      </c>
      <c r="F372" s="28" t="str">
        <f aca="false">IF($D372="","",IFERROR(INDEX(المنتجات!$B$5:$B$24,MATCH($D372,المنتجات!$A$5:$A$24,0)),""))</f>
        <v/>
      </c>
      <c r="G372" s="24"/>
      <c r="H372" s="25" t="str">
        <f aca="false">IF($D372="","",IFERROR(INDEX(المنتجات!$F$5:$F$24,MATCH($D372,المنتجات!$A$5:$A$24,0)),0))</f>
        <v/>
      </c>
      <c r="I372" s="30"/>
      <c r="J372" s="25" t="str">
        <f aca="false">IF($D372="","",N(G372)*H372-N(I372))</f>
        <v/>
      </c>
      <c r="K372" s="25" t="str">
        <f aca="false">IF($D372="","",N(G372)*IFERROR(INDEX(المنتجات!$H$5:$H$24,MATCH($D372,المنتجات!$A$5:$A$24,0)),0))</f>
        <v/>
      </c>
      <c r="L372" s="25" t="str">
        <f aca="false">IF($D372="","",J372-K372)</f>
        <v/>
      </c>
      <c r="M372" s="29"/>
      <c r="N372" s="29"/>
    </row>
    <row r="373" customFormat="false" ht="15" hidden="false" customHeight="false" outlineLevel="0" collapsed="false">
      <c r="A373" s="32"/>
      <c r="B373" s="29"/>
      <c r="C373" s="29"/>
      <c r="D373" s="29"/>
      <c r="E373" s="28" t="str">
        <f aca="false">IF($D373="","",IFERROR(INDEX(المنتجات!$C$5:$C$24,MATCH($D373,المنتجات!$A$5:$A$24,0)),"كود غير موجود"))</f>
        <v/>
      </c>
      <c r="F373" s="28" t="str">
        <f aca="false">IF($D373="","",IFERROR(INDEX(المنتجات!$B$5:$B$24,MATCH($D373,المنتجات!$A$5:$A$24,0)),""))</f>
        <v/>
      </c>
      <c r="G373" s="24"/>
      <c r="H373" s="25" t="str">
        <f aca="false">IF($D373="","",IFERROR(INDEX(المنتجات!$F$5:$F$24,MATCH($D373,المنتجات!$A$5:$A$24,0)),0))</f>
        <v/>
      </c>
      <c r="I373" s="30"/>
      <c r="J373" s="25" t="str">
        <f aca="false">IF($D373="","",N(G373)*H373-N(I373))</f>
        <v/>
      </c>
      <c r="K373" s="25" t="str">
        <f aca="false">IF($D373="","",N(G373)*IFERROR(INDEX(المنتجات!$H$5:$H$24,MATCH($D373,المنتجات!$A$5:$A$24,0)),0))</f>
        <v/>
      </c>
      <c r="L373" s="25" t="str">
        <f aca="false">IF($D373="","",J373-K373)</f>
        <v/>
      </c>
      <c r="M373" s="29"/>
      <c r="N373" s="29"/>
    </row>
    <row r="374" customFormat="false" ht="15" hidden="false" customHeight="false" outlineLevel="0" collapsed="false">
      <c r="A374" s="32"/>
      <c r="B374" s="29"/>
      <c r="C374" s="29"/>
      <c r="D374" s="29"/>
      <c r="E374" s="28" t="str">
        <f aca="false">IF($D374="","",IFERROR(INDEX(المنتجات!$C$5:$C$24,MATCH($D374,المنتجات!$A$5:$A$24,0)),"كود غير موجود"))</f>
        <v/>
      </c>
      <c r="F374" s="28" t="str">
        <f aca="false">IF($D374="","",IFERROR(INDEX(المنتجات!$B$5:$B$24,MATCH($D374,المنتجات!$A$5:$A$24,0)),""))</f>
        <v/>
      </c>
      <c r="G374" s="24"/>
      <c r="H374" s="25" t="str">
        <f aca="false">IF($D374="","",IFERROR(INDEX(المنتجات!$F$5:$F$24,MATCH($D374,المنتجات!$A$5:$A$24,0)),0))</f>
        <v/>
      </c>
      <c r="I374" s="30"/>
      <c r="J374" s="25" t="str">
        <f aca="false">IF($D374="","",N(G374)*H374-N(I374))</f>
        <v/>
      </c>
      <c r="K374" s="25" t="str">
        <f aca="false">IF($D374="","",N(G374)*IFERROR(INDEX(المنتجات!$H$5:$H$24,MATCH($D374,المنتجات!$A$5:$A$24,0)),0))</f>
        <v/>
      </c>
      <c r="L374" s="25" t="str">
        <f aca="false">IF($D374="","",J374-K374)</f>
        <v/>
      </c>
      <c r="M374" s="29"/>
      <c r="N374" s="29"/>
    </row>
    <row r="375" customFormat="false" ht="15" hidden="false" customHeight="false" outlineLevel="0" collapsed="false">
      <c r="A375" s="32"/>
      <c r="B375" s="29"/>
      <c r="C375" s="29"/>
      <c r="D375" s="29"/>
      <c r="E375" s="28" t="str">
        <f aca="false">IF($D375="","",IFERROR(INDEX(المنتجات!$C$5:$C$24,MATCH($D375,المنتجات!$A$5:$A$24,0)),"كود غير موجود"))</f>
        <v/>
      </c>
      <c r="F375" s="28" t="str">
        <f aca="false">IF($D375="","",IFERROR(INDEX(المنتجات!$B$5:$B$24,MATCH($D375,المنتجات!$A$5:$A$24,0)),""))</f>
        <v/>
      </c>
      <c r="G375" s="24"/>
      <c r="H375" s="25" t="str">
        <f aca="false">IF($D375="","",IFERROR(INDEX(المنتجات!$F$5:$F$24,MATCH($D375,المنتجات!$A$5:$A$24,0)),0))</f>
        <v/>
      </c>
      <c r="I375" s="30"/>
      <c r="J375" s="25" t="str">
        <f aca="false">IF($D375="","",N(G375)*H375-N(I375))</f>
        <v/>
      </c>
      <c r="K375" s="25" t="str">
        <f aca="false">IF($D375="","",N(G375)*IFERROR(INDEX(المنتجات!$H$5:$H$24,MATCH($D375,المنتجات!$A$5:$A$24,0)),0))</f>
        <v/>
      </c>
      <c r="L375" s="25" t="str">
        <f aca="false">IF($D375="","",J375-K375)</f>
        <v/>
      </c>
      <c r="M375" s="29"/>
      <c r="N375" s="29"/>
    </row>
    <row r="376" customFormat="false" ht="15" hidden="false" customHeight="false" outlineLevel="0" collapsed="false">
      <c r="A376" s="32"/>
      <c r="B376" s="29"/>
      <c r="C376" s="29"/>
      <c r="D376" s="29"/>
      <c r="E376" s="28" t="str">
        <f aca="false">IF($D376="","",IFERROR(INDEX(المنتجات!$C$5:$C$24,MATCH($D376,المنتجات!$A$5:$A$24,0)),"كود غير موجود"))</f>
        <v/>
      </c>
      <c r="F376" s="28" t="str">
        <f aca="false">IF($D376="","",IFERROR(INDEX(المنتجات!$B$5:$B$24,MATCH($D376,المنتجات!$A$5:$A$24,0)),""))</f>
        <v/>
      </c>
      <c r="G376" s="24"/>
      <c r="H376" s="25" t="str">
        <f aca="false">IF($D376="","",IFERROR(INDEX(المنتجات!$F$5:$F$24,MATCH($D376,المنتجات!$A$5:$A$24,0)),0))</f>
        <v/>
      </c>
      <c r="I376" s="30"/>
      <c r="J376" s="25" t="str">
        <f aca="false">IF($D376="","",N(G376)*H376-N(I376))</f>
        <v/>
      </c>
      <c r="K376" s="25" t="str">
        <f aca="false">IF($D376="","",N(G376)*IFERROR(INDEX(المنتجات!$H$5:$H$24,MATCH($D376,المنتجات!$A$5:$A$24,0)),0))</f>
        <v/>
      </c>
      <c r="L376" s="25" t="str">
        <f aca="false">IF($D376="","",J376-K376)</f>
        <v/>
      </c>
      <c r="M376" s="29"/>
      <c r="N376" s="29"/>
    </row>
    <row r="377" customFormat="false" ht="15" hidden="false" customHeight="false" outlineLevel="0" collapsed="false">
      <c r="A377" s="32"/>
      <c r="B377" s="29"/>
      <c r="C377" s="29"/>
      <c r="D377" s="29"/>
      <c r="E377" s="28" t="str">
        <f aca="false">IF($D377="","",IFERROR(INDEX(المنتجات!$C$5:$C$24,MATCH($D377,المنتجات!$A$5:$A$24,0)),"كود غير موجود"))</f>
        <v/>
      </c>
      <c r="F377" s="28" t="str">
        <f aca="false">IF($D377="","",IFERROR(INDEX(المنتجات!$B$5:$B$24,MATCH($D377,المنتجات!$A$5:$A$24,0)),""))</f>
        <v/>
      </c>
      <c r="G377" s="24"/>
      <c r="H377" s="25" t="str">
        <f aca="false">IF($D377="","",IFERROR(INDEX(المنتجات!$F$5:$F$24,MATCH($D377,المنتجات!$A$5:$A$24,0)),0))</f>
        <v/>
      </c>
      <c r="I377" s="30"/>
      <c r="J377" s="25" t="str">
        <f aca="false">IF($D377="","",N(G377)*H377-N(I377))</f>
        <v/>
      </c>
      <c r="K377" s="25" t="str">
        <f aca="false">IF($D377="","",N(G377)*IFERROR(INDEX(المنتجات!$H$5:$H$24,MATCH($D377,المنتجات!$A$5:$A$24,0)),0))</f>
        <v/>
      </c>
      <c r="L377" s="25" t="str">
        <f aca="false">IF($D377="","",J377-K377)</f>
        <v/>
      </c>
      <c r="M377" s="29"/>
      <c r="N377" s="29"/>
    </row>
    <row r="378" customFormat="false" ht="15" hidden="false" customHeight="false" outlineLevel="0" collapsed="false">
      <c r="A378" s="32"/>
      <c r="B378" s="29"/>
      <c r="C378" s="29"/>
      <c r="D378" s="29"/>
      <c r="E378" s="28" t="str">
        <f aca="false">IF($D378="","",IFERROR(INDEX(المنتجات!$C$5:$C$24,MATCH($D378,المنتجات!$A$5:$A$24,0)),"كود غير موجود"))</f>
        <v/>
      </c>
      <c r="F378" s="28" t="str">
        <f aca="false">IF($D378="","",IFERROR(INDEX(المنتجات!$B$5:$B$24,MATCH($D378,المنتجات!$A$5:$A$24,0)),""))</f>
        <v/>
      </c>
      <c r="G378" s="24"/>
      <c r="H378" s="25" t="str">
        <f aca="false">IF($D378="","",IFERROR(INDEX(المنتجات!$F$5:$F$24,MATCH($D378,المنتجات!$A$5:$A$24,0)),0))</f>
        <v/>
      </c>
      <c r="I378" s="30"/>
      <c r="J378" s="25" t="str">
        <f aca="false">IF($D378="","",N(G378)*H378-N(I378))</f>
        <v/>
      </c>
      <c r="K378" s="25" t="str">
        <f aca="false">IF($D378="","",N(G378)*IFERROR(INDEX(المنتجات!$H$5:$H$24,MATCH($D378,المنتجات!$A$5:$A$24,0)),0))</f>
        <v/>
      </c>
      <c r="L378" s="25" t="str">
        <f aca="false">IF($D378="","",J378-K378)</f>
        <v/>
      </c>
      <c r="M378" s="29"/>
      <c r="N378" s="29"/>
    </row>
    <row r="379" customFormat="false" ht="15" hidden="false" customHeight="false" outlineLevel="0" collapsed="false">
      <c r="A379" s="32"/>
      <c r="B379" s="29"/>
      <c r="C379" s="29"/>
      <c r="D379" s="29"/>
      <c r="E379" s="28" t="str">
        <f aca="false">IF($D379="","",IFERROR(INDEX(المنتجات!$C$5:$C$24,MATCH($D379,المنتجات!$A$5:$A$24,0)),"كود غير موجود"))</f>
        <v/>
      </c>
      <c r="F379" s="28" t="str">
        <f aca="false">IF($D379="","",IFERROR(INDEX(المنتجات!$B$5:$B$24,MATCH($D379,المنتجات!$A$5:$A$24,0)),""))</f>
        <v/>
      </c>
      <c r="G379" s="24"/>
      <c r="H379" s="25" t="str">
        <f aca="false">IF($D379="","",IFERROR(INDEX(المنتجات!$F$5:$F$24,MATCH($D379,المنتجات!$A$5:$A$24,0)),0))</f>
        <v/>
      </c>
      <c r="I379" s="30"/>
      <c r="J379" s="25" t="str">
        <f aca="false">IF($D379="","",N(G379)*H379-N(I379))</f>
        <v/>
      </c>
      <c r="K379" s="25" t="str">
        <f aca="false">IF($D379="","",N(G379)*IFERROR(INDEX(المنتجات!$H$5:$H$24,MATCH($D379,المنتجات!$A$5:$A$24,0)),0))</f>
        <v/>
      </c>
      <c r="L379" s="25" t="str">
        <f aca="false">IF($D379="","",J379-K379)</f>
        <v/>
      </c>
      <c r="M379" s="29"/>
      <c r="N379" s="29"/>
    </row>
    <row r="380" customFormat="false" ht="15" hidden="false" customHeight="false" outlineLevel="0" collapsed="false">
      <c r="A380" s="32"/>
      <c r="B380" s="29"/>
      <c r="C380" s="29"/>
      <c r="D380" s="29"/>
      <c r="E380" s="28" t="str">
        <f aca="false">IF($D380="","",IFERROR(INDEX(المنتجات!$C$5:$C$24,MATCH($D380,المنتجات!$A$5:$A$24,0)),"كود غير موجود"))</f>
        <v/>
      </c>
      <c r="F380" s="28" t="str">
        <f aca="false">IF($D380="","",IFERROR(INDEX(المنتجات!$B$5:$B$24,MATCH($D380,المنتجات!$A$5:$A$24,0)),""))</f>
        <v/>
      </c>
      <c r="G380" s="24"/>
      <c r="H380" s="25" t="str">
        <f aca="false">IF($D380="","",IFERROR(INDEX(المنتجات!$F$5:$F$24,MATCH($D380,المنتجات!$A$5:$A$24,0)),0))</f>
        <v/>
      </c>
      <c r="I380" s="30"/>
      <c r="J380" s="25" t="str">
        <f aca="false">IF($D380="","",N(G380)*H380-N(I380))</f>
        <v/>
      </c>
      <c r="K380" s="25" t="str">
        <f aca="false">IF($D380="","",N(G380)*IFERROR(INDEX(المنتجات!$H$5:$H$24,MATCH($D380,المنتجات!$A$5:$A$24,0)),0))</f>
        <v/>
      </c>
      <c r="L380" s="25" t="str">
        <f aca="false">IF($D380="","",J380-K380)</f>
        <v/>
      </c>
      <c r="M380" s="29"/>
      <c r="N380" s="29"/>
    </row>
    <row r="381" customFormat="false" ht="15" hidden="false" customHeight="false" outlineLevel="0" collapsed="false">
      <c r="A381" s="32"/>
      <c r="B381" s="29"/>
      <c r="C381" s="29"/>
      <c r="D381" s="29"/>
      <c r="E381" s="28" t="str">
        <f aca="false">IF($D381="","",IFERROR(INDEX(المنتجات!$C$5:$C$24,MATCH($D381,المنتجات!$A$5:$A$24,0)),"كود غير موجود"))</f>
        <v/>
      </c>
      <c r="F381" s="28" t="str">
        <f aca="false">IF($D381="","",IFERROR(INDEX(المنتجات!$B$5:$B$24,MATCH($D381,المنتجات!$A$5:$A$24,0)),""))</f>
        <v/>
      </c>
      <c r="G381" s="24"/>
      <c r="H381" s="25" t="str">
        <f aca="false">IF($D381="","",IFERROR(INDEX(المنتجات!$F$5:$F$24,MATCH($D381,المنتجات!$A$5:$A$24,0)),0))</f>
        <v/>
      </c>
      <c r="I381" s="30"/>
      <c r="J381" s="25" t="str">
        <f aca="false">IF($D381="","",N(G381)*H381-N(I381))</f>
        <v/>
      </c>
      <c r="K381" s="25" t="str">
        <f aca="false">IF($D381="","",N(G381)*IFERROR(INDEX(المنتجات!$H$5:$H$24,MATCH($D381,المنتجات!$A$5:$A$24,0)),0))</f>
        <v/>
      </c>
      <c r="L381" s="25" t="str">
        <f aca="false">IF($D381="","",J381-K381)</f>
        <v/>
      </c>
      <c r="M381" s="29"/>
      <c r="N381" s="29"/>
    </row>
    <row r="382" customFormat="false" ht="15" hidden="false" customHeight="false" outlineLevel="0" collapsed="false">
      <c r="A382" s="32"/>
      <c r="B382" s="29"/>
      <c r="C382" s="29"/>
      <c r="D382" s="29"/>
      <c r="E382" s="28" t="str">
        <f aca="false">IF($D382="","",IFERROR(INDEX(المنتجات!$C$5:$C$24,MATCH($D382,المنتجات!$A$5:$A$24,0)),"كود غير موجود"))</f>
        <v/>
      </c>
      <c r="F382" s="28" t="str">
        <f aca="false">IF($D382="","",IFERROR(INDEX(المنتجات!$B$5:$B$24,MATCH($D382,المنتجات!$A$5:$A$24,0)),""))</f>
        <v/>
      </c>
      <c r="G382" s="24"/>
      <c r="H382" s="25" t="str">
        <f aca="false">IF($D382="","",IFERROR(INDEX(المنتجات!$F$5:$F$24,MATCH($D382,المنتجات!$A$5:$A$24,0)),0))</f>
        <v/>
      </c>
      <c r="I382" s="30"/>
      <c r="J382" s="25" t="str">
        <f aca="false">IF($D382="","",N(G382)*H382-N(I382))</f>
        <v/>
      </c>
      <c r="K382" s="25" t="str">
        <f aca="false">IF($D382="","",N(G382)*IFERROR(INDEX(المنتجات!$H$5:$H$24,MATCH($D382,المنتجات!$A$5:$A$24,0)),0))</f>
        <v/>
      </c>
      <c r="L382" s="25" t="str">
        <f aca="false">IF($D382="","",J382-K382)</f>
        <v/>
      </c>
      <c r="M382" s="29"/>
      <c r="N382" s="29"/>
    </row>
    <row r="383" customFormat="false" ht="15" hidden="false" customHeight="false" outlineLevel="0" collapsed="false">
      <c r="A383" s="32"/>
      <c r="B383" s="29"/>
      <c r="C383" s="29"/>
      <c r="D383" s="29"/>
      <c r="E383" s="28" t="str">
        <f aca="false">IF($D383="","",IFERROR(INDEX(المنتجات!$C$5:$C$24,MATCH($D383,المنتجات!$A$5:$A$24,0)),"كود غير موجود"))</f>
        <v/>
      </c>
      <c r="F383" s="28" t="str">
        <f aca="false">IF($D383="","",IFERROR(INDEX(المنتجات!$B$5:$B$24,MATCH($D383,المنتجات!$A$5:$A$24,0)),""))</f>
        <v/>
      </c>
      <c r="G383" s="24"/>
      <c r="H383" s="25" t="str">
        <f aca="false">IF($D383="","",IFERROR(INDEX(المنتجات!$F$5:$F$24,MATCH($D383,المنتجات!$A$5:$A$24,0)),0))</f>
        <v/>
      </c>
      <c r="I383" s="30"/>
      <c r="J383" s="25" t="str">
        <f aca="false">IF($D383="","",N(G383)*H383-N(I383))</f>
        <v/>
      </c>
      <c r="K383" s="25" t="str">
        <f aca="false">IF($D383="","",N(G383)*IFERROR(INDEX(المنتجات!$H$5:$H$24,MATCH($D383,المنتجات!$A$5:$A$24,0)),0))</f>
        <v/>
      </c>
      <c r="L383" s="25" t="str">
        <f aca="false">IF($D383="","",J383-K383)</f>
        <v/>
      </c>
      <c r="M383" s="29"/>
      <c r="N383" s="29"/>
    </row>
    <row r="384" customFormat="false" ht="15" hidden="false" customHeight="false" outlineLevel="0" collapsed="false">
      <c r="A384" s="32"/>
      <c r="B384" s="29"/>
      <c r="C384" s="29"/>
      <c r="D384" s="29"/>
      <c r="E384" s="28" t="str">
        <f aca="false">IF($D384="","",IFERROR(INDEX(المنتجات!$C$5:$C$24,MATCH($D384,المنتجات!$A$5:$A$24,0)),"كود غير موجود"))</f>
        <v/>
      </c>
      <c r="F384" s="28" t="str">
        <f aca="false">IF($D384="","",IFERROR(INDEX(المنتجات!$B$5:$B$24,MATCH($D384,المنتجات!$A$5:$A$24,0)),""))</f>
        <v/>
      </c>
      <c r="G384" s="24"/>
      <c r="H384" s="25" t="str">
        <f aca="false">IF($D384="","",IFERROR(INDEX(المنتجات!$F$5:$F$24,MATCH($D384,المنتجات!$A$5:$A$24,0)),0))</f>
        <v/>
      </c>
      <c r="I384" s="30"/>
      <c r="J384" s="25" t="str">
        <f aca="false">IF($D384="","",N(G384)*H384-N(I384))</f>
        <v/>
      </c>
      <c r="K384" s="25" t="str">
        <f aca="false">IF($D384="","",N(G384)*IFERROR(INDEX(المنتجات!$H$5:$H$24,MATCH($D384,المنتجات!$A$5:$A$24,0)),0))</f>
        <v/>
      </c>
      <c r="L384" s="25" t="str">
        <f aca="false">IF($D384="","",J384-K384)</f>
        <v/>
      </c>
      <c r="M384" s="29"/>
      <c r="N384" s="29"/>
    </row>
    <row r="385" customFormat="false" ht="15" hidden="false" customHeight="false" outlineLevel="0" collapsed="false">
      <c r="A385" s="32"/>
      <c r="B385" s="29"/>
      <c r="C385" s="29"/>
      <c r="D385" s="29"/>
      <c r="E385" s="28" t="str">
        <f aca="false">IF($D385="","",IFERROR(INDEX(المنتجات!$C$5:$C$24,MATCH($D385,المنتجات!$A$5:$A$24,0)),"كود غير موجود"))</f>
        <v/>
      </c>
      <c r="F385" s="28" t="str">
        <f aca="false">IF($D385="","",IFERROR(INDEX(المنتجات!$B$5:$B$24,MATCH($D385,المنتجات!$A$5:$A$24,0)),""))</f>
        <v/>
      </c>
      <c r="G385" s="24"/>
      <c r="H385" s="25" t="str">
        <f aca="false">IF($D385="","",IFERROR(INDEX(المنتجات!$F$5:$F$24,MATCH($D385,المنتجات!$A$5:$A$24,0)),0))</f>
        <v/>
      </c>
      <c r="I385" s="30"/>
      <c r="J385" s="25" t="str">
        <f aca="false">IF($D385="","",N(G385)*H385-N(I385))</f>
        <v/>
      </c>
      <c r="K385" s="25" t="str">
        <f aca="false">IF($D385="","",N(G385)*IFERROR(INDEX(المنتجات!$H$5:$H$24,MATCH($D385,المنتجات!$A$5:$A$24,0)),0))</f>
        <v/>
      </c>
      <c r="L385" s="25" t="str">
        <f aca="false">IF($D385="","",J385-K385)</f>
        <v/>
      </c>
      <c r="M385" s="29"/>
      <c r="N385" s="29"/>
    </row>
    <row r="386" customFormat="false" ht="15" hidden="false" customHeight="false" outlineLevel="0" collapsed="false">
      <c r="A386" s="32"/>
      <c r="B386" s="29"/>
      <c r="C386" s="29"/>
      <c r="D386" s="29"/>
      <c r="E386" s="28" t="str">
        <f aca="false">IF($D386="","",IFERROR(INDEX(المنتجات!$C$5:$C$24,MATCH($D386,المنتجات!$A$5:$A$24,0)),"كود غير موجود"))</f>
        <v/>
      </c>
      <c r="F386" s="28" t="str">
        <f aca="false">IF($D386="","",IFERROR(INDEX(المنتجات!$B$5:$B$24,MATCH($D386,المنتجات!$A$5:$A$24,0)),""))</f>
        <v/>
      </c>
      <c r="G386" s="24"/>
      <c r="H386" s="25" t="str">
        <f aca="false">IF($D386="","",IFERROR(INDEX(المنتجات!$F$5:$F$24,MATCH($D386,المنتجات!$A$5:$A$24,0)),0))</f>
        <v/>
      </c>
      <c r="I386" s="30"/>
      <c r="J386" s="25" t="str">
        <f aca="false">IF($D386="","",N(G386)*H386-N(I386))</f>
        <v/>
      </c>
      <c r="K386" s="25" t="str">
        <f aca="false">IF($D386="","",N(G386)*IFERROR(INDEX(المنتجات!$H$5:$H$24,MATCH($D386,المنتجات!$A$5:$A$24,0)),0))</f>
        <v/>
      </c>
      <c r="L386" s="25" t="str">
        <f aca="false">IF($D386="","",J386-K386)</f>
        <v/>
      </c>
      <c r="M386" s="29"/>
      <c r="N386" s="29"/>
    </row>
    <row r="387" customFormat="false" ht="15" hidden="false" customHeight="false" outlineLevel="0" collapsed="false">
      <c r="A387" s="32"/>
      <c r="B387" s="29"/>
      <c r="C387" s="29"/>
      <c r="D387" s="29"/>
      <c r="E387" s="28" t="str">
        <f aca="false">IF($D387="","",IFERROR(INDEX(المنتجات!$C$5:$C$24,MATCH($D387,المنتجات!$A$5:$A$24,0)),"كود غير موجود"))</f>
        <v/>
      </c>
      <c r="F387" s="28" t="str">
        <f aca="false">IF($D387="","",IFERROR(INDEX(المنتجات!$B$5:$B$24,MATCH($D387,المنتجات!$A$5:$A$24,0)),""))</f>
        <v/>
      </c>
      <c r="G387" s="24"/>
      <c r="H387" s="25" t="str">
        <f aca="false">IF($D387="","",IFERROR(INDEX(المنتجات!$F$5:$F$24,MATCH($D387,المنتجات!$A$5:$A$24,0)),0))</f>
        <v/>
      </c>
      <c r="I387" s="30"/>
      <c r="J387" s="25" t="str">
        <f aca="false">IF($D387="","",N(G387)*H387-N(I387))</f>
        <v/>
      </c>
      <c r="K387" s="25" t="str">
        <f aca="false">IF($D387="","",N(G387)*IFERROR(INDEX(المنتجات!$H$5:$H$24,MATCH($D387,المنتجات!$A$5:$A$24,0)),0))</f>
        <v/>
      </c>
      <c r="L387" s="25" t="str">
        <f aca="false">IF($D387="","",J387-K387)</f>
        <v/>
      </c>
      <c r="M387" s="29"/>
      <c r="N387" s="29"/>
    </row>
    <row r="388" customFormat="false" ht="15" hidden="false" customHeight="false" outlineLevel="0" collapsed="false">
      <c r="A388" s="32"/>
      <c r="B388" s="29"/>
      <c r="C388" s="29"/>
      <c r="D388" s="29"/>
      <c r="E388" s="28" t="str">
        <f aca="false">IF($D388="","",IFERROR(INDEX(المنتجات!$C$5:$C$24,MATCH($D388,المنتجات!$A$5:$A$24,0)),"كود غير موجود"))</f>
        <v/>
      </c>
      <c r="F388" s="28" t="str">
        <f aca="false">IF($D388="","",IFERROR(INDEX(المنتجات!$B$5:$B$24,MATCH($D388,المنتجات!$A$5:$A$24,0)),""))</f>
        <v/>
      </c>
      <c r="G388" s="24"/>
      <c r="H388" s="25" t="str">
        <f aca="false">IF($D388="","",IFERROR(INDEX(المنتجات!$F$5:$F$24,MATCH($D388,المنتجات!$A$5:$A$24,0)),0))</f>
        <v/>
      </c>
      <c r="I388" s="30"/>
      <c r="J388" s="25" t="str">
        <f aca="false">IF($D388="","",N(G388)*H388-N(I388))</f>
        <v/>
      </c>
      <c r="K388" s="25" t="str">
        <f aca="false">IF($D388="","",N(G388)*IFERROR(INDEX(المنتجات!$H$5:$H$24,MATCH($D388,المنتجات!$A$5:$A$24,0)),0))</f>
        <v/>
      </c>
      <c r="L388" s="25" t="str">
        <f aca="false">IF($D388="","",J388-K388)</f>
        <v/>
      </c>
      <c r="M388" s="29"/>
      <c r="N388" s="29"/>
    </row>
    <row r="389" customFormat="false" ht="15" hidden="false" customHeight="false" outlineLevel="0" collapsed="false">
      <c r="A389" s="32"/>
      <c r="B389" s="29"/>
      <c r="C389" s="29"/>
      <c r="D389" s="29"/>
      <c r="E389" s="28" t="str">
        <f aca="false">IF($D389="","",IFERROR(INDEX(المنتجات!$C$5:$C$24,MATCH($D389,المنتجات!$A$5:$A$24,0)),"كود غير موجود"))</f>
        <v/>
      </c>
      <c r="F389" s="28" t="str">
        <f aca="false">IF($D389="","",IFERROR(INDEX(المنتجات!$B$5:$B$24,MATCH($D389,المنتجات!$A$5:$A$24,0)),""))</f>
        <v/>
      </c>
      <c r="G389" s="24"/>
      <c r="H389" s="25" t="str">
        <f aca="false">IF($D389="","",IFERROR(INDEX(المنتجات!$F$5:$F$24,MATCH($D389,المنتجات!$A$5:$A$24,0)),0))</f>
        <v/>
      </c>
      <c r="I389" s="30"/>
      <c r="J389" s="25" t="str">
        <f aca="false">IF($D389="","",N(G389)*H389-N(I389))</f>
        <v/>
      </c>
      <c r="K389" s="25" t="str">
        <f aca="false">IF($D389="","",N(G389)*IFERROR(INDEX(المنتجات!$H$5:$H$24,MATCH($D389,المنتجات!$A$5:$A$24,0)),0))</f>
        <v/>
      </c>
      <c r="L389" s="25" t="str">
        <f aca="false">IF($D389="","",J389-K389)</f>
        <v/>
      </c>
      <c r="M389" s="29"/>
      <c r="N389" s="29"/>
    </row>
    <row r="390" customFormat="false" ht="15" hidden="false" customHeight="false" outlineLevel="0" collapsed="false">
      <c r="A390" s="32"/>
      <c r="B390" s="29"/>
      <c r="C390" s="29"/>
      <c r="D390" s="29"/>
      <c r="E390" s="28" t="str">
        <f aca="false">IF($D390="","",IFERROR(INDEX(المنتجات!$C$5:$C$24,MATCH($D390,المنتجات!$A$5:$A$24,0)),"كود غير موجود"))</f>
        <v/>
      </c>
      <c r="F390" s="28" t="str">
        <f aca="false">IF($D390="","",IFERROR(INDEX(المنتجات!$B$5:$B$24,MATCH($D390,المنتجات!$A$5:$A$24,0)),""))</f>
        <v/>
      </c>
      <c r="G390" s="24"/>
      <c r="H390" s="25" t="str">
        <f aca="false">IF($D390="","",IFERROR(INDEX(المنتجات!$F$5:$F$24,MATCH($D390,المنتجات!$A$5:$A$24,0)),0))</f>
        <v/>
      </c>
      <c r="I390" s="30"/>
      <c r="J390" s="25" t="str">
        <f aca="false">IF($D390="","",N(G390)*H390-N(I390))</f>
        <v/>
      </c>
      <c r="K390" s="25" t="str">
        <f aca="false">IF($D390="","",N(G390)*IFERROR(INDEX(المنتجات!$H$5:$H$24,MATCH($D390,المنتجات!$A$5:$A$24,0)),0))</f>
        <v/>
      </c>
      <c r="L390" s="25" t="str">
        <f aca="false">IF($D390="","",J390-K390)</f>
        <v/>
      </c>
      <c r="M390" s="29"/>
      <c r="N390" s="29"/>
    </row>
    <row r="391" customFormat="false" ht="15" hidden="false" customHeight="false" outlineLevel="0" collapsed="false">
      <c r="A391" s="32"/>
      <c r="B391" s="29"/>
      <c r="C391" s="29"/>
      <c r="D391" s="29"/>
      <c r="E391" s="28" t="str">
        <f aca="false">IF($D391="","",IFERROR(INDEX(المنتجات!$C$5:$C$24,MATCH($D391,المنتجات!$A$5:$A$24,0)),"كود غير موجود"))</f>
        <v/>
      </c>
      <c r="F391" s="28" t="str">
        <f aca="false">IF($D391="","",IFERROR(INDEX(المنتجات!$B$5:$B$24,MATCH($D391,المنتجات!$A$5:$A$24,0)),""))</f>
        <v/>
      </c>
      <c r="G391" s="24"/>
      <c r="H391" s="25" t="str">
        <f aca="false">IF($D391="","",IFERROR(INDEX(المنتجات!$F$5:$F$24,MATCH($D391,المنتجات!$A$5:$A$24,0)),0))</f>
        <v/>
      </c>
      <c r="I391" s="30"/>
      <c r="J391" s="25" t="str">
        <f aca="false">IF($D391="","",N(G391)*H391-N(I391))</f>
        <v/>
      </c>
      <c r="K391" s="25" t="str">
        <f aca="false">IF($D391="","",N(G391)*IFERROR(INDEX(المنتجات!$H$5:$H$24,MATCH($D391,المنتجات!$A$5:$A$24,0)),0))</f>
        <v/>
      </c>
      <c r="L391" s="25" t="str">
        <f aca="false">IF($D391="","",J391-K391)</f>
        <v/>
      </c>
      <c r="M391" s="29"/>
      <c r="N391" s="29"/>
    </row>
    <row r="392" customFormat="false" ht="15" hidden="false" customHeight="false" outlineLevel="0" collapsed="false">
      <c r="A392" s="32"/>
      <c r="B392" s="29"/>
      <c r="C392" s="29"/>
      <c r="D392" s="29"/>
      <c r="E392" s="28" t="str">
        <f aca="false">IF($D392="","",IFERROR(INDEX(المنتجات!$C$5:$C$24,MATCH($D392,المنتجات!$A$5:$A$24,0)),"كود غير موجود"))</f>
        <v/>
      </c>
      <c r="F392" s="28" t="str">
        <f aca="false">IF($D392="","",IFERROR(INDEX(المنتجات!$B$5:$B$24,MATCH($D392,المنتجات!$A$5:$A$24,0)),""))</f>
        <v/>
      </c>
      <c r="G392" s="24"/>
      <c r="H392" s="25" t="str">
        <f aca="false">IF($D392="","",IFERROR(INDEX(المنتجات!$F$5:$F$24,MATCH($D392,المنتجات!$A$5:$A$24,0)),0))</f>
        <v/>
      </c>
      <c r="I392" s="30"/>
      <c r="J392" s="25" t="str">
        <f aca="false">IF($D392="","",N(G392)*H392-N(I392))</f>
        <v/>
      </c>
      <c r="K392" s="25" t="str">
        <f aca="false">IF($D392="","",N(G392)*IFERROR(INDEX(المنتجات!$H$5:$H$24,MATCH($D392,المنتجات!$A$5:$A$24,0)),0))</f>
        <v/>
      </c>
      <c r="L392" s="25" t="str">
        <f aca="false">IF($D392="","",J392-K392)</f>
        <v/>
      </c>
      <c r="M392" s="29"/>
      <c r="N392" s="29"/>
    </row>
    <row r="393" customFormat="false" ht="15" hidden="false" customHeight="false" outlineLevel="0" collapsed="false">
      <c r="A393" s="32"/>
      <c r="B393" s="29"/>
      <c r="C393" s="29"/>
      <c r="D393" s="29"/>
      <c r="E393" s="28" t="str">
        <f aca="false">IF($D393="","",IFERROR(INDEX(المنتجات!$C$5:$C$24,MATCH($D393,المنتجات!$A$5:$A$24,0)),"كود غير موجود"))</f>
        <v/>
      </c>
      <c r="F393" s="28" t="str">
        <f aca="false">IF($D393="","",IFERROR(INDEX(المنتجات!$B$5:$B$24,MATCH($D393,المنتجات!$A$5:$A$24,0)),""))</f>
        <v/>
      </c>
      <c r="G393" s="24"/>
      <c r="H393" s="25" t="str">
        <f aca="false">IF($D393="","",IFERROR(INDEX(المنتجات!$F$5:$F$24,MATCH($D393,المنتجات!$A$5:$A$24,0)),0))</f>
        <v/>
      </c>
      <c r="I393" s="30"/>
      <c r="J393" s="25" t="str">
        <f aca="false">IF($D393="","",N(G393)*H393-N(I393))</f>
        <v/>
      </c>
      <c r="K393" s="25" t="str">
        <f aca="false">IF($D393="","",N(G393)*IFERROR(INDEX(المنتجات!$H$5:$H$24,MATCH($D393,المنتجات!$A$5:$A$24,0)),0))</f>
        <v/>
      </c>
      <c r="L393" s="25" t="str">
        <f aca="false">IF($D393="","",J393-K393)</f>
        <v/>
      </c>
      <c r="M393" s="29"/>
      <c r="N393" s="29"/>
    </row>
    <row r="394" customFormat="false" ht="15" hidden="false" customHeight="false" outlineLevel="0" collapsed="false">
      <c r="A394" s="32"/>
      <c r="B394" s="29"/>
      <c r="C394" s="29"/>
      <c r="D394" s="29"/>
      <c r="E394" s="28" t="str">
        <f aca="false">IF($D394="","",IFERROR(INDEX(المنتجات!$C$5:$C$24,MATCH($D394,المنتجات!$A$5:$A$24,0)),"كود غير موجود"))</f>
        <v/>
      </c>
      <c r="F394" s="28" t="str">
        <f aca="false">IF($D394="","",IFERROR(INDEX(المنتجات!$B$5:$B$24,MATCH($D394,المنتجات!$A$5:$A$24,0)),""))</f>
        <v/>
      </c>
      <c r="G394" s="24"/>
      <c r="H394" s="25" t="str">
        <f aca="false">IF($D394="","",IFERROR(INDEX(المنتجات!$F$5:$F$24,MATCH($D394,المنتجات!$A$5:$A$24,0)),0))</f>
        <v/>
      </c>
      <c r="I394" s="30"/>
      <c r="J394" s="25" t="str">
        <f aca="false">IF($D394="","",N(G394)*H394-N(I394))</f>
        <v/>
      </c>
      <c r="K394" s="25" t="str">
        <f aca="false">IF($D394="","",N(G394)*IFERROR(INDEX(المنتجات!$H$5:$H$24,MATCH($D394,المنتجات!$A$5:$A$24,0)),0))</f>
        <v/>
      </c>
      <c r="L394" s="25" t="str">
        <f aca="false">IF($D394="","",J394-K394)</f>
        <v/>
      </c>
      <c r="M394" s="29"/>
      <c r="N394" s="29"/>
    </row>
    <row r="395" customFormat="false" ht="15" hidden="false" customHeight="false" outlineLevel="0" collapsed="false">
      <c r="A395" s="32"/>
      <c r="B395" s="29"/>
      <c r="C395" s="29"/>
      <c r="D395" s="29"/>
      <c r="E395" s="28" t="str">
        <f aca="false">IF($D395="","",IFERROR(INDEX(المنتجات!$C$5:$C$24,MATCH($D395,المنتجات!$A$5:$A$24,0)),"كود غير موجود"))</f>
        <v/>
      </c>
      <c r="F395" s="28" t="str">
        <f aca="false">IF($D395="","",IFERROR(INDEX(المنتجات!$B$5:$B$24,MATCH($D395,المنتجات!$A$5:$A$24,0)),""))</f>
        <v/>
      </c>
      <c r="G395" s="24"/>
      <c r="H395" s="25" t="str">
        <f aca="false">IF($D395="","",IFERROR(INDEX(المنتجات!$F$5:$F$24,MATCH($D395,المنتجات!$A$5:$A$24,0)),0))</f>
        <v/>
      </c>
      <c r="I395" s="30"/>
      <c r="J395" s="25" t="str">
        <f aca="false">IF($D395="","",N(G395)*H395-N(I395))</f>
        <v/>
      </c>
      <c r="K395" s="25" t="str">
        <f aca="false">IF($D395="","",N(G395)*IFERROR(INDEX(المنتجات!$H$5:$H$24,MATCH($D395,المنتجات!$A$5:$A$24,0)),0))</f>
        <v/>
      </c>
      <c r="L395" s="25" t="str">
        <f aca="false">IF($D395="","",J395-K395)</f>
        <v/>
      </c>
      <c r="M395" s="29"/>
      <c r="N395" s="29"/>
    </row>
    <row r="396" customFormat="false" ht="15" hidden="false" customHeight="false" outlineLevel="0" collapsed="false">
      <c r="A396" s="32"/>
      <c r="B396" s="29"/>
      <c r="C396" s="29"/>
      <c r="D396" s="29"/>
      <c r="E396" s="28" t="str">
        <f aca="false">IF($D396="","",IFERROR(INDEX(المنتجات!$C$5:$C$24,MATCH($D396,المنتجات!$A$5:$A$24,0)),"كود غير موجود"))</f>
        <v/>
      </c>
      <c r="F396" s="28" t="str">
        <f aca="false">IF($D396="","",IFERROR(INDEX(المنتجات!$B$5:$B$24,MATCH($D396,المنتجات!$A$5:$A$24,0)),""))</f>
        <v/>
      </c>
      <c r="G396" s="24"/>
      <c r="H396" s="25" t="str">
        <f aca="false">IF($D396="","",IFERROR(INDEX(المنتجات!$F$5:$F$24,MATCH($D396,المنتجات!$A$5:$A$24,0)),0))</f>
        <v/>
      </c>
      <c r="I396" s="30"/>
      <c r="J396" s="25" t="str">
        <f aca="false">IF($D396="","",N(G396)*H396-N(I396))</f>
        <v/>
      </c>
      <c r="K396" s="25" t="str">
        <f aca="false">IF($D396="","",N(G396)*IFERROR(INDEX(المنتجات!$H$5:$H$24,MATCH($D396,المنتجات!$A$5:$A$24,0)),0))</f>
        <v/>
      </c>
      <c r="L396" s="25" t="str">
        <f aca="false">IF($D396="","",J396-K396)</f>
        <v/>
      </c>
      <c r="M396" s="29"/>
      <c r="N396" s="29"/>
    </row>
    <row r="397" customFormat="false" ht="15" hidden="false" customHeight="false" outlineLevel="0" collapsed="false">
      <c r="A397" s="32"/>
      <c r="B397" s="29"/>
      <c r="C397" s="29"/>
      <c r="D397" s="29"/>
      <c r="E397" s="28" t="str">
        <f aca="false">IF($D397="","",IFERROR(INDEX(المنتجات!$C$5:$C$24,MATCH($D397,المنتجات!$A$5:$A$24,0)),"كود غير موجود"))</f>
        <v/>
      </c>
      <c r="F397" s="28" t="str">
        <f aca="false">IF($D397="","",IFERROR(INDEX(المنتجات!$B$5:$B$24,MATCH($D397,المنتجات!$A$5:$A$24,0)),""))</f>
        <v/>
      </c>
      <c r="G397" s="24"/>
      <c r="H397" s="25" t="str">
        <f aca="false">IF($D397="","",IFERROR(INDEX(المنتجات!$F$5:$F$24,MATCH($D397,المنتجات!$A$5:$A$24,0)),0))</f>
        <v/>
      </c>
      <c r="I397" s="30"/>
      <c r="J397" s="25" t="str">
        <f aca="false">IF($D397="","",N(G397)*H397-N(I397))</f>
        <v/>
      </c>
      <c r="K397" s="25" t="str">
        <f aca="false">IF($D397="","",N(G397)*IFERROR(INDEX(المنتجات!$H$5:$H$24,MATCH($D397,المنتجات!$A$5:$A$24,0)),0))</f>
        <v/>
      </c>
      <c r="L397" s="25" t="str">
        <f aca="false">IF($D397="","",J397-K397)</f>
        <v/>
      </c>
      <c r="M397" s="29"/>
      <c r="N397" s="29"/>
    </row>
    <row r="398" customFormat="false" ht="15" hidden="false" customHeight="false" outlineLevel="0" collapsed="false">
      <c r="A398" s="32"/>
      <c r="B398" s="29"/>
      <c r="C398" s="29"/>
      <c r="D398" s="29"/>
      <c r="E398" s="28" t="str">
        <f aca="false">IF($D398="","",IFERROR(INDEX(المنتجات!$C$5:$C$24,MATCH($D398,المنتجات!$A$5:$A$24,0)),"كود غير موجود"))</f>
        <v/>
      </c>
      <c r="F398" s="28" t="str">
        <f aca="false">IF($D398="","",IFERROR(INDEX(المنتجات!$B$5:$B$24,MATCH($D398,المنتجات!$A$5:$A$24,0)),""))</f>
        <v/>
      </c>
      <c r="G398" s="24"/>
      <c r="H398" s="25" t="str">
        <f aca="false">IF($D398="","",IFERROR(INDEX(المنتجات!$F$5:$F$24,MATCH($D398,المنتجات!$A$5:$A$24,0)),0))</f>
        <v/>
      </c>
      <c r="I398" s="30"/>
      <c r="J398" s="25" t="str">
        <f aca="false">IF($D398="","",N(G398)*H398-N(I398))</f>
        <v/>
      </c>
      <c r="K398" s="25" t="str">
        <f aca="false">IF($D398="","",N(G398)*IFERROR(INDEX(المنتجات!$H$5:$H$24,MATCH($D398,المنتجات!$A$5:$A$24,0)),0))</f>
        <v/>
      </c>
      <c r="L398" s="25" t="str">
        <f aca="false">IF($D398="","",J398-K398)</f>
        <v/>
      </c>
      <c r="M398" s="29"/>
      <c r="N398" s="29"/>
    </row>
    <row r="399" customFormat="false" ht="15" hidden="false" customHeight="false" outlineLevel="0" collapsed="false">
      <c r="A399" s="32"/>
      <c r="B399" s="29"/>
      <c r="C399" s="29"/>
      <c r="D399" s="29"/>
      <c r="E399" s="28" t="str">
        <f aca="false">IF($D399="","",IFERROR(INDEX(المنتجات!$C$5:$C$24,MATCH($D399,المنتجات!$A$5:$A$24,0)),"كود غير موجود"))</f>
        <v/>
      </c>
      <c r="F399" s="28" t="str">
        <f aca="false">IF($D399="","",IFERROR(INDEX(المنتجات!$B$5:$B$24,MATCH($D399,المنتجات!$A$5:$A$24,0)),""))</f>
        <v/>
      </c>
      <c r="G399" s="24"/>
      <c r="H399" s="25" t="str">
        <f aca="false">IF($D399="","",IFERROR(INDEX(المنتجات!$F$5:$F$24,MATCH($D399,المنتجات!$A$5:$A$24,0)),0))</f>
        <v/>
      </c>
      <c r="I399" s="30"/>
      <c r="J399" s="25" t="str">
        <f aca="false">IF($D399="","",N(G399)*H399-N(I399))</f>
        <v/>
      </c>
      <c r="K399" s="25" t="str">
        <f aca="false">IF($D399="","",N(G399)*IFERROR(INDEX(المنتجات!$H$5:$H$24,MATCH($D399,المنتجات!$A$5:$A$24,0)),0))</f>
        <v/>
      </c>
      <c r="L399" s="25" t="str">
        <f aca="false">IF($D399="","",J399-K399)</f>
        <v/>
      </c>
      <c r="M399" s="29"/>
      <c r="N399" s="29"/>
    </row>
    <row r="400" customFormat="false" ht="15" hidden="false" customHeight="false" outlineLevel="0" collapsed="false">
      <c r="A400" s="32"/>
      <c r="B400" s="29"/>
      <c r="C400" s="29"/>
      <c r="D400" s="29"/>
      <c r="E400" s="28" t="str">
        <f aca="false">IF($D400="","",IFERROR(INDEX(المنتجات!$C$5:$C$24,MATCH($D400,المنتجات!$A$5:$A$24,0)),"كود غير موجود"))</f>
        <v/>
      </c>
      <c r="F400" s="28" t="str">
        <f aca="false">IF($D400="","",IFERROR(INDEX(المنتجات!$B$5:$B$24,MATCH($D400,المنتجات!$A$5:$A$24,0)),""))</f>
        <v/>
      </c>
      <c r="G400" s="24"/>
      <c r="H400" s="25" t="str">
        <f aca="false">IF($D400="","",IFERROR(INDEX(المنتجات!$F$5:$F$24,MATCH($D400,المنتجات!$A$5:$A$24,0)),0))</f>
        <v/>
      </c>
      <c r="I400" s="30"/>
      <c r="J400" s="25" t="str">
        <f aca="false">IF($D400="","",N(G400)*H400-N(I400))</f>
        <v/>
      </c>
      <c r="K400" s="25" t="str">
        <f aca="false">IF($D400="","",N(G400)*IFERROR(INDEX(المنتجات!$H$5:$H$24,MATCH($D400,المنتجات!$A$5:$A$24,0)),0))</f>
        <v/>
      </c>
      <c r="L400" s="25" t="str">
        <f aca="false">IF($D400="","",J400-K400)</f>
        <v/>
      </c>
      <c r="M400" s="29"/>
      <c r="N400" s="29"/>
    </row>
    <row r="401" customFormat="false" ht="15" hidden="false" customHeight="false" outlineLevel="0" collapsed="false">
      <c r="A401" s="32"/>
      <c r="B401" s="29"/>
      <c r="C401" s="29"/>
      <c r="D401" s="29"/>
      <c r="E401" s="28" t="str">
        <f aca="false">IF($D401="","",IFERROR(INDEX(المنتجات!$C$5:$C$24,MATCH($D401,المنتجات!$A$5:$A$24,0)),"كود غير موجود"))</f>
        <v/>
      </c>
      <c r="F401" s="28" t="str">
        <f aca="false">IF($D401="","",IFERROR(INDEX(المنتجات!$B$5:$B$24,MATCH($D401,المنتجات!$A$5:$A$24,0)),""))</f>
        <v/>
      </c>
      <c r="G401" s="24"/>
      <c r="H401" s="25" t="str">
        <f aca="false">IF($D401="","",IFERROR(INDEX(المنتجات!$F$5:$F$24,MATCH($D401,المنتجات!$A$5:$A$24,0)),0))</f>
        <v/>
      </c>
      <c r="I401" s="30"/>
      <c r="J401" s="25" t="str">
        <f aca="false">IF($D401="","",N(G401)*H401-N(I401))</f>
        <v/>
      </c>
      <c r="K401" s="25" t="str">
        <f aca="false">IF($D401="","",N(G401)*IFERROR(INDEX(المنتجات!$H$5:$H$24,MATCH($D401,المنتجات!$A$5:$A$24,0)),0))</f>
        <v/>
      </c>
      <c r="L401" s="25" t="str">
        <f aca="false">IF($D401="","",J401-K401)</f>
        <v/>
      </c>
      <c r="M401" s="29"/>
      <c r="N401" s="29"/>
    </row>
    <row r="402" customFormat="false" ht="15" hidden="false" customHeight="false" outlineLevel="0" collapsed="false">
      <c r="A402" s="32"/>
      <c r="B402" s="29"/>
      <c r="C402" s="29"/>
      <c r="D402" s="29"/>
      <c r="E402" s="28" t="str">
        <f aca="false">IF($D402="","",IFERROR(INDEX(المنتجات!$C$5:$C$24,MATCH($D402,المنتجات!$A$5:$A$24,0)),"كود غير موجود"))</f>
        <v/>
      </c>
      <c r="F402" s="28" t="str">
        <f aca="false">IF($D402="","",IFERROR(INDEX(المنتجات!$B$5:$B$24,MATCH($D402,المنتجات!$A$5:$A$24,0)),""))</f>
        <v/>
      </c>
      <c r="G402" s="24"/>
      <c r="H402" s="25" t="str">
        <f aca="false">IF($D402="","",IFERROR(INDEX(المنتجات!$F$5:$F$24,MATCH($D402,المنتجات!$A$5:$A$24,0)),0))</f>
        <v/>
      </c>
      <c r="I402" s="30"/>
      <c r="J402" s="25" t="str">
        <f aca="false">IF($D402="","",N(G402)*H402-N(I402))</f>
        <v/>
      </c>
      <c r="K402" s="25" t="str">
        <f aca="false">IF($D402="","",N(G402)*IFERROR(INDEX(المنتجات!$H$5:$H$24,MATCH($D402,المنتجات!$A$5:$A$24,0)),0))</f>
        <v/>
      </c>
      <c r="L402" s="25" t="str">
        <f aca="false">IF($D402="","",J402-K402)</f>
        <v/>
      </c>
      <c r="M402" s="29"/>
      <c r="N402" s="29"/>
    </row>
    <row r="403" customFormat="false" ht="15" hidden="false" customHeight="false" outlineLevel="0" collapsed="false">
      <c r="A403" s="32"/>
      <c r="B403" s="29"/>
      <c r="C403" s="29"/>
      <c r="D403" s="29"/>
      <c r="E403" s="28" t="str">
        <f aca="false">IF($D403="","",IFERROR(INDEX(المنتجات!$C$5:$C$24,MATCH($D403,المنتجات!$A$5:$A$24,0)),"كود غير موجود"))</f>
        <v/>
      </c>
      <c r="F403" s="28" t="str">
        <f aca="false">IF($D403="","",IFERROR(INDEX(المنتجات!$B$5:$B$24,MATCH($D403,المنتجات!$A$5:$A$24,0)),""))</f>
        <v/>
      </c>
      <c r="G403" s="24"/>
      <c r="H403" s="25" t="str">
        <f aca="false">IF($D403="","",IFERROR(INDEX(المنتجات!$F$5:$F$24,MATCH($D403,المنتجات!$A$5:$A$24,0)),0))</f>
        <v/>
      </c>
      <c r="I403" s="30"/>
      <c r="J403" s="25" t="str">
        <f aca="false">IF($D403="","",N(G403)*H403-N(I403))</f>
        <v/>
      </c>
      <c r="K403" s="25" t="str">
        <f aca="false">IF($D403="","",N(G403)*IFERROR(INDEX(المنتجات!$H$5:$H$24,MATCH($D403,المنتجات!$A$5:$A$24,0)),0))</f>
        <v/>
      </c>
      <c r="L403" s="25" t="str">
        <f aca="false">IF($D403="","",J403-K403)</f>
        <v/>
      </c>
      <c r="M403" s="29"/>
      <c r="N403" s="29"/>
    </row>
    <row r="404" customFormat="false" ht="15" hidden="false" customHeight="false" outlineLevel="0" collapsed="false">
      <c r="A404" s="32"/>
      <c r="B404" s="29"/>
      <c r="C404" s="29"/>
      <c r="D404" s="29"/>
      <c r="E404" s="28" t="str">
        <f aca="false">IF($D404="","",IFERROR(INDEX(المنتجات!$C$5:$C$24,MATCH($D404,المنتجات!$A$5:$A$24,0)),"كود غير موجود"))</f>
        <v/>
      </c>
      <c r="F404" s="28" t="str">
        <f aca="false">IF($D404="","",IFERROR(INDEX(المنتجات!$B$5:$B$24,MATCH($D404,المنتجات!$A$5:$A$24,0)),""))</f>
        <v/>
      </c>
      <c r="G404" s="24"/>
      <c r="H404" s="25" t="str">
        <f aca="false">IF($D404="","",IFERROR(INDEX(المنتجات!$F$5:$F$24,MATCH($D404,المنتجات!$A$5:$A$24,0)),0))</f>
        <v/>
      </c>
      <c r="I404" s="30"/>
      <c r="J404" s="25" t="str">
        <f aca="false">IF($D404="","",N(G404)*H404-N(I404))</f>
        <v/>
      </c>
      <c r="K404" s="25" t="str">
        <f aca="false">IF($D404="","",N(G404)*IFERROR(INDEX(المنتجات!$H$5:$H$24,MATCH($D404,المنتجات!$A$5:$A$24,0)),0))</f>
        <v/>
      </c>
      <c r="L404" s="25" t="str">
        <f aca="false">IF($D404="","",J404-K404)</f>
        <v/>
      </c>
      <c r="M404" s="29"/>
      <c r="N404" s="29"/>
    </row>
    <row r="405" customFormat="false" ht="15" hidden="false" customHeight="false" outlineLevel="0" collapsed="false">
      <c r="A405" s="32"/>
      <c r="B405" s="29"/>
      <c r="C405" s="29"/>
      <c r="D405" s="29"/>
      <c r="E405" s="28" t="str">
        <f aca="false">IF($D405="","",IFERROR(INDEX(المنتجات!$C$5:$C$24,MATCH($D405,المنتجات!$A$5:$A$24,0)),"كود غير موجود"))</f>
        <v/>
      </c>
      <c r="F405" s="28" t="str">
        <f aca="false">IF($D405="","",IFERROR(INDEX(المنتجات!$B$5:$B$24,MATCH($D405,المنتجات!$A$5:$A$24,0)),""))</f>
        <v/>
      </c>
      <c r="G405" s="24"/>
      <c r="H405" s="25" t="str">
        <f aca="false">IF($D405="","",IFERROR(INDEX(المنتجات!$F$5:$F$24,MATCH($D405,المنتجات!$A$5:$A$24,0)),0))</f>
        <v/>
      </c>
      <c r="I405" s="30"/>
      <c r="J405" s="25" t="str">
        <f aca="false">IF($D405="","",N(G405)*H405-N(I405))</f>
        <v/>
      </c>
      <c r="K405" s="25" t="str">
        <f aca="false">IF($D405="","",N(G405)*IFERROR(INDEX(المنتجات!$H$5:$H$24,MATCH($D405,المنتجات!$A$5:$A$24,0)),0))</f>
        <v/>
      </c>
      <c r="L405" s="25" t="str">
        <f aca="false">IF($D405="","",J405-K405)</f>
        <v/>
      </c>
      <c r="M405" s="29"/>
      <c r="N405" s="29"/>
    </row>
    <row r="406" customFormat="false" ht="15" hidden="false" customHeight="false" outlineLevel="0" collapsed="false">
      <c r="A406" s="32"/>
      <c r="B406" s="29"/>
      <c r="C406" s="29"/>
      <c r="D406" s="29"/>
      <c r="E406" s="28" t="str">
        <f aca="false">IF($D406="","",IFERROR(INDEX(المنتجات!$C$5:$C$24,MATCH($D406,المنتجات!$A$5:$A$24,0)),"كود غير موجود"))</f>
        <v/>
      </c>
      <c r="F406" s="28" t="str">
        <f aca="false">IF($D406="","",IFERROR(INDEX(المنتجات!$B$5:$B$24,MATCH($D406,المنتجات!$A$5:$A$24,0)),""))</f>
        <v/>
      </c>
      <c r="G406" s="24"/>
      <c r="H406" s="25" t="str">
        <f aca="false">IF($D406="","",IFERROR(INDEX(المنتجات!$F$5:$F$24,MATCH($D406,المنتجات!$A$5:$A$24,0)),0))</f>
        <v/>
      </c>
      <c r="I406" s="30"/>
      <c r="J406" s="25" t="str">
        <f aca="false">IF($D406="","",N(G406)*H406-N(I406))</f>
        <v/>
      </c>
      <c r="K406" s="25" t="str">
        <f aca="false">IF($D406="","",N(G406)*IFERROR(INDEX(المنتجات!$H$5:$H$24,MATCH($D406,المنتجات!$A$5:$A$24,0)),0))</f>
        <v/>
      </c>
      <c r="L406" s="25" t="str">
        <f aca="false">IF($D406="","",J406-K406)</f>
        <v/>
      </c>
      <c r="M406" s="29"/>
      <c r="N406" s="29"/>
    </row>
    <row r="407" customFormat="false" ht="15" hidden="false" customHeight="false" outlineLevel="0" collapsed="false">
      <c r="A407" s="32"/>
      <c r="B407" s="29"/>
      <c r="C407" s="29"/>
      <c r="D407" s="29"/>
      <c r="E407" s="28" t="str">
        <f aca="false">IF($D407="","",IFERROR(INDEX(المنتجات!$C$5:$C$24,MATCH($D407,المنتجات!$A$5:$A$24,0)),"كود غير موجود"))</f>
        <v/>
      </c>
      <c r="F407" s="28" t="str">
        <f aca="false">IF($D407="","",IFERROR(INDEX(المنتجات!$B$5:$B$24,MATCH($D407,المنتجات!$A$5:$A$24,0)),""))</f>
        <v/>
      </c>
      <c r="G407" s="24"/>
      <c r="H407" s="25" t="str">
        <f aca="false">IF($D407="","",IFERROR(INDEX(المنتجات!$F$5:$F$24,MATCH($D407,المنتجات!$A$5:$A$24,0)),0))</f>
        <v/>
      </c>
      <c r="I407" s="30"/>
      <c r="J407" s="25" t="str">
        <f aca="false">IF($D407="","",N(G407)*H407-N(I407))</f>
        <v/>
      </c>
      <c r="K407" s="25" t="str">
        <f aca="false">IF($D407="","",N(G407)*IFERROR(INDEX(المنتجات!$H$5:$H$24,MATCH($D407,المنتجات!$A$5:$A$24,0)),0))</f>
        <v/>
      </c>
      <c r="L407" s="25" t="str">
        <f aca="false">IF($D407="","",J407-K407)</f>
        <v/>
      </c>
      <c r="M407" s="29"/>
      <c r="N407" s="29"/>
    </row>
    <row r="408" customFormat="false" ht="15" hidden="false" customHeight="false" outlineLevel="0" collapsed="false">
      <c r="A408" s="32"/>
      <c r="B408" s="29"/>
      <c r="C408" s="29"/>
      <c r="D408" s="29"/>
      <c r="E408" s="28" t="str">
        <f aca="false">IF($D408="","",IFERROR(INDEX(المنتجات!$C$5:$C$24,MATCH($D408,المنتجات!$A$5:$A$24,0)),"كود غير موجود"))</f>
        <v/>
      </c>
      <c r="F408" s="28" t="str">
        <f aca="false">IF($D408="","",IFERROR(INDEX(المنتجات!$B$5:$B$24,MATCH($D408,المنتجات!$A$5:$A$24,0)),""))</f>
        <v/>
      </c>
      <c r="G408" s="24"/>
      <c r="H408" s="25" t="str">
        <f aca="false">IF($D408="","",IFERROR(INDEX(المنتجات!$F$5:$F$24,MATCH($D408,المنتجات!$A$5:$A$24,0)),0))</f>
        <v/>
      </c>
      <c r="I408" s="30"/>
      <c r="J408" s="25" t="str">
        <f aca="false">IF($D408="","",N(G408)*H408-N(I408))</f>
        <v/>
      </c>
      <c r="K408" s="25" t="str">
        <f aca="false">IF($D408="","",N(G408)*IFERROR(INDEX(المنتجات!$H$5:$H$24,MATCH($D408,المنتجات!$A$5:$A$24,0)),0))</f>
        <v/>
      </c>
      <c r="L408" s="25" t="str">
        <f aca="false">IF($D408="","",J408-K408)</f>
        <v/>
      </c>
      <c r="M408" s="29"/>
      <c r="N408" s="29"/>
    </row>
    <row r="409" customFormat="false" ht="15" hidden="false" customHeight="false" outlineLevel="0" collapsed="false">
      <c r="A409" s="32"/>
      <c r="B409" s="29"/>
      <c r="C409" s="29"/>
      <c r="D409" s="29"/>
      <c r="E409" s="28" t="str">
        <f aca="false">IF($D409="","",IFERROR(INDEX(المنتجات!$C$5:$C$24,MATCH($D409,المنتجات!$A$5:$A$24,0)),"كود غير موجود"))</f>
        <v/>
      </c>
      <c r="F409" s="28" t="str">
        <f aca="false">IF($D409="","",IFERROR(INDEX(المنتجات!$B$5:$B$24,MATCH($D409,المنتجات!$A$5:$A$24,0)),""))</f>
        <v/>
      </c>
      <c r="G409" s="24"/>
      <c r="H409" s="25" t="str">
        <f aca="false">IF($D409="","",IFERROR(INDEX(المنتجات!$F$5:$F$24,MATCH($D409,المنتجات!$A$5:$A$24,0)),0))</f>
        <v/>
      </c>
      <c r="I409" s="30"/>
      <c r="J409" s="25" t="str">
        <f aca="false">IF($D409="","",N(G409)*H409-N(I409))</f>
        <v/>
      </c>
      <c r="K409" s="25" t="str">
        <f aca="false">IF($D409="","",N(G409)*IFERROR(INDEX(المنتجات!$H$5:$H$24,MATCH($D409,المنتجات!$A$5:$A$24,0)),0))</f>
        <v/>
      </c>
      <c r="L409" s="25" t="str">
        <f aca="false">IF($D409="","",J409-K409)</f>
        <v/>
      </c>
      <c r="M409" s="29"/>
      <c r="N409" s="29"/>
    </row>
    <row r="410" customFormat="false" ht="15" hidden="false" customHeight="false" outlineLevel="0" collapsed="false">
      <c r="A410" s="32"/>
      <c r="B410" s="29"/>
      <c r="C410" s="29"/>
      <c r="D410" s="29"/>
      <c r="E410" s="28" t="str">
        <f aca="false">IF($D410="","",IFERROR(INDEX(المنتجات!$C$5:$C$24,MATCH($D410,المنتجات!$A$5:$A$24,0)),"كود غير موجود"))</f>
        <v/>
      </c>
      <c r="F410" s="28" t="str">
        <f aca="false">IF($D410="","",IFERROR(INDEX(المنتجات!$B$5:$B$24,MATCH($D410,المنتجات!$A$5:$A$24,0)),""))</f>
        <v/>
      </c>
      <c r="G410" s="24"/>
      <c r="H410" s="25" t="str">
        <f aca="false">IF($D410="","",IFERROR(INDEX(المنتجات!$F$5:$F$24,MATCH($D410,المنتجات!$A$5:$A$24,0)),0))</f>
        <v/>
      </c>
      <c r="I410" s="30"/>
      <c r="J410" s="25" t="str">
        <f aca="false">IF($D410="","",N(G410)*H410-N(I410))</f>
        <v/>
      </c>
      <c r="K410" s="25" t="str">
        <f aca="false">IF($D410="","",N(G410)*IFERROR(INDEX(المنتجات!$H$5:$H$24,MATCH($D410,المنتجات!$A$5:$A$24,0)),0))</f>
        <v/>
      </c>
      <c r="L410" s="25" t="str">
        <f aca="false">IF($D410="","",J410-K410)</f>
        <v/>
      </c>
      <c r="M410" s="29"/>
      <c r="N410" s="29"/>
    </row>
    <row r="411" customFormat="false" ht="15" hidden="false" customHeight="false" outlineLevel="0" collapsed="false">
      <c r="A411" s="32"/>
      <c r="B411" s="29"/>
      <c r="C411" s="29"/>
      <c r="D411" s="29"/>
      <c r="E411" s="28" t="str">
        <f aca="false">IF($D411="","",IFERROR(INDEX(المنتجات!$C$5:$C$24,MATCH($D411,المنتجات!$A$5:$A$24,0)),"كود غير موجود"))</f>
        <v/>
      </c>
      <c r="F411" s="28" t="str">
        <f aca="false">IF($D411="","",IFERROR(INDEX(المنتجات!$B$5:$B$24,MATCH($D411,المنتجات!$A$5:$A$24,0)),""))</f>
        <v/>
      </c>
      <c r="G411" s="24"/>
      <c r="H411" s="25" t="str">
        <f aca="false">IF($D411="","",IFERROR(INDEX(المنتجات!$F$5:$F$24,MATCH($D411,المنتجات!$A$5:$A$24,0)),0))</f>
        <v/>
      </c>
      <c r="I411" s="30"/>
      <c r="J411" s="25" t="str">
        <f aca="false">IF($D411="","",N(G411)*H411-N(I411))</f>
        <v/>
      </c>
      <c r="K411" s="25" t="str">
        <f aca="false">IF($D411="","",N(G411)*IFERROR(INDEX(المنتجات!$H$5:$H$24,MATCH($D411,المنتجات!$A$5:$A$24,0)),0))</f>
        <v/>
      </c>
      <c r="L411" s="25" t="str">
        <f aca="false">IF($D411="","",J411-K411)</f>
        <v/>
      </c>
      <c r="M411" s="29"/>
      <c r="N411" s="29"/>
    </row>
    <row r="412" customFormat="false" ht="15" hidden="false" customHeight="false" outlineLevel="0" collapsed="false">
      <c r="A412" s="32"/>
      <c r="B412" s="29"/>
      <c r="C412" s="29"/>
      <c r="D412" s="29"/>
      <c r="E412" s="28" t="str">
        <f aca="false">IF($D412="","",IFERROR(INDEX(المنتجات!$C$5:$C$24,MATCH($D412,المنتجات!$A$5:$A$24,0)),"كود غير موجود"))</f>
        <v/>
      </c>
      <c r="F412" s="28" t="str">
        <f aca="false">IF($D412="","",IFERROR(INDEX(المنتجات!$B$5:$B$24,MATCH($D412,المنتجات!$A$5:$A$24,0)),""))</f>
        <v/>
      </c>
      <c r="G412" s="24"/>
      <c r="H412" s="25" t="str">
        <f aca="false">IF($D412="","",IFERROR(INDEX(المنتجات!$F$5:$F$24,MATCH($D412,المنتجات!$A$5:$A$24,0)),0))</f>
        <v/>
      </c>
      <c r="I412" s="30"/>
      <c r="J412" s="25" t="str">
        <f aca="false">IF($D412="","",N(G412)*H412-N(I412))</f>
        <v/>
      </c>
      <c r="K412" s="25" t="str">
        <f aca="false">IF($D412="","",N(G412)*IFERROR(INDEX(المنتجات!$H$5:$H$24,MATCH($D412,المنتجات!$A$5:$A$24,0)),0))</f>
        <v/>
      </c>
      <c r="L412" s="25" t="str">
        <f aca="false">IF($D412="","",J412-K412)</f>
        <v/>
      </c>
      <c r="M412" s="29"/>
      <c r="N412" s="29"/>
    </row>
    <row r="413" customFormat="false" ht="15" hidden="false" customHeight="false" outlineLevel="0" collapsed="false">
      <c r="A413" s="32"/>
      <c r="B413" s="29"/>
      <c r="C413" s="29"/>
      <c r="D413" s="29"/>
      <c r="E413" s="28" t="str">
        <f aca="false">IF($D413="","",IFERROR(INDEX(المنتجات!$C$5:$C$24,MATCH($D413,المنتجات!$A$5:$A$24,0)),"كود غير موجود"))</f>
        <v/>
      </c>
      <c r="F413" s="28" t="str">
        <f aca="false">IF($D413="","",IFERROR(INDEX(المنتجات!$B$5:$B$24,MATCH($D413,المنتجات!$A$5:$A$24,0)),""))</f>
        <v/>
      </c>
      <c r="G413" s="24"/>
      <c r="H413" s="25" t="str">
        <f aca="false">IF($D413="","",IFERROR(INDEX(المنتجات!$F$5:$F$24,MATCH($D413,المنتجات!$A$5:$A$24,0)),0))</f>
        <v/>
      </c>
      <c r="I413" s="30"/>
      <c r="J413" s="25" t="str">
        <f aca="false">IF($D413="","",N(G413)*H413-N(I413))</f>
        <v/>
      </c>
      <c r="K413" s="25" t="str">
        <f aca="false">IF($D413="","",N(G413)*IFERROR(INDEX(المنتجات!$H$5:$H$24,MATCH($D413,المنتجات!$A$5:$A$24,0)),0))</f>
        <v/>
      </c>
      <c r="L413" s="25" t="str">
        <f aca="false">IF($D413="","",J413-K413)</f>
        <v/>
      </c>
      <c r="M413" s="29"/>
      <c r="N413" s="29"/>
    </row>
    <row r="414" customFormat="false" ht="15" hidden="false" customHeight="false" outlineLevel="0" collapsed="false">
      <c r="A414" s="32"/>
      <c r="B414" s="29"/>
      <c r="C414" s="29"/>
      <c r="D414" s="29"/>
      <c r="E414" s="28" t="str">
        <f aca="false">IF($D414="","",IFERROR(INDEX(المنتجات!$C$5:$C$24,MATCH($D414,المنتجات!$A$5:$A$24,0)),"كود غير موجود"))</f>
        <v/>
      </c>
      <c r="F414" s="28" t="str">
        <f aca="false">IF($D414="","",IFERROR(INDEX(المنتجات!$B$5:$B$24,MATCH($D414,المنتجات!$A$5:$A$24,0)),""))</f>
        <v/>
      </c>
      <c r="G414" s="24"/>
      <c r="H414" s="25" t="str">
        <f aca="false">IF($D414="","",IFERROR(INDEX(المنتجات!$F$5:$F$24,MATCH($D414,المنتجات!$A$5:$A$24,0)),0))</f>
        <v/>
      </c>
      <c r="I414" s="30"/>
      <c r="J414" s="25" t="str">
        <f aca="false">IF($D414="","",N(G414)*H414-N(I414))</f>
        <v/>
      </c>
      <c r="K414" s="25" t="str">
        <f aca="false">IF($D414="","",N(G414)*IFERROR(INDEX(المنتجات!$H$5:$H$24,MATCH($D414,المنتجات!$A$5:$A$24,0)),0))</f>
        <v/>
      </c>
      <c r="L414" s="25" t="str">
        <f aca="false">IF($D414="","",J414-K414)</f>
        <v/>
      </c>
      <c r="M414" s="29"/>
      <c r="N414" s="29"/>
    </row>
    <row r="415" customFormat="false" ht="15" hidden="false" customHeight="false" outlineLevel="0" collapsed="false">
      <c r="A415" s="32"/>
      <c r="B415" s="29"/>
      <c r="C415" s="29"/>
      <c r="D415" s="29"/>
      <c r="E415" s="28" t="str">
        <f aca="false">IF($D415="","",IFERROR(INDEX(المنتجات!$C$5:$C$24,MATCH($D415,المنتجات!$A$5:$A$24,0)),"كود غير موجود"))</f>
        <v/>
      </c>
      <c r="F415" s="28" t="str">
        <f aca="false">IF($D415="","",IFERROR(INDEX(المنتجات!$B$5:$B$24,MATCH($D415,المنتجات!$A$5:$A$24,0)),""))</f>
        <v/>
      </c>
      <c r="G415" s="24"/>
      <c r="H415" s="25" t="str">
        <f aca="false">IF($D415="","",IFERROR(INDEX(المنتجات!$F$5:$F$24,MATCH($D415,المنتجات!$A$5:$A$24,0)),0))</f>
        <v/>
      </c>
      <c r="I415" s="30"/>
      <c r="J415" s="25" t="str">
        <f aca="false">IF($D415="","",N(G415)*H415-N(I415))</f>
        <v/>
      </c>
      <c r="K415" s="25" t="str">
        <f aca="false">IF($D415="","",N(G415)*IFERROR(INDEX(المنتجات!$H$5:$H$24,MATCH($D415,المنتجات!$A$5:$A$24,0)),0))</f>
        <v/>
      </c>
      <c r="L415" s="25" t="str">
        <f aca="false">IF($D415="","",J415-K415)</f>
        <v/>
      </c>
      <c r="M415" s="29"/>
      <c r="N415" s="29"/>
    </row>
    <row r="416" customFormat="false" ht="15" hidden="false" customHeight="false" outlineLevel="0" collapsed="false">
      <c r="A416" s="32"/>
      <c r="B416" s="29"/>
      <c r="C416" s="29"/>
      <c r="D416" s="29"/>
      <c r="E416" s="28" t="str">
        <f aca="false">IF($D416="","",IFERROR(INDEX(المنتجات!$C$5:$C$24,MATCH($D416,المنتجات!$A$5:$A$24,0)),"كود غير موجود"))</f>
        <v/>
      </c>
      <c r="F416" s="28" t="str">
        <f aca="false">IF($D416="","",IFERROR(INDEX(المنتجات!$B$5:$B$24,MATCH($D416,المنتجات!$A$5:$A$24,0)),""))</f>
        <v/>
      </c>
      <c r="G416" s="24"/>
      <c r="H416" s="25" t="str">
        <f aca="false">IF($D416="","",IFERROR(INDEX(المنتجات!$F$5:$F$24,MATCH($D416,المنتجات!$A$5:$A$24,0)),0))</f>
        <v/>
      </c>
      <c r="I416" s="30"/>
      <c r="J416" s="25" t="str">
        <f aca="false">IF($D416="","",N(G416)*H416-N(I416))</f>
        <v/>
      </c>
      <c r="K416" s="25" t="str">
        <f aca="false">IF($D416="","",N(G416)*IFERROR(INDEX(المنتجات!$H$5:$H$24,MATCH($D416,المنتجات!$A$5:$A$24,0)),0))</f>
        <v/>
      </c>
      <c r="L416" s="25" t="str">
        <f aca="false">IF($D416="","",J416-K416)</f>
        <v/>
      </c>
      <c r="M416" s="29"/>
      <c r="N416" s="29"/>
    </row>
    <row r="417" customFormat="false" ht="15" hidden="false" customHeight="false" outlineLevel="0" collapsed="false">
      <c r="A417" s="32"/>
      <c r="B417" s="29"/>
      <c r="C417" s="29"/>
      <c r="D417" s="29"/>
      <c r="E417" s="28" t="str">
        <f aca="false">IF($D417="","",IFERROR(INDEX(المنتجات!$C$5:$C$24,MATCH($D417,المنتجات!$A$5:$A$24,0)),"كود غير موجود"))</f>
        <v/>
      </c>
      <c r="F417" s="28" t="str">
        <f aca="false">IF($D417="","",IFERROR(INDEX(المنتجات!$B$5:$B$24,MATCH($D417,المنتجات!$A$5:$A$24,0)),""))</f>
        <v/>
      </c>
      <c r="G417" s="24"/>
      <c r="H417" s="25" t="str">
        <f aca="false">IF($D417="","",IFERROR(INDEX(المنتجات!$F$5:$F$24,MATCH($D417,المنتجات!$A$5:$A$24,0)),0))</f>
        <v/>
      </c>
      <c r="I417" s="30"/>
      <c r="J417" s="25" t="str">
        <f aca="false">IF($D417="","",N(G417)*H417-N(I417))</f>
        <v/>
      </c>
      <c r="K417" s="25" t="str">
        <f aca="false">IF($D417="","",N(G417)*IFERROR(INDEX(المنتجات!$H$5:$H$24,MATCH($D417,المنتجات!$A$5:$A$24,0)),0))</f>
        <v/>
      </c>
      <c r="L417" s="25" t="str">
        <f aca="false">IF($D417="","",J417-K417)</f>
        <v/>
      </c>
      <c r="M417" s="29"/>
      <c r="N417" s="29"/>
    </row>
    <row r="418" customFormat="false" ht="15" hidden="false" customHeight="false" outlineLevel="0" collapsed="false">
      <c r="A418" s="32"/>
      <c r="B418" s="29"/>
      <c r="C418" s="29"/>
      <c r="D418" s="29"/>
      <c r="E418" s="28" t="str">
        <f aca="false">IF($D418="","",IFERROR(INDEX(المنتجات!$C$5:$C$24,MATCH($D418,المنتجات!$A$5:$A$24,0)),"كود غير موجود"))</f>
        <v/>
      </c>
      <c r="F418" s="28" t="str">
        <f aca="false">IF($D418="","",IFERROR(INDEX(المنتجات!$B$5:$B$24,MATCH($D418,المنتجات!$A$5:$A$24,0)),""))</f>
        <v/>
      </c>
      <c r="G418" s="24"/>
      <c r="H418" s="25" t="str">
        <f aca="false">IF($D418="","",IFERROR(INDEX(المنتجات!$F$5:$F$24,MATCH($D418,المنتجات!$A$5:$A$24,0)),0))</f>
        <v/>
      </c>
      <c r="I418" s="30"/>
      <c r="J418" s="25" t="str">
        <f aca="false">IF($D418="","",N(G418)*H418-N(I418))</f>
        <v/>
      </c>
      <c r="K418" s="25" t="str">
        <f aca="false">IF($D418="","",N(G418)*IFERROR(INDEX(المنتجات!$H$5:$H$24,MATCH($D418,المنتجات!$A$5:$A$24,0)),0))</f>
        <v/>
      </c>
      <c r="L418" s="25" t="str">
        <f aca="false">IF($D418="","",J418-K418)</f>
        <v/>
      </c>
      <c r="M418" s="29"/>
      <c r="N418" s="29"/>
    </row>
    <row r="419" customFormat="false" ht="15" hidden="false" customHeight="false" outlineLevel="0" collapsed="false">
      <c r="A419" s="32"/>
      <c r="B419" s="29"/>
      <c r="C419" s="29"/>
      <c r="D419" s="29"/>
      <c r="E419" s="28" t="str">
        <f aca="false">IF($D419="","",IFERROR(INDEX(المنتجات!$C$5:$C$24,MATCH($D419,المنتجات!$A$5:$A$24,0)),"كود غير موجود"))</f>
        <v/>
      </c>
      <c r="F419" s="28" t="str">
        <f aca="false">IF($D419="","",IFERROR(INDEX(المنتجات!$B$5:$B$24,MATCH($D419,المنتجات!$A$5:$A$24,0)),""))</f>
        <v/>
      </c>
      <c r="G419" s="24"/>
      <c r="H419" s="25" t="str">
        <f aca="false">IF($D419="","",IFERROR(INDEX(المنتجات!$F$5:$F$24,MATCH($D419,المنتجات!$A$5:$A$24,0)),0))</f>
        <v/>
      </c>
      <c r="I419" s="30"/>
      <c r="J419" s="25" t="str">
        <f aca="false">IF($D419="","",N(G419)*H419-N(I419))</f>
        <v/>
      </c>
      <c r="K419" s="25" t="str">
        <f aca="false">IF($D419="","",N(G419)*IFERROR(INDEX(المنتجات!$H$5:$H$24,MATCH($D419,المنتجات!$A$5:$A$24,0)),0))</f>
        <v/>
      </c>
      <c r="L419" s="25" t="str">
        <f aca="false">IF($D419="","",J419-K419)</f>
        <v/>
      </c>
      <c r="M419" s="29"/>
      <c r="N419" s="29"/>
    </row>
    <row r="420" customFormat="false" ht="15" hidden="false" customHeight="false" outlineLevel="0" collapsed="false">
      <c r="A420" s="32"/>
      <c r="B420" s="29"/>
      <c r="C420" s="29"/>
      <c r="D420" s="29"/>
      <c r="E420" s="28" t="str">
        <f aca="false">IF($D420="","",IFERROR(INDEX(المنتجات!$C$5:$C$24,MATCH($D420,المنتجات!$A$5:$A$24,0)),"كود غير موجود"))</f>
        <v/>
      </c>
      <c r="F420" s="28" t="str">
        <f aca="false">IF($D420="","",IFERROR(INDEX(المنتجات!$B$5:$B$24,MATCH($D420,المنتجات!$A$5:$A$24,0)),""))</f>
        <v/>
      </c>
      <c r="G420" s="24"/>
      <c r="H420" s="25" t="str">
        <f aca="false">IF($D420="","",IFERROR(INDEX(المنتجات!$F$5:$F$24,MATCH($D420,المنتجات!$A$5:$A$24,0)),0))</f>
        <v/>
      </c>
      <c r="I420" s="30"/>
      <c r="J420" s="25" t="str">
        <f aca="false">IF($D420="","",N(G420)*H420-N(I420))</f>
        <v/>
      </c>
      <c r="K420" s="25" t="str">
        <f aca="false">IF($D420="","",N(G420)*IFERROR(INDEX(المنتجات!$H$5:$H$24,MATCH($D420,المنتجات!$A$5:$A$24,0)),0))</f>
        <v/>
      </c>
      <c r="L420" s="25" t="str">
        <f aca="false">IF($D420="","",J420-K420)</f>
        <v/>
      </c>
      <c r="M420" s="29"/>
      <c r="N420" s="29"/>
    </row>
    <row r="421" customFormat="false" ht="15" hidden="false" customHeight="false" outlineLevel="0" collapsed="false">
      <c r="A421" s="32"/>
      <c r="B421" s="29"/>
      <c r="C421" s="29"/>
      <c r="D421" s="29"/>
      <c r="E421" s="28" t="str">
        <f aca="false">IF($D421="","",IFERROR(INDEX(المنتجات!$C$5:$C$24,MATCH($D421,المنتجات!$A$5:$A$24,0)),"كود غير موجود"))</f>
        <v/>
      </c>
      <c r="F421" s="28" t="str">
        <f aca="false">IF($D421="","",IFERROR(INDEX(المنتجات!$B$5:$B$24,MATCH($D421,المنتجات!$A$5:$A$24,0)),""))</f>
        <v/>
      </c>
      <c r="G421" s="24"/>
      <c r="H421" s="25" t="str">
        <f aca="false">IF($D421="","",IFERROR(INDEX(المنتجات!$F$5:$F$24,MATCH($D421,المنتجات!$A$5:$A$24,0)),0))</f>
        <v/>
      </c>
      <c r="I421" s="30"/>
      <c r="J421" s="25" t="str">
        <f aca="false">IF($D421="","",N(G421)*H421-N(I421))</f>
        <v/>
      </c>
      <c r="K421" s="25" t="str">
        <f aca="false">IF($D421="","",N(G421)*IFERROR(INDEX(المنتجات!$H$5:$H$24,MATCH($D421,المنتجات!$A$5:$A$24,0)),0))</f>
        <v/>
      </c>
      <c r="L421" s="25" t="str">
        <f aca="false">IF($D421="","",J421-K421)</f>
        <v/>
      </c>
      <c r="M421" s="29"/>
      <c r="N421" s="29"/>
    </row>
    <row r="422" customFormat="false" ht="15" hidden="false" customHeight="false" outlineLevel="0" collapsed="false">
      <c r="A422" s="32"/>
      <c r="B422" s="29"/>
      <c r="C422" s="29"/>
      <c r="D422" s="29"/>
      <c r="E422" s="28" t="str">
        <f aca="false">IF($D422="","",IFERROR(INDEX(المنتجات!$C$5:$C$24,MATCH($D422,المنتجات!$A$5:$A$24,0)),"كود غير موجود"))</f>
        <v/>
      </c>
      <c r="F422" s="28" t="str">
        <f aca="false">IF($D422="","",IFERROR(INDEX(المنتجات!$B$5:$B$24,MATCH($D422,المنتجات!$A$5:$A$24,0)),""))</f>
        <v/>
      </c>
      <c r="G422" s="24"/>
      <c r="H422" s="25" t="str">
        <f aca="false">IF($D422="","",IFERROR(INDEX(المنتجات!$F$5:$F$24,MATCH($D422,المنتجات!$A$5:$A$24,0)),0))</f>
        <v/>
      </c>
      <c r="I422" s="30"/>
      <c r="J422" s="25" t="str">
        <f aca="false">IF($D422="","",N(G422)*H422-N(I422))</f>
        <v/>
      </c>
      <c r="K422" s="25" t="str">
        <f aca="false">IF($D422="","",N(G422)*IFERROR(INDEX(المنتجات!$H$5:$H$24,MATCH($D422,المنتجات!$A$5:$A$24,0)),0))</f>
        <v/>
      </c>
      <c r="L422" s="25" t="str">
        <f aca="false">IF($D422="","",J422-K422)</f>
        <v/>
      </c>
      <c r="M422" s="29"/>
      <c r="N422" s="29"/>
    </row>
    <row r="423" customFormat="false" ht="15" hidden="false" customHeight="false" outlineLevel="0" collapsed="false">
      <c r="A423" s="32"/>
      <c r="B423" s="29"/>
      <c r="C423" s="29"/>
      <c r="D423" s="29"/>
      <c r="E423" s="28" t="str">
        <f aca="false">IF($D423="","",IFERROR(INDEX(المنتجات!$C$5:$C$24,MATCH($D423,المنتجات!$A$5:$A$24,0)),"كود غير موجود"))</f>
        <v/>
      </c>
      <c r="F423" s="28" t="str">
        <f aca="false">IF($D423="","",IFERROR(INDEX(المنتجات!$B$5:$B$24,MATCH($D423,المنتجات!$A$5:$A$24,0)),""))</f>
        <v/>
      </c>
      <c r="G423" s="24"/>
      <c r="H423" s="25" t="str">
        <f aca="false">IF($D423="","",IFERROR(INDEX(المنتجات!$F$5:$F$24,MATCH($D423,المنتجات!$A$5:$A$24,0)),0))</f>
        <v/>
      </c>
      <c r="I423" s="30"/>
      <c r="J423" s="25" t="str">
        <f aca="false">IF($D423="","",N(G423)*H423-N(I423))</f>
        <v/>
      </c>
      <c r="K423" s="25" t="str">
        <f aca="false">IF($D423="","",N(G423)*IFERROR(INDEX(المنتجات!$H$5:$H$24,MATCH($D423,المنتجات!$A$5:$A$24,0)),0))</f>
        <v/>
      </c>
      <c r="L423" s="25" t="str">
        <f aca="false">IF($D423="","",J423-K423)</f>
        <v/>
      </c>
      <c r="M423" s="29"/>
      <c r="N423" s="29"/>
    </row>
    <row r="424" customFormat="false" ht="15" hidden="false" customHeight="false" outlineLevel="0" collapsed="false">
      <c r="A424" s="32"/>
      <c r="B424" s="29"/>
      <c r="C424" s="29"/>
      <c r="D424" s="29"/>
      <c r="E424" s="28" t="str">
        <f aca="false">IF($D424="","",IFERROR(INDEX(المنتجات!$C$5:$C$24,MATCH($D424,المنتجات!$A$5:$A$24,0)),"كود غير موجود"))</f>
        <v/>
      </c>
      <c r="F424" s="28" t="str">
        <f aca="false">IF($D424="","",IFERROR(INDEX(المنتجات!$B$5:$B$24,MATCH($D424,المنتجات!$A$5:$A$24,0)),""))</f>
        <v/>
      </c>
      <c r="G424" s="24"/>
      <c r="H424" s="25" t="str">
        <f aca="false">IF($D424="","",IFERROR(INDEX(المنتجات!$F$5:$F$24,MATCH($D424,المنتجات!$A$5:$A$24,0)),0))</f>
        <v/>
      </c>
      <c r="I424" s="30"/>
      <c r="J424" s="25" t="str">
        <f aca="false">IF($D424="","",N(G424)*H424-N(I424))</f>
        <v/>
      </c>
      <c r="K424" s="25" t="str">
        <f aca="false">IF($D424="","",N(G424)*IFERROR(INDEX(المنتجات!$H$5:$H$24,MATCH($D424,المنتجات!$A$5:$A$24,0)),0))</f>
        <v/>
      </c>
      <c r="L424" s="25" t="str">
        <f aca="false">IF($D424="","",J424-K424)</f>
        <v/>
      </c>
      <c r="M424" s="29"/>
      <c r="N424" s="29"/>
    </row>
    <row r="425" customFormat="false" ht="15" hidden="false" customHeight="false" outlineLevel="0" collapsed="false">
      <c r="A425" s="32"/>
      <c r="B425" s="29"/>
      <c r="C425" s="29"/>
      <c r="D425" s="29"/>
      <c r="E425" s="28" t="str">
        <f aca="false">IF($D425="","",IFERROR(INDEX(المنتجات!$C$5:$C$24,MATCH($D425,المنتجات!$A$5:$A$24,0)),"كود غير موجود"))</f>
        <v/>
      </c>
      <c r="F425" s="28" t="str">
        <f aca="false">IF($D425="","",IFERROR(INDEX(المنتجات!$B$5:$B$24,MATCH($D425,المنتجات!$A$5:$A$24,0)),""))</f>
        <v/>
      </c>
      <c r="G425" s="24"/>
      <c r="H425" s="25" t="str">
        <f aca="false">IF($D425="","",IFERROR(INDEX(المنتجات!$F$5:$F$24,MATCH($D425,المنتجات!$A$5:$A$24,0)),0))</f>
        <v/>
      </c>
      <c r="I425" s="30"/>
      <c r="J425" s="25" t="str">
        <f aca="false">IF($D425="","",N(G425)*H425-N(I425))</f>
        <v/>
      </c>
      <c r="K425" s="25" t="str">
        <f aca="false">IF($D425="","",N(G425)*IFERROR(INDEX(المنتجات!$H$5:$H$24,MATCH($D425,المنتجات!$A$5:$A$24,0)),0))</f>
        <v/>
      </c>
      <c r="L425" s="25" t="str">
        <f aca="false">IF($D425="","",J425-K425)</f>
        <v/>
      </c>
      <c r="M425" s="29"/>
      <c r="N425" s="29"/>
    </row>
    <row r="426" customFormat="false" ht="15" hidden="false" customHeight="false" outlineLevel="0" collapsed="false">
      <c r="A426" s="32"/>
      <c r="B426" s="29"/>
      <c r="C426" s="29"/>
      <c r="D426" s="29"/>
      <c r="E426" s="28" t="str">
        <f aca="false">IF($D426="","",IFERROR(INDEX(المنتجات!$C$5:$C$24,MATCH($D426,المنتجات!$A$5:$A$24,0)),"كود غير موجود"))</f>
        <v/>
      </c>
      <c r="F426" s="28" t="str">
        <f aca="false">IF($D426="","",IFERROR(INDEX(المنتجات!$B$5:$B$24,MATCH($D426,المنتجات!$A$5:$A$24,0)),""))</f>
        <v/>
      </c>
      <c r="G426" s="24"/>
      <c r="H426" s="25" t="str">
        <f aca="false">IF($D426="","",IFERROR(INDEX(المنتجات!$F$5:$F$24,MATCH($D426,المنتجات!$A$5:$A$24,0)),0))</f>
        <v/>
      </c>
      <c r="I426" s="30"/>
      <c r="J426" s="25" t="str">
        <f aca="false">IF($D426="","",N(G426)*H426-N(I426))</f>
        <v/>
      </c>
      <c r="K426" s="25" t="str">
        <f aca="false">IF($D426="","",N(G426)*IFERROR(INDEX(المنتجات!$H$5:$H$24,MATCH($D426,المنتجات!$A$5:$A$24,0)),0))</f>
        <v/>
      </c>
      <c r="L426" s="25" t="str">
        <f aca="false">IF($D426="","",J426-K426)</f>
        <v/>
      </c>
      <c r="M426" s="29"/>
      <c r="N426" s="29"/>
    </row>
    <row r="427" customFormat="false" ht="15" hidden="false" customHeight="false" outlineLevel="0" collapsed="false">
      <c r="A427" s="32"/>
      <c r="B427" s="29"/>
      <c r="C427" s="29"/>
      <c r="D427" s="29"/>
      <c r="E427" s="28" t="str">
        <f aca="false">IF($D427="","",IFERROR(INDEX(المنتجات!$C$5:$C$24,MATCH($D427,المنتجات!$A$5:$A$24,0)),"كود غير موجود"))</f>
        <v/>
      </c>
      <c r="F427" s="28" t="str">
        <f aca="false">IF($D427="","",IFERROR(INDEX(المنتجات!$B$5:$B$24,MATCH($D427,المنتجات!$A$5:$A$24,0)),""))</f>
        <v/>
      </c>
      <c r="G427" s="24"/>
      <c r="H427" s="25" t="str">
        <f aca="false">IF($D427="","",IFERROR(INDEX(المنتجات!$F$5:$F$24,MATCH($D427,المنتجات!$A$5:$A$24,0)),0))</f>
        <v/>
      </c>
      <c r="I427" s="30"/>
      <c r="J427" s="25" t="str">
        <f aca="false">IF($D427="","",N(G427)*H427-N(I427))</f>
        <v/>
      </c>
      <c r="K427" s="25" t="str">
        <f aca="false">IF($D427="","",N(G427)*IFERROR(INDEX(المنتجات!$H$5:$H$24,MATCH($D427,المنتجات!$A$5:$A$24,0)),0))</f>
        <v/>
      </c>
      <c r="L427" s="25" t="str">
        <f aca="false">IF($D427="","",J427-K427)</f>
        <v/>
      </c>
      <c r="M427" s="29"/>
      <c r="N427" s="29"/>
    </row>
    <row r="428" customFormat="false" ht="15" hidden="false" customHeight="false" outlineLevel="0" collapsed="false">
      <c r="A428" s="32"/>
      <c r="B428" s="29"/>
      <c r="C428" s="29"/>
      <c r="D428" s="29"/>
      <c r="E428" s="28" t="str">
        <f aca="false">IF($D428="","",IFERROR(INDEX(المنتجات!$C$5:$C$24,MATCH($D428,المنتجات!$A$5:$A$24,0)),"كود غير موجود"))</f>
        <v/>
      </c>
      <c r="F428" s="28" t="str">
        <f aca="false">IF($D428="","",IFERROR(INDEX(المنتجات!$B$5:$B$24,MATCH($D428,المنتجات!$A$5:$A$24,0)),""))</f>
        <v/>
      </c>
      <c r="G428" s="24"/>
      <c r="H428" s="25" t="str">
        <f aca="false">IF($D428="","",IFERROR(INDEX(المنتجات!$F$5:$F$24,MATCH($D428,المنتجات!$A$5:$A$24,0)),0))</f>
        <v/>
      </c>
      <c r="I428" s="30"/>
      <c r="J428" s="25" t="str">
        <f aca="false">IF($D428="","",N(G428)*H428-N(I428))</f>
        <v/>
      </c>
      <c r="K428" s="25" t="str">
        <f aca="false">IF($D428="","",N(G428)*IFERROR(INDEX(المنتجات!$H$5:$H$24,MATCH($D428,المنتجات!$A$5:$A$24,0)),0))</f>
        <v/>
      </c>
      <c r="L428" s="25" t="str">
        <f aca="false">IF($D428="","",J428-K428)</f>
        <v/>
      </c>
      <c r="M428" s="29"/>
      <c r="N428" s="29"/>
    </row>
    <row r="429" customFormat="false" ht="15" hidden="false" customHeight="false" outlineLevel="0" collapsed="false">
      <c r="A429" s="32"/>
      <c r="B429" s="29"/>
      <c r="C429" s="29"/>
      <c r="D429" s="29"/>
      <c r="E429" s="28" t="str">
        <f aca="false">IF($D429="","",IFERROR(INDEX(المنتجات!$C$5:$C$24,MATCH($D429,المنتجات!$A$5:$A$24,0)),"كود غير موجود"))</f>
        <v/>
      </c>
      <c r="F429" s="28" t="str">
        <f aca="false">IF($D429="","",IFERROR(INDEX(المنتجات!$B$5:$B$24,MATCH($D429,المنتجات!$A$5:$A$24,0)),""))</f>
        <v/>
      </c>
      <c r="G429" s="24"/>
      <c r="H429" s="25" t="str">
        <f aca="false">IF($D429="","",IFERROR(INDEX(المنتجات!$F$5:$F$24,MATCH($D429,المنتجات!$A$5:$A$24,0)),0))</f>
        <v/>
      </c>
      <c r="I429" s="30"/>
      <c r="J429" s="25" t="str">
        <f aca="false">IF($D429="","",N(G429)*H429-N(I429))</f>
        <v/>
      </c>
      <c r="K429" s="25" t="str">
        <f aca="false">IF($D429="","",N(G429)*IFERROR(INDEX(المنتجات!$H$5:$H$24,MATCH($D429,المنتجات!$A$5:$A$24,0)),0))</f>
        <v/>
      </c>
      <c r="L429" s="25" t="str">
        <f aca="false">IF($D429="","",J429-K429)</f>
        <v/>
      </c>
      <c r="M429" s="29"/>
      <c r="N429" s="29"/>
    </row>
    <row r="430" customFormat="false" ht="15" hidden="false" customHeight="false" outlineLevel="0" collapsed="false">
      <c r="A430" s="32"/>
      <c r="B430" s="29"/>
      <c r="C430" s="29"/>
      <c r="D430" s="29"/>
      <c r="E430" s="28" t="str">
        <f aca="false">IF($D430="","",IFERROR(INDEX(المنتجات!$C$5:$C$24,MATCH($D430,المنتجات!$A$5:$A$24,0)),"كود غير موجود"))</f>
        <v/>
      </c>
      <c r="F430" s="28" t="str">
        <f aca="false">IF($D430="","",IFERROR(INDEX(المنتجات!$B$5:$B$24,MATCH($D430,المنتجات!$A$5:$A$24,0)),""))</f>
        <v/>
      </c>
      <c r="G430" s="24"/>
      <c r="H430" s="25" t="str">
        <f aca="false">IF($D430="","",IFERROR(INDEX(المنتجات!$F$5:$F$24,MATCH($D430,المنتجات!$A$5:$A$24,0)),0))</f>
        <v/>
      </c>
      <c r="I430" s="30"/>
      <c r="J430" s="25" t="str">
        <f aca="false">IF($D430="","",N(G430)*H430-N(I430))</f>
        <v/>
      </c>
      <c r="K430" s="25" t="str">
        <f aca="false">IF($D430="","",N(G430)*IFERROR(INDEX(المنتجات!$H$5:$H$24,MATCH($D430,المنتجات!$A$5:$A$24,0)),0))</f>
        <v/>
      </c>
      <c r="L430" s="25" t="str">
        <f aca="false">IF($D430="","",J430-K430)</f>
        <v/>
      </c>
      <c r="M430" s="29"/>
      <c r="N430" s="29"/>
    </row>
    <row r="431" customFormat="false" ht="15" hidden="false" customHeight="false" outlineLevel="0" collapsed="false">
      <c r="A431" s="32"/>
      <c r="B431" s="29"/>
      <c r="C431" s="29"/>
      <c r="D431" s="29"/>
      <c r="E431" s="28" t="str">
        <f aca="false">IF($D431="","",IFERROR(INDEX(المنتجات!$C$5:$C$24,MATCH($D431,المنتجات!$A$5:$A$24,0)),"كود غير موجود"))</f>
        <v/>
      </c>
      <c r="F431" s="28" t="str">
        <f aca="false">IF($D431="","",IFERROR(INDEX(المنتجات!$B$5:$B$24,MATCH($D431,المنتجات!$A$5:$A$24,0)),""))</f>
        <v/>
      </c>
      <c r="G431" s="24"/>
      <c r="H431" s="25" t="str">
        <f aca="false">IF($D431="","",IFERROR(INDEX(المنتجات!$F$5:$F$24,MATCH($D431,المنتجات!$A$5:$A$24,0)),0))</f>
        <v/>
      </c>
      <c r="I431" s="30"/>
      <c r="J431" s="25" t="str">
        <f aca="false">IF($D431="","",N(G431)*H431-N(I431))</f>
        <v/>
      </c>
      <c r="K431" s="25" t="str">
        <f aca="false">IF($D431="","",N(G431)*IFERROR(INDEX(المنتجات!$H$5:$H$24,MATCH($D431,المنتجات!$A$5:$A$24,0)),0))</f>
        <v/>
      </c>
      <c r="L431" s="25" t="str">
        <f aca="false">IF($D431="","",J431-K431)</f>
        <v/>
      </c>
      <c r="M431" s="29"/>
      <c r="N431" s="29"/>
    </row>
    <row r="432" customFormat="false" ht="15" hidden="false" customHeight="false" outlineLevel="0" collapsed="false">
      <c r="A432" s="32"/>
      <c r="B432" s="29"/>
      <c r="C432" s="29"/>
      <c r="D432" s="29"/>
      <c r="E432" s="28" t="str">
        <f aca="false">IF($D432="","",IFERROR(INDEX(المنتجات!$C$5:$C$24,MATCH($D432,المنتجات!$A$5:$A$24,0)),"كود غير موجود"))</f>
        <v/>
      </c>
      <c r="F432" s="28" t="str">
        <f aca="false">IF($D432="","",IFERROR(INDEX(المنتجات!$B$5:$B$24,MATCH($D432,المنتجات!$A$5:$A$24,0)),""))</f>
        <v/>
      </c>
      <c r="G432" s="24"/>
      <c r="H432" s="25" t="str">
        <f aca="false">IF($D432="","",IFERROR(INDEX(المنتجات!$F$5:$F$24,MATCH($D432,المنتجات!$A$5:$A$24,0)),0))</f>
        <v/>
      </c>
      <c r="I432" s="30"/>
      <c r="J432" s="25" t="str">
        <f aca="false">IF($D432="","",N(G432)*H432-N(I432))</f>
        <v/>
      </c>
      <c r="K432" s="25" t="str">
        <f aca="false">IF($D432="","",N(G432)*IFERROR(INDEX(المنتجات!$H$5:$H$24,MATCH($D432,المنتجات!$A$5:$A$24,0)),0))</f>
        <v/>
      </c>
      <c r="L432" s="25" t="str">
        <f aca="false">IF($D432="","",J432-K432)</f>
        <v/>
      </c>
      <c r="M432" s="29"/>
      <c r="N432" s="29"/>
    </row>
    <row r="433" customFormat="false" ht="15" hidden="false" customHeight="false" outlineLevel="0" collapsed="false">
      <c r="A433" s="32"/>
      <c r="B433" s="29"/>
      <c r="C433" s="29"/>
      <c r="D433" s="29"/>
      <c r="E433" s="28" t="str">
        <f aca="false">IF($D433="","",IFERROR(INDEX(المنتجات!$C$5:$C$24,MATCH($D433,المنتجات!$A$5:$A$24,0)),"كود غير موجود"))</f>
        <v/>
      </c>
      <c r="F433" s="28" t="str">
        <f aca="false">IF($D433="","",IFERROR(INDEX(المنتجات!$B$5:$B$24,MATCH($D433,المنتجات!$A$5:$A$24,0)),""))</f>
        <v/>
      </c>
      <c r="G433" s="24"/>
      <c r="H433" s="25" t="str">
        <f aca="false">IF($D433="","",IFERROR(INDEX(المنتجات!$F$5:$F$24,MATCH($D433,المنتجات!$A$5:$A$24,0)),0))</f>
        <v/>
      </c>
      <c r="I433" s="30"/>
      <c r="J433" s="25" t="str">
        <f aca="false">IF($D433="","",N(G433)*H433-N(I433))</f>
        <v/>
      </c>
      <c r="K433" s="25" t="str">
        <f aca="false">IF($D433="","",N(G433)*IFERROR(INDEX(المنتجات!$H$5:$H$24,MATCH($D433,المنتجات!$A$5:$A$24,0)),0))</f>
        <v/>
      </c>
      <c r="L433" s="25" t="str">
        <f aca="false">IF($D433="","",J433-K433)</f>
        <v/>
      </c>
      <c r="M433" s="29"/>
      <c r="N433" s="29"/>
    </row>
    <row r="434" customFormat="false" ht="15" hidden="false" customHeight="false" outlineLevel="0" collapsed="false">
      <c r="A434" s="32"/>
      <c r="B434" s="29"/>
      <c r="C434" s="29"/>
      <c r="D434" s="29"/>
      <c r="E434" s="28" t="str">
        <f aca="false">IF($D434="","",IFERROR(INDEX(المنتجات!$C$5:$C$24,MATCH($D434,المنتجات!$A$5:$A$24,0)),"كود غير موجود"))</f>
        <v/>
      </c>
      <c r="F434" s="28" t="str">
        <f aca="false">IF($D434="","",IFERROR(INDEX(المنتجات!$B$5:$B$24,MATCH($D434,المنتجات!$A$5:$A$24,0)),""))</f>
        <v/>
      </c>
      <c r="G434" s="24"/>
      <c r="H434" s="25" t="str">
        <f aca="false">IF($D434="","",IFERROR(INDEX(المنتجات!$F$5:$F$24,MATCH($D434,المنتجات!$A$5:$A$24,0)),0))</f>
        <v/>
      </c>
      <c r="I434" s="30"/>
      <c r="J434" s="25" t="str">
        <f aca="false">IF($D434="","",N(G434)*H434-N(I434))</f>
        <v/>
      </c>
      <c r="K434" s="25" t="str">
        <f aca="false">IF($D434="","",N(G434)*IFERROR(INDEX(المنتجات!$H$5:$H$24,MATCH($D434,المنتجات!$A$5:$A$24,0)),0))</f>
        <v/>
      </c>
      <c r="L434" s="25" t="str">
        <f aca="false">IF($D434="","",J434-K434)</f>
        <v/>
      </c>
      <c r="M434" s="29"/>
      <c r="N434" s="29"/>
    </row>
    <row r="435" customFormat="false" ht="15" hidden="false" customHeight="false" outlineLevel="0" collapsed="false">
      <c r="A435" s="32"/>
      <c r="B435" s="29"/>
      <c r="C435" s="29"/>
      <c r="D435" s="29"/>
      <c r="E435" s="28" t="str">
        <f aca="false">IF($D435="","",IFERROR(INDEX(المنتجات!$C$5:$C$24,MATCH($D435,المنتجات!$A$5:$A$24,0)),"كود غير موجود"))</f>
        <v/>
      </c>
      <c r="F435" s="28" t="str">
        <f aca="false">IF($D435="","",IFERROR(INDEX(المنتجات!$B$5:$B$24,MATCH($D435,المنتجات!$A$5:$A$24,0)),""))</f>
        <v/>
      </c>
      <c r="G435" s="24"/>
      <c r="H435" s="25" t="str">
        <f aca="false">IF($D435="","",IFERROR(INDEX(المنتجات!$F$5:$F$24,MATCH($D435,المنتجات!$A$5:$A$24,0)),0))</f>
        <v/>
      </c>
      <c r="I435" s="30"/>
      <c r="J435" s="25" t="str">
        <f aca="false">IF($D435="","",N(G435)*H435-N(I435))</f>
        <v/>
      </c>
      <c r="K435" s="25" t="str">
        <f aca="false">IF($D435="","",N(G435)*IFERROR(INDEX(المنتجات!$H$5:$H$24,MATCH($D435,المنتجات!$A$5:$A$24,0)),0))</f>
        <v/>
      </c>
      <c r="L435" s="25" t="str">
        <f aca="false">IF($D435="","",J435-K435)</f>
        <v/>
      </c>
      <c r="M435" s="29"/>
      <c r="N435" s="29"/>
    </row>
    <row r="436" customFormat="false" ht="15" hidden="false" customHeight="false" outlineLevel="0" collapsed="false">
      <c r="A436" s="32"/>
      <c r="B436" s="29"/>
      <c r="C436" s="29"/>
      <c r="D436" s="29"/>
      <c r="E436" s="28" t="str">
        <f aca="false">IF($D436="","",IFERROR(INDEX(المنتجات!$C$5:$C$24,MATCH($D436,المنتجات!$A$5:$A$24,0)),"كود غير موجود"))</f>
        <v/>
      </c>
      <c r="F436" s="28" t="str">
        <f aca="false">IF($D436="","",IFERROR(INDEX(المنتجات!$B$5:$B$24,MATCH($D436,المنتجات!$A$5:$A$24,0)),""))</f>
        <v/>
      </c>
      <c r="G436" s="24"/>
      <c r="H436" s="25" t="str">
        <f aca="false">IF($D436="","",IFERROR(INDEX(المنتجات!$F$5:$F$24,MATCH($D436,المنتجات!$A$5:$A$24,0)),0))</f>
        <v/>
      </c>
      <c r="I436" s="30"/>
      <c r="J436" s="25" t="str">
        <f aca="false">IF($D436="","",N(G436)*H436-N(I436))</f>
        <v/>
      </c>
      <c r="K436" s="25" t="str">
        <f aca="false">IF($D436="","",N(G436)*IFERROR(INDEX(المنتجات!$H$5:$H$24,MATCH($D436,المنتجات!$A$5:$A$24,0)),0))</f>
        <v/>
      </c>
      <c r="L436" s="25" t="str">
        <f aca="false">IF($D436="","",J436-K436)</f>
        <v/>
      </c>
      <c r="M436" s="29"/>
      <c r="N436" s="29"/>
    </row>
    <row r="437" customFormat="false" ht="15" hidden="false" customHeight="false" outlineLevel="0" collapsed="false">
      <c r="A437" s="32"/>
      <c r="B437" s="29"/>
      <c r="C437" s="29"/>
      <c r="D437" s="29"/>
      <c r="E437" s="28" t="str">
        <f aca="false">IF($D437="","",IFERROR(INDEX(المنتجات!$C$5:$C$24,MATCH($D437,المنتجات!$A$5:$A$24,0)),"كود غير موجود"))</f>
        <v/>
      </c>
      <c r="F437" s="28" t="str">
        <f aca="false">IF($D437="","",IFERROR(INDEX(المنتجات!$B$5:$B$24,MATCH($D437,المنتجات!$A$5:$A$24,0)),""))</f>
        <v/>
      </c>
      <c r="G437" s="24"/>
      <c r="H437" s="25" t="str">
        <f aca="false">IF($D437="","",IFERROR(INDEX(المنتجات!$F$5:$F$24,MATCH($D437,المنتجات!$A$5:$A$24,0)),0))</f>
        <v/>
      </c>
      <c r="I437" s="30"/>
      <c r="J437" s="25" t="str">
        <f aca="false">IF($D437="","",N(G437)*H437-N(I437))</f>
        <v/>
      </c>
      <c r="K437" s="25" t="str">
        <f aca="false">IF($D437="","",N(G437)*IFERROR(INDEX(المنتجات!$H$5:$H$24,MATCH($D437,المنتجات!$A$5:$A$24,0)),0))</f>
        <v/>
      </c>
      <c r="L437" s="25" t="str">
        <f aca="false">IF($D437="","",J437-K437)</f>
        <v/>
      </c>
      <c r="M437" s="29"/>
      <c r="N437" s="29"/>
    </row>
    <row r="438" customFormat="false" ht="15" hidden="false" customHeight="false" outlineLevel="0" collapsed="false">
      <c r="A438" s="32"/>
      <c r="B438" s="29"/>
      <c r="C438" s="29"/>
      <c r="D438" s="29"/>
      <c r="E438" s="28" t="str">
        <f aca="false">IF($D438="","",IFERROR(INDEX(المنتجات!$C$5:$C$24,MATCH($D438,المنتجات!$A$5:$A$24,0)),"كود غير موجود"))</f>
        <v/>
      </c>
      <c r="F438" s="28" t="str">
        <f aca="false">IF($D438="","",IFERROR(INDEX(المنتجات!$B$5:$B$24,MATCH($D438,المنتجات!$A$5:$A$24,0)),""))</f>
        <v/>
      </c>
      <c r="G438" s="24"/>
      <c r="H438" s="25" t="str">
        <f aca="false">IF($D438="","",IFERROR(INDEX(المنتجات!$F$5:$F$24,MATCH($D438,المنتجات!$A$5:$A$24,0)),0))</f>
        <v/>
      </c>
      <c r="I438" s="30"/>
      <c r="J438" s="25" t="str">
        <f aca="false">IF($D438="","",N(G438)*H438-N(I438))</f>
        <v/>
      </c>
      <c r="K438" s="25" t="str">
        <f aca="false">IF($D438="","",N(G438)*IFERROR(INDEX(المنتجات!$H$5:$H$24,MATCH($D438,المنتجات!$A$5:$A$24,0)),0))</f>
        <v/>
      </c>
      <c r="L438" s="25" t="str">
        <f aca="false">IF($D438="","",J438-K438)</f>
        <v/>
      </c>
      <c r="M438" s="29"/>
      <c r="N438" s="29"/>
    </row>
    <row r="439" customFormat="false" ht="15" hidden="false" customHeight="false" outlineLevel="0" collapsed="false">
      <c r="A439" s="32"/>
      <c r="B439" s="29"/>
      <c r="C439" s="29"/>
      <c r="D439" s="29"/>
      <c r="E439" s="28" t="str">
        <f aca="false">IF($D439="","",IFERROR(INDEX(المنتجات!$C$5:$C$24,MATCH($D439,المنتجات!$A$5:$A$24,0)),"كود غير موجود"))</f>
        <v/>
      </c>
      <c r="F439" s="28" t="str">
        <f aca="false">IF($D439="","",IFERROR(INDEX(المنتجات!$B$5:$B$24,MATCH($D439,المنتجات!$A$5:$A$24,0)),""))</f>
        <v/>
      </c>
      <c r="G439" s="24"/>
      <c r="H439" s="25" t="str">
        <f aca="false">IF($D439="","",IFERROR(INDEX(المنتجات!$F$5:$F$24,MATCH($D439,المنتجات!$A$5:$A$24,0)),0))</f>
        <v/>
      </c>
      <c r="I439" s="30"/>
      <c r="J439" s="25" t="str">
        <f aca="false">IF($D439="","",N(G439)*H439-N(I439))</f>
        <v/>
      </c>
      <c r="K439" s="25" t="str">
        <f aca="false">IF($D439="","",N(G439)*IFERROR(INDEX(المنتجات!$H$5:$H$24,MATCH($D439,المنتجات!$A$5:$A$24,0)),0))</f>
        <v/>
      </c>
      <c r="L439" s="25" t="str">
        <f aca="false">IF($D439="","",J439-K439)</f>
        <v/>
      </c>
      <c r="M439" s="29"/>
      <c r="N439" s="29"/>
    </row>
    <row r="440" customFormat="false" ht="15" hidden="false" customHeight="false" outlineLevel="0" collapsed="false">
      <c r="A440" s="32"/>
      <c r="B440" s="29"/>
      <c r="C440" s="29"/>
      <c r="D440" s="29"/>
      <c r="E440" s="28" t="str">
        <f aca="false">IF($D440="","",IFERROR(INDEX(المنتجات!$C$5:$C$24,MATCH($D440,المنتجات!$A$5:$A$24,0)),"كود غير موجود"))</f>
        <v/>
      </c>
      <c r="F440" s="28" t="str">
        <f aca="false">IF($D440="","",IFERROR(INDEX(المنتجات!$B$5:$B$24,MATCH($D440,المنتجات!$A$5:$A$24,0)),""))</f>
        <v/>
      </c>
      <c r="G440" s="24"/>
      <c r="H440" s="25" t="str">
        <f aca="false">IF($D440="","",IFERROR(INDEX(المنتجات!$F$5:$F$24,MATCH($D440,المنتجات!$A$5:$A$24,0)),0))</f>
        <v/>
      </c>
      <c r="I440" s="30"/>
      <c r="J440" s="25" t="str">
        <f aca="false">IF($D440="","",N(G440)*H440-N(I440))</f>
        <v/>
      </c>
      <c r="K440" s="25" t="str">
        <f aca="false">IF($D440="","",N(G440)*IFERROR(INDEX(المنتجات!$H$5:$H$24,MATCH($D440,المنتجات!$A$5:$A$24,0)),0))</f>
        <v/>
      </c>
      <c r="L440" s="25" t="str">
        <f aca="false">IF($D440="","",J440-K440)</f>
        <v/>
      </c>
      <c r="M440" s="29"/>
      <c r="N440" s="29"/>
    </row>
    <row r="441" customFormat="false" ht="15" hidden="false" customHeight="false" outlineLevel="0" collapsed="false">
      <c r="A441" s="32"/>
      <c r="B441" s="29"/>
      <c r="C441" s="29"/>
      <c r="D441" s="29"/>
      <c r="E441" s="28" t="str">
        <f aca="false">IF($D441="","",IFERROR(INDEX(المنتجات!$C$5:$C$24,MATCH($D441,المنتجات!$A$5:$A$24,0)),"كود غير موجود"))</f>
        <v/>
      </c>
      <c r="F441" s="28" t="str">
        <f aca="false">IF($D441="","",IFERROR(INDEX(المنتجات!$B$5:$B$24,MATCH($D441,المنتجات!$A$5:$A$24,0)),""))</f>
        <v/>
      </c>
      <c r="G441" s="24"/>
      <c r="H441" s="25" t="str">
        <f aca="false">IF($D441="","",IFERROR(INDEX(المنتجات!$F$5:$F$24,MATCH($D441,المنتجات!$A$5:$A$24,0)),0))</f>
        <v/>
      </c>
      <c r="I441" s="30"/>
      <c r="J441" s="25" t="str">
        <f aca="false">IF($D441="","",N(G441)*H441-N(I441))</f>
        <v/>
      </c>
      <c r="K441" s="25" t="str">
        <f aca="false">IF($D441="","",N(G441)*IFERROR(INDEX(المنتجات!$H$5:$H$24,MATCH($D441,المنتجات!$A$5:$A$24,0)),0))</f>
        <v/>
      </c>
      <c r="L441" s="25" t="str">
        <f aca="false">IF($D441="","",J441-K441)</f>
        <v/>
      </c>
      <c r="M441" s="29"/>
      <c r="N441" s="29"/>
    </row>
    <row r="442" customFormat="false" ht="15" hidden="false" customHeight="false" outlineLevel="0" collapsed="false">
      <c r="A442" s="32"/>
      <c r="B442" s="29"/>
      <c r="C442" s="29"/>
      <c r="D442" s="29"/>
      <c r="E442" s="28" t="str">
        <f aca="false">IF($D442="","",IFERROR(INDEX(المنتجات!$C$5:$C$24,MATCH($D442,المنتجات!$A$5:$A$24,0)),"كود غير موجود"))</f>
        <v/>
      </c>
      <c r="F442" s="28" t="str">
        <f aca="false">IF($D442="","",IFERROR(INDEX(المنتجات!$B$5:$B$24,MATCH($D442,المنتجات!$A$5:$A$24,0)),""))</f>
        <v/>
      </c>
      <c r="G442" s="24"/>
      <c r="H442" s="25" t="str">
        <f aca="false">IF($D442="","",IFERROR(INDEX(المنتجات!$F$5:$F$24,MATCH($D442,المنتجات!$A$5:$A$24,0)),0))</f>
        <v/>
      </c>
      <c r="I442" s="30"/>
      <c r="J442" s="25" t="str">
        <f aca="false">IF($D442="","",N(G442)*H442-N(I442))</f>
        <v/>
      </c>
      <c r="K442" s="25" t="str">
        <f aca="false">IF($D442="","",N(G442)*IFERROR(INDEX(المنتجات!$H$5:$H$24,MATCH($D442,المنتجات!$A$5:$A$24,0)),0))</f>
        <v/>
      </c>
      <c r="L442" s="25" t="str">
        <f aca="false">IF($D442="","",J442-K442)</f>
        <v/>
      </c>
      <c r="M442" s="29"/>
      <c r="N442" s="29"/>
    </row>
    <row r="443" customFormat="false" ht="15" hidden="false" customHeight="false" outlineLevel="0" collapsed="false">
      <c r="A443" s="32"/>
      <c r="B443" s="29"/>
      <c r="C443" s="29"/>
      <c r="D443" s="29"/>
      <c r="E443" s="28" t="str">
        <f aca="false">IF($D443="","",IFERROR(INDEX(المنتجات!$C$5:$C$24,MATCH($D443,المنتجات!$A$5:$A$24,0)),"كود غير موجود"))</f>
        <v/>
      </c>
      <c r="F443" s="28" t="str">
        <f aca="false">IF($D443="","",IFERROR(INDEX(المنتجات!$B$5:$B$24,MATCH($D443,المنتجات!$A$5:$A$24,0)),""))</f>
        <v/>
      </c>
      <c r="G443" s="24"/>
      <c r="H443" s="25" t="str">
        <f aca="false">IF($D443="","",IFERROR(INDEX(المنتجات!$F$5:$F$24,MATCH($D443,المنتجات!$A$5:$A$24,0)),0))</f>
        <v/>
      </c>
      <c r="I443" s="30"/>
      <c r="J443" s="25" t="str">
        <f aca="false">IF($D443="","",N(G443)*H443-N(I443))</f>
        <v/>
      </c>
      <c r="K443" s="25" t="str">
        <f aca="false">IF($D443="","",N(G443)*IFERROR(INDEX(المنتجات!$H$5:$H$24,MATCH($D443,المنتجات!$A$5:$A$24,0)),0))</f>
        <v/>
      </c>
      <c r="L443" s="25" t="str">
        <f aca="false">IF($D443="","",J443-K443)</f>
        <v/>
      </c>
      <c r="M443" s="29"/>
      <c r="N443" s="29"/>
    </row>
    <row r="444" customFormat="false" ht="15" hidden="false" customHeight="false" outlineLevel="0" collapsed="false">
      <c r="A444" s="32"/>
      <c r="B444" s="29"/>
      <c r="C444" s="29"/>
      <c r="D444" s="29"/>
      <c r="E444" s="28" t="str">
        <f aca="false">IF($D444="","",IFERROR(INDEX(المنتجات!$C$5:$C$24,MATCH($D444,المنتجات!$A$5:$A$24,0)),"كود غير موجود"))</f>
        <v/>
      </c>
      <c r="F444" s="28" t="str">
        <f aca="false">IF($D444="","",IFERROR(INDEX(المنتجات!$B$5:$B$24,MATCH($D444,المنتجات!$A$5:$A$24,0)),""))</f>
        <v/>
      </c>
      <c r="G444" s="24"/>
      <c r="H444" s="25" t="str">
        <f aca="false">IF($D444="","",IFERROR(INDEX(المنتجات!$F$5:$F$24,MATCH($D444,المنتجات!$A$5:$A$24,0)),0))</f>
        <v/>
      </c>
      <c r="I444" s="30"/>
      <c r="J444" s="25" t="str">
        <f aca="false">IF($D444="","",N(G444)*H444-N(I444))</f>
        <v/>
      </c>
      <c r="K444" s="25" t="str">
        <f aca="false">IF($D444="","",N(G444)*IFERROR(INDEX(المنتجات!$H$5:$H$24,MATCH($D444,المنتجات!$A$5:$A$24,0)),0))</f>
        <v/>
      </c>
      <c r="L444" s="25" t="str">
        <f aca="false">IF($D444="","",J444-K444)</f>
        <v/>
      </c>
      <c r="M444" s="29"/>
      <c r="N444" s="29"/>
    </row>
    <row r="445" customFormat="false" ht="15" hidden="false" customHeight="false" outlineLevel="0" collapsed="false">
      <c r="A445" s="32"/>
      <c r="B445" s="29"/>
      <c r="C445" s="29"/>
      <c r="D445" s="29"/>
      <c r="E445" s="28" t="str">
        <f aca="false">IF($D445="","",IFERROR(INDEX(المنتجات!$C$5:$C$24,MATCH($D445,المنتجات!$A$5:$A$24,0)),"كود غير موجود"))</f>
        <v/>
      </c>
      <c r="F445" s="28" t="str">
        <f aca="false">IF($D445="","",IFERROR(INDEX(المنتجات!$B$5:$B$24,MATCH($D445,المنتجات!$A$5:$A$24,0)),""))</f>
        <v/>
      </c>
      <c r="G445" s="24"/>
      <c r="H445" s="25" t="str">
        <f aca="false">IF($D445="","",IFERROR(INDEX(المنتجات!$F$5:$F$24,MATCH($D445,المنتجات!$A$5:$A$24,0)),0))</f>
        <v/>
      </c>
      <c r="I445" s="30"/>
      <c r="J445" s="25" t="str">
        <f aca="false">IF($D445="","",N(G445)*H445-N(I445))</f>
        <v/>
      </c>
      <c r="K445" s="25" t="str">
        <f aca="false">IF($D445="","",N(G445)*IFERROR(INDEX(المنتجات!$H$5:$H$24,MATCH($D445,المنتجات!$A$5:$A$24,0)),0))</f>
        <v/>
      </c>
      <c r="L445" s="25" t="str">
        <f aca="false">IF($D445="","",J445-K445)</f>
        <v/>
      </c>
      <c r="M445" s="29"/>
      <c r="N445" s="29"/>
    </row>
    <row r="446" customFormat="false" ht="15" hidden="false" customHeight="false" outlineLevel="0" collapsed="false">
      <c r="A446" s="32"/>
      <c r="B446" s="29"/>
      <c r="C446" s="29"/>
      <c r="D446" s="29"/>
      <c r="E446" s="28" t="str">
        <f aca="false">IF($D446="","",IFERROR(INDEX(المنتجات!$C$5:$C$24,MATCH($D446,المنتجات!$A$5:$A$24,0)),"كود غير موجود"))</f>
        <v/>
      </c>
      <c r="F446" s="28" t="str">
        <f aca="false">IF($D446="","",IFERROR(INDEX(المنتجات!$B$5:$B$24,MATCH($D446,المنتجات!$A$5:$A$24,0)),""))</f>
        <v/>
      </c>
      <c r="G446" s="24"/>
      <c r="H446" s="25" t="str">
        <f aca="false">IF($D446="","",IFERROR(INDEX(المنتجات!$F$5:$F$24,MATCH($D446,المنتجات!$A$5:$A$24,0)),0))</f>
        <v/>
      </c>
      <c r="I446" s="30"/>
      <c r="J446" s="25" t="str">
        <f aca="false">IF($D446="","",N(G446)*H446-N(I446))</f>
        <v/>
      </c>
      <c r="K446" s="25" t="str">
        <f aca="false">IF($D446="","",N(G446)*IFERROR(INDEX(المنتجات!$H$5:$H$24,MATCH($D446,المنتجات!$A$5:$A$24,0)),0))</f>
        <v/>
      </c>
      <c r="L446" s="25" t="str">
        <f aca="false">IF($D446="","",J446-K446)</f>
        <v/>
      </c>
      <c r="M446" s="29"/>
      <c r="N446" s="29"/>
    </row>
    <row r="447" customFormat="false" ht="15" hidden="false" customHeight="false" outlineLevel="0" collapsed="false">
      <c r="A447" s="32"/>
      <c r="B447" s="29"/>
      <c r="C447" s="29"/>
      <c r="D447" s="29"/>
      <c r="E447" s="28" t="str">
        <f aca="false">IF($D447="","",IFERROR(INDEX(المنتجات!$C$5:$C$24,MATCH($D447,المنتجات!$A$5:$A$24,0)),"كود غير موجود"))</f>
        <v/>
      </c>
      <c r="F447" s="28" t="str">
        <f aca="false">IF($D447="","",IFERROR(INDEX(المنتجات!$B$5:$B$24,MATCH($D447,المنتجات!$A$5:$A$24,0)),""))</f>
        <v/>
      </c>
      <c r="G447" s="24"/>
      <c r="H447" s="25" t="str">
        <f aca="false">IF($D447="","",IFERROR(INDEX(المنتجات!$F$5:$F$24,MATCH($D447,المنتجات!$A$5:$A$24,0)),0))</f>
        <v/>
      </c>
      <c r="I447" s="30"/>
      <c r="J447" s="25" t="str">
        <f aca="false">IF($D447="","",N(G447)*H447-N(I447))</f>
        <v/>
      </c>
      <c r="K447" s="25" t="str">
        <f aca="false">IF($D447="","",N(G447)*IFERROR(INDEX(المنتجات!$H$5:$H$24,MATCH($D447,المنتجات!$A$5:$A$24,0)),0))</f>
        <v/>
      </c>
      <c r="L447" s="25" t="str">
        <f aca="false">IF($D447="","",J447-K447)</f>
        <v/>
      </c>
      <c r="M447" s="29"/>
      <c r="N447" s="29"/>
    </row>
    <row r="448" customFormat="false" ht="15" hidden="false" customHeight="false" outlineLevel="0" collapsed="false">
      <c r="A448" s="32"/>
      <c r="B448" s="29"/>
      <c r="C448" s="29"/>
      <c r="D448" s="29"/>
      <c r="E448" s="28" t="str">
        <f aca="false">IF($D448="","",IFERROR(INDEX(المنتجات!$C$5:$C$24,MATCH($D448,المنتجات!$A$5:$A$24,0)),"كود غير موجود"))</f>
        <v/>
      </c>
      <c r="F448" s="28" t="str">
        <f aca="false">IF($D448="","",IFERROR(INDEX(المنتجات!$B$5:$B$24,MATCH($D448,المنتجات!$A$5:$A$24,0)),""))</f>
        <v/>
      </c>
      <c r="G448" s="24"/>
      <c r="H448" s="25" t="str">
        <f aca="false">IF($D448="","",IFERROR(INDEX(المنتجات!$F$5:$F$24,MATCH($D448,المنتجات!$A$5:$A$24,0)),0))</f>
        <v/>
      </c>
      <c r="I448" s="30"/>
      <c r="J448" s="25" t="str">
        <f aca="false">IF($D448="","",N(G448)*H448-N(I448))</f>
        <v/>
      </c>
      <c r="K448" s="25" t="str">
        <f aca="false">IF($D448="","",N(G448)*IFERROR(INDEX(المنتجات!$H$5:$H$24,MATCH($D448,المنتجات!$A$5:$A$24,0)),0))</f>
        <v/>
      </c>
      <c r="L448" s="25" t="str">
        <f aca="false">IF($D448="","",J448-K448)</f>
        <v/>
      </c>
      <c r="M448" s="29"/>
      <c r="N448" s="29"/>
    </row>
    <row r="449" customFormat="false" ht="15" hidden="false" customHeight="false" outlineLevel="0" collapsed="false">
      <c r="A449" s="32"/>
      <c r="B449" s="29"/>
      <c r="C449" s="29"/>
      <c r="D449" s="29"/>
      <c r="E449" s="28" t="str">
        <f aca="false">IF($D449="","",IFERROR(INDEX(المنتجات!$C$5:$C$24,MATCH($D449,المنتجات!$A$5:$A$24,0)),"كود غير موجود"))</f>
        <v/>
      </c>
      <c r="F449" s="28" t="str">
        <f aca="false">IF($D449="","",IFERROR(INDEX(المنتجات!$B$5:$B$24,MATCH($D449,المنتجات!$A$5:$A$24,0)),""))</f>
        <v/>
      </c>
      <c r="G449" s="24"/>
      <c r="H449" s="25" t="str">
        <f aca="false">IF($D449="","",IFERROR(INDEX(المنتجات!$F$5:$F$24,MATCH($D449,المنتجات!$A$5:$A$24,0)),0))</f>
        <v/>
      </c>
      <c r="I449" s="30"/>
      <c r="J449" s="25" t="str">
        <f aca="false">IF($D449="","",N(G449)*H449-N(I449))</f>
        <v/>
      </c>
      <c r="K449" s="25" t="str">
        <f aca="false">IF($D449="","",N(G449)*IFERROR(INDEX(المنتجات!$H$5:$H$24,MATCH($D449,المنتجات!$A$5:$A$24,0)),0))</f>
        <v/>
      </c>
      <c r="L449" s="25" t="str">
        <f aca="false">IF($D449="","",J449-K449)</f>
        <v/>
      </c>
      <c r="M449" s="29"/>
      <c r="N449" s="29"/>
    </row>
    <row r="450" customFormat="false" ht="15" hidden="false" customHeight="false" outlineLevel="0" collapsed="false">
      <c r="A450" s="32"/>
      <c r="B450" s="29"/>
      <c r="C450" s="29"/>
      <c r="D450" s="29"/>
      <c r="E450" s="28" t="str">
        <f aca="false">IF($D450="","",IFERROR(INDEX(المنتجات!$C$5:$C$24,MATCH($D450,المنتجات!$A$5:$A$24,0)),"كود غير موجود"))</f>
        <v/>
      </c>
      <c r="F450" s="28" t="str">
        <f aca="false">IF($D450="","",IFERROR(INDEX(المنتجات!$B$5:$B$24,MATCH($D450,المنتجات!$A$5:$A$24,0)),""))</f>
        <v/>
      </c>
      <c r="G450" s="24"/>
      <c r="H450" s="25" t="str">
        <f aca="false">IF($D450="","",IFERROR(INDEX(المنتجات!$F$5:$F$24,MATCH($D450,المنتجات!$A$5:$A$24,0)),0))</f>
        <v/>
      </c>
      <c r="I450" s="30"/>
      <c r="J450" s="25" t="str">
        <f aca="false">IF($D450="","",N(G450)*H450-N(I450))</f>
        <v/>
      </c>
      <c r="K450" s="25" t="str">
        <f aca="false">IF($D450="","",N(G450)*IFERROR(INDEX(المنتجات!$H$5:$H$24,MATCH($D450,المنتجات!$A$5:$A$24,0)),0))</f>
        <v/>
      </c>
      <c r="L450" s="25" t="str">
        <f aca="false">IF($D450="","",J450-K450)</f>
        <v/>
      </c>
      <c r="M450" s="29"/>
      <c r="N450" s="29"/>
    </row>
    <row r="451" customFormat="false" ht="15" hidden="false" customHeight="false" outlineLevel="0" collapsed="false">
      <c r="A451" s="32"/>
      <c r="B451" s="29"/>
      <c r="C451" s="29"/>
      <c r="D451" s="29"/>
      <c r="E451" s="28" t="str">
        <f aca="false">IF($D451="","",IFERROR(INDEX(المنتجات!$C$5:$C$24,MATCH($D451,المنتجات!$A$5:$A$24,0)),"كود غير موجود"))</f>
        <v/>
      </c>
      <c r="F451" s="28" t="str">
        <f aca="false">IF($D451="","",IFERROR(INDEX(المنتجات!$B$5:$B$24,MATCH($D451,المنتجات!$A$5:$A$24,0)),""))</f>
        <v/>
      </c>
      <c r="G451" s="24"/>
      <c r="H451" s="25" t="str">
        <f aca="false">IF($D451="","",IFERROR(INDEX(المنتجات!$F$5:$F$24,MATCH($D451,المنتجات!$A$5:$A$24,0)),0))</f>
        <v/>
      </c>
      <c r="I451" s="30"/>
      <c r="J451" s="25" t="str">
        <f aca="false">IF($D451="","",N(G451)*H451-N(I451))</f>
        <v/>
      </c>
      <c r="K451" s="25" t="str">
        <f aca="false">IF($D451="","",N(G451)*IFERROR(INDEX(المنتجات!$H$5:$H$24,MATCH($D451,المنتجات!$A$5:$A$24,0)),0))</f>
        <v/>
      </c>
      <c r="L451" s="25" t="str">
        <f aca="false">IF($D451="","",J451-K451)</f>
        <v/>
      </c>
      <c r="M451" s="29"/>
      <c r="N451" s="29"/>
    </row>
    <row r="452" customFormat="false" ht="15" hidden="false" customHeight="false" outlineLevel="0" collapsed="false">
      <c r="A452" s="32"/>
      <c r="B452" s="29"/>
      <c r="C452" s="29"/>
      <c r="D452" s="29"/>
      <c r="E452" s="28" t="str">
        <f aca="false">IF($D452="","",IFERROR(INDEX(المنتجات!$C$5:$C$24,MATCH($D452,المنتجات!$A$5:$A$24,0)),"كود غير موجود"))</f>
        <v/>
      </c>
      <c r="F452" s="28" t="str">
        <f aca="false">IF($D452="","",IFERROR(INDEX(المنتجات!$B$5:$B$24,MATCH($D452,المنتجات!$A$5:$A$24,0)),""))</f>
        <v/>
      </c>
      <c r="G452" s="24"/>
      <c r="H452" s="25" t="str">
        <f aca="false">IF($D452="","",IFERROR(INDEX(المنتجات!$F$5:$F$24,MATCH($D452,المنتجات!$A$5:$A$24,0)),0))</f>
        <v/>
      </c>
      <c r="I452" s="30"/>
      <c r="J452" s="25" t="str">
        <f aca="false">IF($D452="","",N(G452)*H452-N(I452))</f>
        <v/>
      </c>
      <c r="K452" s="25" t="str">
        <f aca="false">IF($D452="","",N(G452)*IFERROR(INDEX(المنتجات!$H$5:$H$24,MATCH($D452,المنتجات!$A$5:$A$24,0)),0))</f>
        <v/>
      </c>
      <c r="L452" s="25" t="str">
        <f aca="false">IF($D452="","",J452-K452)</f>
        <v/>
      </c>
      <c r="M452" s="29"/>
      <c r="N452" s="29"/>
    </row>
    <row r="453" customFormat="false" ht="15" hidden="false" customHeight="false" outlineLevel="0" collapsed="false">
      <c r="A453" s="32"/>
      <c r="B453" s="29"/>
      <c r="C453" s="29"/>
      <c r="D453" s="29"/>
      <c r="E453" s="28" t="str">
        <f aca="false">IF($D453="","",IFERROR(INDEX(المنتجات!$C$5:$C$24,MATCH($D453,المنتجات!$A$5:$A$24,0)),"كود غير موجود"))</f>
        <v/>
      </c>
      <c r="F453" s="28" t="str">
        <f aca="false">IF($D453="","",IFERROR(INDEX(المنتجات!$B$5:$B$24,MATCH($D453,المنتجات!$A$5:$A$24,0)),""))</f>
        <v/>
      </c>
      <c r="G453" s="24"/>
      <c r="H453" s="25" t="str">
        <f aca="false">IF($D453="","",IFERROR(INDEX(المنتجات!$F$5:$F$24,MATCH($D453,المنتجات!$A$5:$A$24,0)),0))</f>
        <v/>
      </c>
      <c r="I453" s="30"/>
      <c r="J453" s="25" t="str">
        <f aca="false">IF($D453="","",N(G453)*H453-N(I453))</f>
        <v/>
      </c>
      <c r="K453" s="25" t="str">
        <f aca="false">IF($D453="","",N(G453)*IFERROR(INDEX(المنتجات!$H$5:$H$24,MATCH($D453,المنتجات!$A$5:$A$24,0)),0))</f>
        <v/>
      </c>
      <c r="L453" s="25" t="str">
        <f aca="false">IF($D453="","",J453-K453)</f>
        <v/>
      </c>
      <c r="M453" s="29"/>
      <c r="N453" s="29"/>
    </row>
    <row r="454" customFormat="false" ht="15" hidden="false" customHeight="false" outlineLevel="0" collapsed="false">
      <c r="A454" s="32"/>
      <c r="B454" s="29"/>
      <c r="C454" s="29"/>
      <c r="D454" s="29"/>
      <c r="E454" s="28" t="str">
        <f aca="false">IF($D454="","",IFERROR(INDEX(المنتجات!$C$5:$C$24,MATCH($D454,المنتجات!$A$5:$A$24,0)),"كود غير موجود"))</f>
        <v/>
      </c>
      <c r="F454" s="28" t="str">
        <f aca="false">IF($D454="","",IFERROR(INDEX(المنتجات!$B$5:$B$24,MATCH($D454,المنتجات!$A$5:$A$24,0)),""))</f>
        <v/>
      </c>
      <c r="G454" s="24"/>
      <c r="H454" s="25" t="str">
        <f aca="false">IF($D454="","",IFERROR(INDEX(المنتجات!$F$5:$F$24,MATCH($D454,المنتجات!$A$5:$A$24,0)),0))</f>
        <v/>
      </c>
      <c r="I454" s="30"/>
      <c r="J454" s="25" t="str">
        <f aca="false">IF($D454="","",N(G454)*H454-N(I454))</f>
        <v/>
      </c>
      <c r="K454" s="25" t="str">
        <f aca="false">IF($D454="","",N(G454)*IFERROR(INDEX(المنتجات!$H$5:$H$24,MATCH($D454,المنتجات!$A$5:$A$24,0)),0))</f>
        <v/>
      </c>
      <c r="L454" s="25" t="str">
        <f aca="false">IF($D454="","",J454-K454)</f>
        <v/>
      </c>
      <c r="M454" s="29"/>
      <c r="N454" s="29"/>
    </row>
    <row r="455" customFormat="false" ht="15" hidden="false" customHeight="false" outlineLevel="0" collapsed="false">
      <c r="A455" s="32"/>
      <c r="B455" s="29"/>
      <c r="C455" s="29"/>
      <c r="D455" s="29"/>
      <c r="E455" s="28" t="str">
        <f aca="false">IF($D455="","",IFERROR(INDEX(المنتجات!$C$5:$C$24,MATCH($D455,المنتجات!$A$5:$A$24,0)),"كود غير موجود"))</f>
        <v/>
      </c>
      <c r="F455" s="28" t="str">
        <f aca="false">IF($D455="","",IFERROR(INDEX(المنتجات!$B$5:$B$24,MATCH($D455,المنتجات!$A$5:$A$24,0)),""))</f>
        <v/>
      </c>
      <c r="G455" s="24"/>
      <c r="H455" s="25" t="str">
        <f aca="false">IF($D455="","",IFERROR(INDEX(المنتجات!$F$5:$F$24,MATCH($D455,المنتجات!$A$5:$A$24,0)),0))</f>
        <v/>
      </c>
      <c r="I455" s="30"/>
      <c r="J455" s="25" t="str">
        <f aca="false">IF($D455="","",N(G455)*H455-N(I455))</f>
        <v/>
      </c>
      <c r="K455" s="25" t="str">
        <f aca="false">IF($D455="","",N(G455)*IFERROR(INDEX(المنتجات!$H$5:$H$24,MATCH($D455,المنتجات!$A$5:$A$24,0)),0))</f>
        <v/>
      </c>
      <c r="L455" s="25" t="str">
        <f aca="false">IF($D455="","",J455-K455)</f>
        <v/>
      </c>
      <c r="M455" s="29"/>
      <c r="N455" s="29"/>
    </row>
    <row r="456" customFormat="false" ht="15" hidden="false" customHeight="false" outlineLevel="0" collapsed="false">
      <c r="A456" s="32"/>
      <c r="B456" s="29"/>
      <c r="C456" s="29"/>
      <c r="D456" s="29"/>
      <c r="E456" s="28" t="str">
        <f aca="false">IF($D456="","",IFERROR(INDEX(المنتجات!$C$5:$C$24,MATCH($D456,المنتجات!$A$5:$A$24,0)),"كود غير موجود"))</f>
        <v/>
      </c>
      <c r="F456" s="28" t="str">
        <f aca="false">IF($D456="","",IFERROR(INDEX(المنتجات!$B$5:$B$24,MATCH($D456,المنتجات!$A$5:$A$24,0)),""))</f>
        <v/>
      </c>
      <c r="G456" s="24"/>
      <c r="H456" s="25" t="str">
        <f aca="false">IF($D456="","",IFERROR(INDEX(المنتجات!$F$5:$F$24,MATCH($D456,المنتجات!$A$5:$A$24,0)),0))</f>
        <v/>
      </c>
      <c r="I456" s="30"/>
      <c r="J456" s="25" t="str">
        <f aca="false">IF($D456="","",N(G456)*H456-N(I456))</f>
        <v/>
      </c>
      <c r="K456" s="25" t="str">
        <f aca="false">IF($D456="","",N(G456)*IFERROR(INDEX(المنتجات!$H$5:$H$24,MATCH($D456,المنتجات!$A$5:$A$24,0)),0))</f>
        <v/>
      </c>
      <c r="L456" s="25" t="str">
        <f aca="false">IF($D456="","",J456-K456)</f>
        <v/>
      </c>
      <c r="M456" s="29"/>
      <c r="N456" s="29"/>
    </row>
    <row r="457" customFormat="false" ht="15" hidden="false" customHeight="false" outlineLevel="0" collapsed="false">
      <c r="A457" s="32"/>
      <c r="B457" s="29"/>
      <c r="C457" s="29"/>
      <c r="D457" s="29"/>
      <c r="E457" s="28" t="str">
        <f aca="false">IF($D457="","",IFERROR(INDEX(المنتجات!$C$5:$C$24,MATCH($D457,المنتجات!$A$5:$A$24,0)),"كود غير موجود"))</f>
        <v/>
      </c>
      <c r="F457" s="28" t="str">
        <f aca="false">IF($D457="","",IFERROR(INDEX(المنتجات!$B$5:$B$24,MATCH($D457,المنتجات!$A$5:$A$24,0)),""))</f>
        <v/>
      </c>
      <c r="G457" s="24"/>
      <c r="H457" s="25" t="str">
        <f aca="false">IF($D457="","",IFERROR(INDEX(المنتجات!$F$5:$F$24,MATCH($D457,المنتجات!$A$5:$A$24,0)),0))</f>
        <v/>
      </c>
      <c r="I457" s="30"/>
      <c r="J457" s="25" t="str">
        <f aca="false">IF($D457="","",N(G457)*H457-N(I457))</f>
        <v/>
      </c>
      <c r="K457" s="25" t="str">
        <f aca="false">IF($D457="","",N(G457)*IFERROR(INDEX(المنتجات!$H$5:$H$24,MATCH($D457,المنتجات!$A$5:$A$24,0)),0))</f>
        <v/>
      </c>
      <c r="L457" s="25" t="str">
        <f aca="false">IF($D457="","",J457-K457)</f>
        <v/>
      </c>
      <c r="M457" s="29"/>
      <c r="N457" s="29"/>
    </row>
    <row r="458" customFormat="false" ht="15" hidden="false" customHeight="false" outlineLevel="0" collapsed="false">
      <c r="A458" s="32"/>
      <c r="B458" s="29"/>
      <c r="C458" s="29"/>
      <c r="D458" s="29"/>
      <c r="E458" s="28" t="str">
        <f aca="false">IF($D458="","",IFERROR(INDEX(المنتجات!$C$5:$C$24,MATCH($D458,المنتجات!$A$5:$A$24,0)),"كود غير موجود"))</f>
        <v/>
      </c>
      <c r="F458" s="28" t="str">
        <f aca="false">IF($D458="","",IFERROR(INDEX(المنتجات!$B$5:$B$24,MATCH($D458,المنتجات!$A$5:$A$24,0)),""))</f>
        <v/>
      </c>
      <c r="G458" s="24"/>
      <c r="H458" s="25" t="str">
        <f aca="false">IF($D458="","",IFERROR(INDEX(المنتجات!$F$5:$F$24,MATCH($D458,المنتجات!$A$5:$A$24,0)),0))</f>
        <v/>
      </c>
      <c r="I458" s="30"/>
      <c r="J458" s="25" t="str">
        <f aca="false">IF($D458="","",N(G458)*H458-N(I458))</f>
        <v/>
      </c>
      <c r="K458" s="25" t="str">
        <f aca="false">IF($D458="","",N(G458)*IFERROR(INDEX(المنتجات!$H$5:$H$24,MATCH($D458,المنتجات!$A$5:$A$24,0)),0))</f>
        <v/>
      </c>
      <c r="L458" s="25" t="str">
        <f aca="false">IF($D458="","",J458-K458)</f>
        <v/>
      </c>
      <c r="M458" s="29"/>
      <c r="N458" s="29"/>
    </row>
    <row r="459" customFormat="false" ht="15" hidden="false" customHeight="false" outlineLevel="0" collapsed="false">
      <c r="A459" s="32"/>
      <c r="B459" s="29"/>
      <c r="C459" s="29"/>
      <c r="D459" s="29"/>
      <c r="E459" s="28" t="str">
        <f aca="false">IF($D459="","",IFERROR(INDEX(المنتجات!$C$5:$C$24,MATCH($D459,المنتجات!$A$5:$A$24,0)),"كود غير موجود"))</f>
        <v/>
      </c>
      <c r="F459" s="28" t="str">
        <f aca="false">IF($D459="","",IFERROR(INDEX(المنتجات!$B$5:$B$24,MATCH($D459,المنتجات!$A$5:$A$24,0)),""))</f>
        <v/>
      </c>
      <c r="G459" s="24"/>
      <c r="H459" s="25" t="str">
        <f aca="false">IF($D459="","",IFERROR(INDEX(المنتجات!$F$5:$F$24,MATCH($D459,المنتجات!$A$5:$A$24,0)),0))</f>
        <v/>
      </c>
      <c r="I459" s="30"/>
      <c r="J459" s="25" t="str">
        <f aca="false">IF($D459="","",N(G459)*H459-N(I459))</f>
        <v/>
      </c>
      <c r="K459" s="25" t="str">
        <f aca="false">IF($D459="","",N(G459)*IFERROR(INDEX(المنتجات!$H$5:$H$24,MATCH($D459,المنتجات!$A$5:$A$24,0)),0))</f>
        <v/>
      </c>
      <c r="L459" s="25" t="str">
        <f aca="false">IF($D459="","",J459-K459)</f>
        <v/>
      </c>
      <c r="M459" s="29"/>
      <c r="N459" s="29"/>
    </row>
    <row r="460" customFormat="false" ht="15" hidden="false" customHeight="false" outlineLevel="0" collapsed="false">
      <c r="A460" s="32"/>
      <c r="B460" s="29"/>
      <c r="C460" s="29"/>
      <c r="D460" s="29"/>
      <c r="E460" s="28" t="str">
        <f aca="false">IF($D460="","",IFERROR(INDEX(المنتجات!$C$5:$C$24,MATCH($D460,المنتجات!$A$5:$A$24,0)),"كود غير موجود"))</f>
        <v/>
      </c>
      <c r="F460" s="28" t="str">
        <f aca="false">IF($D460="","",IFERROR(INDEX(المنتجات!$B$5:$B$24,MATCH($D460,المنتجات!$A$5:$A$24,0)),""))</f>
        <v/>
      </c>
      <c r="G460" s="24"/>
      <c r="H460" s="25" t="str">
        <f aca="false">IF($D460="","",IFERROR(INDEX(المنتجات!$F$5:$F$24,MATCH($D460,المنتجات!$A$5:$A$24,0)),0))</f>
        <v/>
      </c>
      <c r="I460" s="30"/>
      <c r="J460" s="25" t="str">
        <f aca="false">IF($D460="","",N(G460)*H460-N(I460))</f>
        <v/>
      </c>
      <c r="K460" s="25" t="str">
        <f aca="false">IF($D460="","",N(G460)*IFERROR(INDEX(المنتجات!$H$5:$H$24,MATCH($D460,المنتجات!$A$5:$A$24,0)),0))</f>
        <v/>
      </c>
      <c r="L460" s="25" t="str">
        <f aca="false">IF($D460="","",J460-K460)</f>
        <v/>
      </c>
      <c r="M460" s="29"/>
      <c r="N460" s="29"/>
    </row>
    <row r="461" customFormat="false" ht="15" hidden="false" customHeight="false" outlineLevel="0" collapsed="false">
      <c r="A461" s="32"/>
      <c r="B461" s="29"/>
      <c r="C461" s="29"/>
      <c r="D461" s="29"/>
      <c r="E461" s="28" t="str">
        <f aca="false">IF($D461="","",IFERROR(INDEX(المنتجات!$C$5:$C$24,MATCH($D461,المنتجات!$A$5:$A$24,0)),"كود غير موجود"))</f>
        <v/>
      </c>
      <c r="F461" s="28" t="str">
        <f aca="false">IF($D461="","",IFERROR(INDEX(المنتجات!$B$5:$B$24,MATCH($D461,المنتجات!$A$5:$A$24,0)),""))</f>
        <v/>
      </c>
      <c r="G461" s="24"/>
      <c r="H461" s="25" t="str">
        <f aca="false">IF($D461="","",IFERROR(INDEX(المنتجات!$F$5:$F$24,MATCH($D461,المنتجات!$A$5:$A$24,0)),0))</f>
        <v/>
      </c>
      <c r="I461" s="30"/>
      <c r="J461" s="25" t="str">
        <f aca="false">IF($D461="","",N(G461)*H461-N(I461))</f>
        <v/>
      </c>
      <c r="K461" s="25" t="str">
        <f aca="false">IF($D461="","",N(G461)*IFERROR(INDEX(المنتجات!$H$5:$H$24,MATCH($D461,المنتجات!$A$5:$A$24,0)),0))</f>
        <v/>
      </c>
      <c r="L461" s="25" t="str">
        <f aca="false">IF($D461="","",J461-K461)</f>
        <v/>
      </c>
      <c r="M461" s="29"/>
      <c r="N461" s="29"/>
    </row>
    <row r="462" customFormat="false" ht="15" hidden="false" customHeight="false" outlineLevel="0" collapsed="false">
      <c r="A462" s="32"/>
      <c r="B462" s="29"/>
      <c r="C462" s="29"/>
      <c r="D462" s="29"/>
      <c r="E462" s="28" t="str">
        <f aca="false">IF($D462="","",IFERROR(INDEX(المنتجات!$C$5:$C$24,MATCH($D462,المنتجات!$A$5:$A$24,0)),"كود غير موجود"))</f>
        <v/>
      </c>
      <c r="F462" s="28" t="str">
        <f aca="false">IF($D462="","",IFERROR(INDEX(المنتجات!$B$5:$B$24,MATCH($D462,المنتجات!$A$5:$A$24,0)),""))</f>
        <v/>
      </c>
      <c r="G462" s="24"/>
      <c r="H462" s="25" t="str">
        <f aca="false">IF($D462="","",IFERROR(INDEX(المنتجات!$F$5:$F$24,MATCH($D462,المنتجات!$A$5:$A$24,0)),0))</f>
        <v/>
      </c>
      <c r="I462" s="30"/>
      <c r="J462" s="25" t="str">
        <f aca="false">IF($D462="","",N(G462)*H462-N(I462))</f>
        <v/>
      </c>
      <c r="K462" s="25" t="str">
        <f aca="false">IF($D462="","",N(G462)*IFERROR(INDEX(المنتجات!$H$5:$H$24,MATCH($D462,المنتجات!$A$5:$A$24,0)),0))</f>
        <v/>
      </c>
      <c r="L462" s="25" t="str">
        <f aca="false">IF($D462="","",J462-K462)</f>
        <v/>
      </c>
      <c r="M462" s="29"/>
      <c r="N462" s="29"/>
    </row>
    <row r="463" customFormat="false" ht="15" hidden="false" customHeight="false" outlineLevel="0" collapsed="false">
      <c r="A463" s="32"/>
      <c r="B463" s="29"/>
      <c r="C463" s="29"/>
      <c r="D463" s="29"/>
      <c r="E463" s="28" t="str">
        <f aca="false">IF($D463="","",IFERROR(INDEX(المنتجات!$C$5:$C$24,MATCH($D463,المنتجات!$A$5:$A$24,0)),"كود غير موجود"))</f>
        <v/>
      </c>
      <c r="F463" s="28" t="str">
        <f aca="false">IF($D463="","",IFERROR(INDEX(المنتجات!$B$5:$B$24,MATCH($D463,المنتجات!$A$5:$A$24,0)),""))</f>
        <v/>
      </c>
      <c r="G463" s="24"/>
      <c r="H463" s="25" t="str">
        <f aca="false">IF($D463="","",IFERROR(INDEX(المنتجات!$F$5:$F$24,MATCH($D463,المنتجات!$A$5:$A$24,0)),0))</f>
        <v/>
      </c>
      <c r="I463" s="30"/>
      <c r="J463" s="25" t="str">
        <f aca="false">IF($D463="","",N(G463)*H463-N(I463))</f>
        <v/>
      </c>
      <c r="K463" s="25" t="str">
        <f aca="false">IF($D463="","",N(G463)*IFERROR(INDEX(المنتجات!$H$5:$H$24,MATCH($D463,المنتجات!$A$5:$A$24,0)),0))</f>
        <v/>
      </c>
      <c r="L463" s="25" t="str">
        <f aca="false">IF($D463="","",J463-K463)</f>
        <v/>
      </c>
      <c r="M463" s="29"/>
      <c r="N463" s="29"/>
    </row>
    <row r="464" customFormat="false" ht="15" hidden="false" customHeight="false" outlineLevel="0" collapsed="false">
      <c r="A464" s="32"/>
      <c r="B464" s="29"/>
      <c r="C464" s="29"/>
      <c r="D464" s="29"/>
      <c r="E464" s="28" t="str">
        <f aca="false">IF($D464="","",IFERROR(INDEX(المنتجات!$C$5:$C$24,MATCH($D464,المنتجات!$A$5:$A$24,0)),"كود غير موجود"))</f>
        <v/>
      </c>
      <c r="F464" s="28" t="str">
        <f aca="false">IF($D464="","",IFERROR(INDEX(المنتجات!$B$5:$B$24,MATCH($D464,المنتجات!$A$5:$A$24,0)),""))</f>
        <v/>
      </c>
      <c r="G464" s="24"/>
      <c r="H464" s="25" t="str">
        <f aca="false">IF($D464="","",IFERROR(INDEX(المنتجات!$F$5:$F$24,MATCH($D464,المنتجات!$A$5:$A$24,0)),0))</f>
        <v/>
      </c>
      <c r="I464" s="30"/>
      <c r="J464" s="25" t="str">
        <f aca="false">IF($D464="","",N(G464)*H464-N(I464))</f>
        <v/>
      </c>
      <c r="K464" s="25" t="str">
        <f aca="false">IF($D464="","",N(G464)*IFERROR(INDEX(المنتجات!$H$5:$H$24,MATCH($D464,المنتجات!$A$5:$A$24,0)),0))</f>
        <v/>
      </c>
      <c r="L464" s="25" t="str">
        <f aca="false">IF($D464="","",J464-K464)</f>
        <v/>
      </c>
      <c r="M464" s="29"/>
      <c r="N464" s="29"/>
    </row>
    <row r="465" customFormat="false" ht="15" hidden="false" customHeight="false" outlineLevel="0" collapsed="false">
      <c r="A465" s="32"/>
      <c r="B465" s="29"/>
      <c r="C465" s="29"/>
      <c r="D465" s="29"/>
      <c r="E465" s="28" t="str">
        <f aca="false">IF($D465="","",IFERROR(INDEX(المنتجات!$C$5:$C$24,MATCH($D465,المنتجات!$A$5:$A$24,0)),"كود غير موجود"))</f>
        <v/>
      </c>
      <c r="F465" s="28" t="str">
        <f aca="false">IF($D465="","",IFERROR(INDEX(المنتجات!$B$5:$B$24,MATCH($D465,المنتجات!$A$5:$A$24,0)),""))</f>
        <v/>
      </c>
      <c r="G465" s="24"/>
      <c r="H465" s="25" t="str">
        <f aca="false">IF($D465="","",IFERROR(INDEX(المنتجات!$F$5:$F$24,MATCH($D465,المنتجات!$A$5:$A$24,0)),0))</f>
        <v/>
      </c>
      <c r="I465" s="30"/>
      <c r="J465" s="25" t="str">
        <f aca="false">IF($D465="","",N(G465)*H465-N(I465))</f>
        <v/>
      </c>
      <c r="K465" s="25" t="str">
        <f aca="false">IF($D465="","",N(G465)*IFERROR(INDEX(المنتجات!$H$5:$H$24,MATCH($D465,المنتجات!$A$5:$A$24,0)),0))</f>
        <v/>
      </c>
      <c r="L465" s="25" t="str">
        <f aca="false">IF($D465="","",J465-K465)</f>
        <v/>
      </c>
      <c r="M465" s="29"/>
      <c r="N465" s="29"/>
    </row>
    <row r="466" customFormat="false" ht="15" hidden="false" customHeight="false" outlineLevel="0" collapsed="false">
      <c r="A466" s="32"/>
      <c r="B466" s="29"/>
      <c r="C466" s="29"/>
      <c r="D466" s="29"/>
      <c r="E466" s="28" t="str">
        <f aca="false">IF($D466="","",IFERROR(INDEX(المنتجات!$C$5:$C$24,MATCH($D466,المنتجات!$A$5:$A$24,0)),"كود غير موجود"))</f>
        <v/>
      </c>
      <c r="F466" s="28" t="str">
        <f aca="false">IF($D466="","",IFERROR(INDEX(المنتجات!$B$5:$B$24,MATCH($D466,المنتجات!$A$5:$A$24,0)),""))</f>
        <v/>
      </c>
      <c r="G466" s="24"/>
      <c r="H466" s="25" t="str">
        <f aca="false">IF($D466="","",IFERROR(INDEX(المنتجات!$F$5:$F$24,MATCH($D466,المنتجات!$A$5:$A$24,0)),0))</f>
        <v/>
      </c>
      <c r="I466" s="30"/>
      <c r="J466" s="25" t="str">
        <f aca="false">IF($D466="","",N(G466)*H466-N(I466))</f>
        <v/>
      </c>
      <c r="K466" s="25" t="str">
        <f aca="false">IF($D466="","",N(G466)*IFERROR(INDEX(المنتجات!$H$5:$H$24,MATCH($D466,المنتجات!$A$5:$A$24,0)),0))</f>
        <v/>
      </c>
      <c r="L466" s="25" t="str">
        <f aca="false">IF($D466="","",J466-K466)</f>
        <v/>
      </c>
      <c r="M466" s="29"/>
      <c r="N466" s="29"/>
    </row>
    <row r="467" customFormat="false" ht="15" hidden="false" customHeight="false" outlineLevel="0" collapsed="false">
      <c r="A467" s="32"/>
      <c r="B467" s="29"/>
      <c r="C467" s="29"/>
      <c r="D467" s="29"/>
      <c r="E467" s="28" t="str">
        <f aca="false">IF($D467="","",IFERROR(INDEX(المنتجات!$C$5:$C$24,MATCH($D467,المنتجات!$A$5:$A$24,0)),"كود غير موجود"))</f>
        <v/>
      </c>
      <c r="F467" s="28" t="str">
        <f aca="false">IF($D467="","",IFERROR(INDEX(المنتجات!$B$5:$B$24,MATCH($D467,المنتجات!$A$5:$A$24,0)),""))</f>
        <v/>
      </c>
      <c r="G467" s="24"/>
      <c r="H467" s="25" t="str">
        <f aca="false">IF($D467="","",IFERROR(INDEX(المنتجات!$F$5:$F$24,MATCH($D467,المنتجات!$A$5:$A$24,0)),0))</f>
        <v/>
      </c>
      <c r="I467" s="30"/>
      <c r="J467" s="25" t="str">
        <f aca="false">IF($D467="","",N(G467)*H467-N(I467))</f>
        <v/>
      </c>
      <c r="K467" s="25" t="str">
        <f aca="false">IF($D467="","",N(G467)*IFERROR(INDEX(المنتجات!$H$5:$H$24,MATCH($D467,المنتجات!$A$5:$A$24,0)),0))</f>
        <v/>
      </c>
      <c r="L467" s="25" t="str">
        <f aca="false">IF($D467="","",J467-K467)</f>
        <v/>
      </c>
      <c r="M467" s="29"/>
      <c r="N467" s="29"/>
    </row>
    <row r="468" customFormat="false" ht="15" hidden="false" customHeight="false" outlineLevel="0" collapsed="false">
      <c r="A468" s="32"/>
      <c r="B468" s="29"/>
      <c r="C468" s="29"/>
      <c r="D468" s="29"/>
      <c r="E468" s="28" t="str">
        <f aca="false">IF($D468="","",IFERROR(INDEX(المنتجات!$C$5:$C$24,MATCH($D468,المنتجات!$A$5:$A$24,0)),"كود غير موجود"))</f>
        <v/>
      </c>
      <c r="F468" s="28" t="str">
        <f aca="false">IF($D468="","",IFERROR(INDEX(المنتجات!$B$5:$B$24,MATCH($D468,المنتجات!$A$5:$A$24,0)),""))</f>
        <v/>
      </c>
      <c r="G468" s="24"/>
      <c r="H468" s="25" t="str">
        <f aca="false">IF($D468="","",IFERROR(INDEX(المنتجات!$F$5:$F$24,MATCH($D468,المنتجات!$A$5:$A$24,0)),0))</f>
        <v/>
      </c>
      <c r="I468" s="30"/>
      <c r="J468" s="25" t="str">
        <f aca="false">IF($D468="","",N(G468)*H468-N(I468))</f>
        <v/>
      </c>
      <c r="K468" s="25" t="str">
        <f aca="false">IF($D468="","",N(G468)*IFERROR(INDEX(المنتجات!$H$5:$H$24,MATCH($D468,المنتجات!$A$5:$A$24,0)),0))</f>
        <v/>
      </c>
      <c r="L468" s="25" t="str">
        <f aca="false">IF($D468="","",J468-K468)</f>
        <v/>
      </c>
      <c r="M468" s="29"/>
      <c r="N468" s="29"/>
    </row>
    <row r="469" customFormat="false" ht="15" hidden="false" customHeight="false" outlineLevel="0" collapsed="false">
      <c r="A469" s="32"/>
      <c r="B469" s="29"/>
      <c r="C469" s="29"/>
      <c r="D469" s="29"/>
      <c r="E469" s="28" t="str">
        <f aca="false">IF($D469="","",IFERROR(INDEX(المنتجات!$C$5:$C$24,MATCH($D469,المنتجات!$A$5:$A$24,0)),"كود غير موجود"))</f>
        <v/>
      </c>
      <c r="F469" s="28" t="str">
        <f aca="false">IF($D469="","",IFERROR(INDEX(المنتجات!$B$5:$B$24,MATCH($D469,المنتجات!$A$5:$A$24,0)),""))</f>
        <v/>
      </c>
      <c r="G469" s="24"/>
      <c r="H469" s="25" t="str">
        <f aca="false">IF($D469="","",IFERROR(INDEX(المنتجات!$F$5:$F$24,MATCH($D469,المنتجات!$A$5:$A$24,0)),0))</f>
        <v/>
      </c>
      <c r="I469" s="30"/>
      <c r="J469" s="25" t="str">
        <f aca="false">IF($D469="","",N(G469)*H469-N(I469))</f>
        <v/>
      </c>
      <c r="K469" s="25" t="str">
        <f aca="false">IF($D469="","",N(G469)*IFERROR(INDEX(المنتجات!$H$5:$H$24,MATCH($D469,المنتجات!$A$5:$A$24,0)),0))</f>
        <v/>
      </c>
      <c r="L469" s="25" t="str">
        <f aca="false">IF($D469="","",J469-K469)</f>
        <v/>
      </c>
      <c r="M469" s="29"/>
      <c r="N469" s="29"/>
    </row>
    <row r="470" customFormat="false" ht="15" hidden="false" customHeight="false" outlineLevel="0" collapsed="false">
      <c r="A470" s="32"/>
      <c r="B470" s="29"/>
      <c r="C470" s="29"/>
      <c r="D470" s="29"/>
      <c r="E470" s="28" t="str">
        <f aca="false">IF($D470="","",IFERROR(INDEX(المنتجات!$C$5:$C$24,MATCH($D470,المنتجات!$A$5:$A$24,0)),"كود غير موجود"))</f>
        <v/>
      </c>
      <c r="F470" s="28" t="str">
        <f aca="false">IF($D470="","",IFERROR(INDEX(المنتجات!$B$5:$B$24,MATCH($D470,المنتجات!$A$5:$A$24,0)),""))</f>
        <v/>
      </c>
      <c r="G470" s="24"/>
      <c r="H470" s="25" t="str">
        <f aca="false">IF($D470="","",IFERROR(INDEX(المنتجات!$F$5:$F$24,MATCH($D470,المنتجات!$A$5:$A$24,0)),0))</f>
        <v/>
      </c>
      <c r="I470" s="30"/>
      <c r="J470" s="25" t="str">
        <f aca="false">IF($D470="","",N(G470)*H470-N(I470))</f>
        <v/>
      </c>
      <c r="K470" s="25" t="str">
        <f aca="false">IF($D470="","",N(G470)*IFERROR(INDEX(المنتجات!$H$5:$H$24,MATCH($D470,المنتجات!$A$5:$A$24,0)),0))</f>
        <v/>
      </c>
      <c r="L470" s="25" t="str">
        <f aca="false">IF($D470="","",J470-K470)</f>
        <v/>
      </c>
      <c r="M470" s="29"/>
      <c r="N470" s="29"/>
    </row>
    <row r="471" customFormat="false" ht="15" hidden="false" customHeight="false" outlineLevel="0" collapsed="false">
      <c r="A471" s="32"/>
      <c r="B471" s="29"/>
      <c r="C471" s="29"/>
      <c r="D471" s="29"/>
      <c r="E471" s="28" t="str">
        <f aca="false">IF($D471="","",IFERROR(INDEX(المنتجات!$C$5:$C$24,MATCH($D471,المنتجات!$A$5:$A$24,0)),"كود غير موجود"))</f>
        <v/>
      </c>
      <c r="F471" s="28" t="str">
        <f aca="false">IF($D471="","",IFERROR(INDEX(المنتجات!$B$5:$B$24,MATCH($D471,المنتجات!$A$5:$A$24,0)),""))</f>
        <v/>
      </c>
      <c r="G471" s="24"/>
      <c r="H471" s="25" t="str">
        <f aca="false">IF($D471="","",IFERROR(INDEX(المنتجات!$F$5:$F$24,MATCH($D471,المنتجات!$A$5:$A$24,0)),0))</f>
        <v/>
      </c>
      <c r="I471" s="30"/>
      <c r="J471" s="25" t="str">
        <f aca="false">IF($D471="","",N(G471)*H471-N(I471))</f>
        <v/>
      </c>
      <c r="K471" s="25" t="str">
        <f aca="false">IF($D471="","",N(G471)*IFERROR(INDEX(المنتجات!$H$5:$H$24,MATCH($D471,المنتجات!$A$5:$A$24,0)),0))</f>
        <v/>
      </c>
      <c r="L471" s="25" t="str">
        <f aca="false">IF($D471="","",J471-K471)</f>
        <v/>
      </c>
      <c r="M471" s="29"/>
      <c r="N471" s="29"/>
    </row>
    <row r="472" customFormat="false" ht="15" hidden="false" customHeight="false" outlineLevel="0" collapsed="false">
      <c r="A472" s="32"/>
      <c r="B472" s="29"/>
      <c r="C472" s="29"/>
      <c r="D472" s="29"/>
      <c r="E472" s="28" t="str">
        <f aca="false">IF($D472="","",IFERROR(INDEX(المنتجات!$C$5:$C$24,MATCH($D472,المنتجات!$A$5:$A$24,0)),"كود غير موجود"))</f>
        <v/>
      </c>
      <c r="F472" s="28" t="str">
        <f aca="false">IF($D472="","",IFERROR(INDEX(المنتجات!$B$5:$B$24,MATCH($D472,المنتجات!$A$5:$A$24,0)),""))</f>
        <v/>
      </c>
      <c r="G472" s="24"/>
      <c r="H472" s="25" t="str">
        <f aca="false">IF($D472="","",IFERROR(INDEX(المنتجات!$F$5:$F$24,MATCH($D472,المنتجات!$A$5:$A$24,0)),0))</f>
        <v/>
      </c>
      <c r="I472" s="30"/>
      <c r="J472" s="25" t="str">
        <f aca="false">IF($D472="","",N(G472)*H472-N(I472))</f>
        <v/>
      </c>
      <c r="K472" s="25" t="str">
        <f aca="false">IF($D472="","",N(G472)*IFERROR(INDEX(المنتجات!$H$5:$H$24,MATCH($D472,المنتجات!$A$5:$A$24,0)),0))</f>
        <v/>
      </c>
      <c r="L472" s="25" t="str">
        <f aca="false">IF($D472="","",J472-K472)</f>
        <v/>
      </c>
      <c r="M472" s="29"/>
      <c r="N472" s="29"/>
    </row>
    <row r="473" customFormat="false" ht="15" hidden="false" customHeight="false" outlineLevel="0" collapsed="false">
      <c r="A473" s="32"/>
      <c r="B473" s="29"/>
      <c r="C473" s="29"/>
      <c r="D473" s="29"/>
      <c r="E473" s="28" t="str">
        <f aca="false">IF($D473="","",IFERROR(INDEX(المنتجات!$C$5:$C$24,MATCH($D473,المنتجات!$A$5:$A$24,0)),"كود غير موجود"))</f>
        <v/>
      </c>
      <c r="F473" s="28" t="str">
        <f aca="false">IF($D473="","",IFERROR(INDEX(المنتجات!$B$5:$B$24,MATCH($D473,المنتجات!$A$5:$A$24,0)),""))</f>
        <v/>
      </c>
      <c r="G473" s="24"/>
      <c r="H473" s="25" t="str">
        <f aca="false">IF($D473="","",IFERROR(INDEX(المنتجات!$F$5:$F$24,MATCH($D473,المنتجات!$A$5:$A$24,0)),0))</f>
        <v/>
      </c>
      <c r="I473" s="30"/>
      <c r="J473" s="25" t="str">
        <f aca="false">IF($D473="","",N(G473)*H473-N(I473))</f>
        <v/>
      </c>
      <c r="K473" s="25" t="str">
        <f aca="false">IF($D473="","",N(G473)*IFERROR(INDEX(المنتجات!$H$5:$H$24,MATCH($D473,المنتجات!$A$5:$A$24,0)),0))</f>
        <v/>
      </c>
      <c r="L473" s="25" t="str">
        <f aca="false">IF($D473="","",J473-K473)</f>
        <v/>
      </c>
      <c r="M473" s="29"/>
      <c r="N473" s="29"/>
    </row>
    <row r="474" customFormat="false" ht="15" hidden="false" customHeight="false" outlineLevel="0" collapsed="false">
      <c r="A474" s="32"/>
      <c r="B474" s="29"/>
      <c r="C474" s="29"/>
      <c r="D474" s="29"/>
      <c r="E474" s="28" t="str">
        <f aca="false">IF($D474="","",IFERROR(INDEX(المنتجات!$C$5:$C$24,MATCH($D474,المنتجات!$A$5:$A$24,0)),"كود غير موجود"))</f>
        <v/>
      </c>
      <c r="F474" s="28" t="str">
        <f aca="false">IF($D474="","",IFERROR(INDEX(المنتجات!$B$5:$B$24,MATCH($D474,المنتجات!$A$5:$A$24,0)),""))</f>
        <v/>
      </c>
      <c r="G474" s="24"/>
      <c r="H474" s="25" t="str">
        <f aca="false">IF($D474="","",IFERROR(INDEX(المنتجات!$F$5:$F$24,MATCH($D474,المنتجات!$A$5:$A$24,0)),0))</f>
        <v/>
      </c>
      <c r="I474" s="30"/>
      <c r="J474" s="25" t="str">
        <f aca="false">IF($D474="","",N(G474)*H474-N(I474))</f>
        <v/>
      </c>
      <c r="K474" s="25" t="str">
        <f aca="false">IF($D474="","",N(G474)*IFERROR(INDEX(المنتجات!$H$5:$H$24,MATCH($D474,المنتجات!$A$5:$A$24,0)),0))</f>
        <v/>
      </c>
      <c r="L474" s="25" t="str">
        <f aca="false">IF($D474="","",J474-K474)</f>
        <v/>
      </c>
      <c r="M474" s="29"/>
      <c r="N474" s="29"/>
    </row>
    <row r="475" customFormat="false" ht="15" hidden="false" customHeight="false" outlineLevel="0" collapsed="false">
      <c r="A475" s="32"/>
      <c r="B475" s="29"/>
      <c r="C475" s="29"/>
      <c r="D475" s="29"/>
      <c r="E475" s="28" t="str">
        <f aca="false">IF($D475="","",IFERROR(INDEX(المنتجات!$C$5:$C$24,MATCH($D475,المنتجات!$A$5:$A$24,0)),"كود غير موجود"))</f>
        <v/>
      </c>
      <c r="F475" s="28" t="str">
        <f aca="false">IF($D475="","",IFERROR(INDEX(المنتجات!$B$5:$B$24,MATCH($D475,المنتجات!$A$5:$A$24,0)),""))</f>
        <v/>
      </c>
      <c r="G475" s="24"/>
      <c r="H475" s="25" t="str">
        <f aca="false">IF($D475="","",IFERROR(INDEX(المنتجات!$F$5:$F$24,MATCH($D475,المنتجات!$A$5:$A$24,0)),0))</f>
        <v/>
      </c>
      <c r="I475" s="30"/>
      <c r="J475" s="25" t="str">
        <f aca="false">IF($D475="","",N(G475)*H475-N(I475))</f>
        <v/>
      </c>
      <c r="K475" s="25" t="str">
        <f aca="false">IF($D475="","",N(G475)*IFERROR(INDEX(المنتجات!$H$5:$H$24,MATCH($D475,المنتجات!$A$5:$A$24,0)),0))</f>
        <v/>
      </c>
      <c r="L475" s="25" t="str">
        <f aca="false">IF($D475="","",J475-K475)</f>
        <v/>
      </c>
      <c r="M475" s="29"/>
      <c r="N475" s="29"/>
    </row>
    <row r="476" customFormat="false" ht="15" hidden="false" customHeight="false" outlineLevel="0" collapsed="false">
      <c r="A476" s="32"/>
      <c r="B476" s="29"/>
      <c r="C476" s="29"/>
      <c r="D476" s="29"/>
      <c r="E476" s="28" t="str">
        <f aca="false">IF($D476="","",IFERROR(INDEX(المنتجات!$C$5:$C$24,MATCH($D476,المنتجات!$A$5:$A$24,0)),"كود غير موجود"))</f>
        <v/>
      </c>
      <c r="F476" s="28" t="str">
        <f aca="false">IF($D476="","",IFERROR(INDEX(المنتجات!$B$5:$B$24,MATCH($D476,المنتجات!$A$5:$A$24,0)),""))</f>
        <v/>
      </c>
      <c r="G476" s="24"/>
      <c r="H476" s="25" t="str">
        <f aca="false">IF($D476="","",IFERROR(INDEX(المنتجات!$F$5:$F$24,MATCH($D476,المنتجات!$A$5:$A$24,0)),0))</f>
        <v/>
      </c>
      <c r="I476" s="30"/>
      <c r="J476" s="25" t="str">
        <f aca="false">IF($D476="","",N(G476)*H476-N(I476))</f>
        <v/>
      </c>
      <c r="K476" s="25" t="str">
        <f aca="false">IF($D476="","",N(G476)*IFERROR(INDEX(المنتجات!$H$5:$H$24,MATCH($D476,المنتجات!$A$5:$A$24,0)),0))</f>
        <v/>
      </c>
      <c r="L476" s="25" t="str">
        <f aca="false">IF($D476="","",J476-K476)</f>
        <v/>
      </c>
      <c r="M476" s="29"/>
      <c r="N476" s="29"/>
    </row>
    <row r="477" customFormat="false" ht="15" hidden="false" customHeight="false" outlineLevel="0" collapsed="false">
      <c r="A477" s="32"/>
      <c r="B477" s="29"/>
      <c r="C477" s="29"/>
      <c r="D477" s="29"/>
      <c r="E477" s="28" t="str">
        <f aca="false">IF($D477="","",IFERROR(INDEX(المنتجات!$C$5:$C$24,MATCH($D477,المنتجات!$A$5:$A$24,0)),"كود غير موجود"))</f>
        <v/>
      </c>
      <c r="F477" s="28" t="str">
        <f aca="false">IF($D477="","",IFERROR(INDEX(المنتجات!$B$5:$B$24,MATCH($D477,المنتجات!$A$5:$A$24,0)),""))</f>
        <v/>
      </c>
      <c r="G477" s="24"/>
      <c r="H477" s="25" t="str">
        <f aca="false">IF($D477="","",IFERROR(INDEX(المنتجات!$F$5:$F$24,MATCH($D477,المنتجات!$A$5:$A$24,0)),0))</f>
        <v/>
      </c>
      <c r="I477" s="30"/>
      <c r="J477" s="25" t="str">
        <f aca="false">IF($D477="","",N(G477)*H477-N(I477))</f>
        <v/>
      </c>
      <c r="K477" s="25" t="str">
        <f aca="false">IF($D477="","",N(G477)*IFERROR(INDEX(المنتجات!$H$5:$H$24,MATCH($D477,المنتجات!$A$5:$A$24,0)),0))</f>
        <v/>
      </c>
      <c r="L477" s="25" t="str">
        <f aca="false">IF($D477="","",J477-K477)</f>
        <v/>
      </c>
      <c r="M477" s="29"/>
      <c r="N477" s="29"/>
    </row>
    <row r="478" customFormat="false" ht="15" hidden="false" customHeight="false" outlineLevel="0" collapsed="false">
      <c r="A478" s="32"/>
      <c r="B478" s="29"/>
      <c r="C478" s="29"/>
      <c r="D478" s="29"/>
      <c r="E478" s="28" t="str">
        <f aca="false">IF($D478="","",IFERROR(INDEX(المنتجات!$C$5:$C$24,MATCH($D478,المنتجات!$A$5:$A$24,0)),"كود غير موجود"))</f>
        <v/>
      </c>
      <c r="F478" s="28" t="str">
        <f aca="false">IF($D478="","",IFERROR(INDEX(المنتجات!$B$5:$B$24,MATCH($D478,المنتجات!$A$5:$A$24,0)),""))</f>
        <v/>
      </c>
      <c r="G478" s="24"/>
      <c r="H478" s="25" t="str">
        <f aca="false">IF($D478="","",IFERROR(INDEX(المنتجات!$F$5:$F$24,MATCH($D478,المنتجات!$A$5:$A$24,0)),0))</f>
        <v/>
      </c>
      <c r="I478" s="30"/>
      <c r="J478" s="25" t="str">
        <f aca="false">IF($D478="","",N(G478)*H478-N(I478))</f>
        <v/>
      </c>
      <c r="K478" s="25" t="str">
        <f aca="false">IF($D478="","",N(G478)*IFERROR(INDEX(المنتجات!$H$5:$H$24,MATCH($D478,المنتجات!$A$5:$A$24,0)),0))</f>
        <v/>
      </c>
      <c r="L478" s="25" t="str">
        <f aca="false">IF($D478="","",J478-K478)</f>
        <v/>
      </c>
      <c r="M478" s="29"/>
      <c r="N478" s="29"/>
    </row>
    <row r="479" customFormat="false" ht="15" hidden="false" customHeight="false" outlineLevel="0" collapsed="false">
      <c r="A479" s="32"/>
      <c r="B479" s="29"/>
      <c r="C479" s="29"/>
      <c r="D479" s="29"/>
      <c r="E479" s="28" t="str">
        <f aca="false">IF($D479="","",IFERROR(INDEX(المنتجات!$C$5:$C$24,MATCH($D479,المنتجات!$A$5:$A$24,0)),"كود غير موجود"))</f>
        <v/>
      </c>
      <c r="F479" s="28" t="str">
        <f aca="false">IF($D479="","",IFERROR(INDEX(المنتجات!$B$5:$B$24,MATCH($D479,المنتجات!$A$5:$A$24,0)),""))</f>
        <v/>
      </c>
      <c r="G479" s="24"/>
      <c r="H479" s="25" t="str">
        <f aca="false">IF($D479="","",IFERROR(INDEX(المنتجات!$F$5:$F$24,MATCH($D479,المنتجات!$A$5:$A$24,0)),0))</f>
        <v/>
      </c>
      <c r="I479" s="30"/>
      <c r="J479" s="25" t="str">
        <f aca="false">IF($D479="","",N(G479)*H479-N(I479))</f>
        <v/>
      </c>
      <c r="K479" s="25" t="str">
        <f aca="false">IF($D479="","",N(G479)*IFERROR(INDEX(المنتجات!$H$5:$H$24,MATCH($D479,المنتجات!$A$5:$A$24,0)),0))</f>
        <v/>
      </c>
      <c r="L479" s="25" t="str">
        <f aca="false">IF($D479="","",J479-K479)</f>
        <v/>
      </c>
      <c r="M479" s="29"/>
      <c r="N479" s="29"/>
    </row>
    <row r="480" customFormat="false" ht="15" hidden="false" customHeight="false" outlineLevel="0" collapsed="false">
      <c r="A480" s="32"/>
      <c r="B480" s="29"/>
      <c r="C480" s="29"/>
      <c r="D480" s="29"/>
      <c r="E480" s="28" t="str">
        <f aca="false">IF($D480="","",IFERROR(INDEX(المنتجات!$C$5:$C$24,MATCH($D480,المنتجات!$A$5:$A$24,0)),"كود غير موجود"))</f>
        <v/>
      </c>
      <c r="F480" s="28" t="str">
        <f aca="false">IF($D480="","",IFERROR(INDEX(المنتجات!$B$5:$B$24,MATCH($D480,المنتجات!$A$5:$A$24,0)),""))</f>
        <v/>
      </c>
      <c r="G480" s="24"/>
      <c r="H480" s="25" t="str">
        <f aca="false">IF($D480="","",IFERROR(INDEX(المنتجات!$F$5:$F$24,MATCH($D480,المنتجات!$A$5:$A$24,0)),0))</f>
        <v/>
      </c>
      <c r="I480" s="30"/>
      <c r="J480" s="25" t="str">
        <f aca="false">IF($D480="","",N(G480)*H480-N(I480))</f>
        <v/>
      </c>
      <c r="K480" s="25" t="str">
        <f aca="false">IF($D480="","",N(G480)*IFERROR(INDEX(المنتجات!$H$5:$H$24,MATCH($D480,المنتجات!$A$5:$A$24,0)),0))</f>
        <v/>
      </c>
      <c r="L480" s="25" t="str">
        <f aca="false">IF($D480="","",J480-K480)</f>
        <v/>
      </c>
      <c r="M480" s="29"/>
      <c r="N480" s="29"/>
    </row>
    <row r="481" customFormat="false" ht="15" hidden="false" customHeight="false" outlineLevel="0" collapsed="false">
      <c r="A481" s="32"/>
      <c r="B481" s="29"/>
      <c r="C481" s="29"/>
      <c r="D481" s="29"/>
      <c r="E481" s="28" t="str">
        <f aca="false">IF($D481="","",IFERROR(INDEX(المنتجات!$C$5:$C$24,MATCH($D481,المنتجات!$A$5:$A$24,0)),"كود غير موجود"))</f>
        <v/>
      </c>
      <c r="F481" s="28" t="str">
        <f aca="false">IF($D481="","",IFERROR(INDEX(المنتجات!$B$5:$B$24,MATCH($D481,المنتجات!$A$5:$A$24,0)),""))</f>
        <v/>
      </c>
      <c r="G481" s="24"/>
      <c r="H481" s="25" t="str">
        <f aca="false">IF($D481="","",IFERROR(INDEX(المنتجات!$F$5:$F$24,MATCH($D481,المنتجات!$A$5:$A$24,0)),0))</f>
        <v/>
      </c>
      <c r="I481" s="30"/>
      <c r="J481" s="25" t="str">
        <f aca="false">IF($D481="","",N(G481)*H481-N(I481))</f>
        <v/>
      </c>
      <c r="K481" s="25" t="str">
        <f aca="false">IF($D481="","",N(G481)*IFERROR(INDEX(المنتجات!$H$5:$H$24,MATCH($D481,المنتجات!$A$5:$A$24,0)),0))</f>
        <v/>
      </c>
      <c r="L481" s="25" t="str">
        <f aca="false">IF($D481="","",J481-K481)</f>
        <v/>
      </c>
      <c r="M481" s="29"/>
      <c r="N481" s="29"/>
    </row>
    <row r="482" customFormat="false" ht="15" hidden="false" customHeight="false" outlineLevel="0" collapsed="false">
      <c r="A482" s="32"/>
      <c r="B482" s="29"/>
      <c r="C482" s="29"/>
      <c r="D482" s="29"/>
      <c r="E482" s="28" t="str">
        <f aca="false">IF($D482="","",IFERROR(INDEX(المنتجات!$C$5:$C$24,MATCH($D482,المنتجات!$A$5:$A$24,0)),"كود غير موجود"))</f>
        <v/>
      </c>
      <c r="F482" s="28" t="str">
        <f aca="false">IF($D482="","",IFERROR(INDEX(المنتجات!$B$5:$B$24,MATCH($D482,المنتجات!$A$5:$A$24,0)),""))</f>
        <v/>
      </c>
      <c r="G482" s="24"/>
      <c r="H482" s="25" t="str">
        <f aca="false">IF($D482="","",IFERROR(INDEX(المنتجات!$F$5:$F$24,MATCH($D482,المنتجات!$A$5:$A$24,0)),0))</f>
        <v/>
      </c>
      <c r="I482" s="30"/>
      <c r="J482" s="25" t="str">
        <f aca="false">IF($D482="","",N(G482)*H482-N(I482))</f>
        <v/>
      </c>
      <c r="K482" s="25" t="str">
        <f aca="false">IF($D482="","",N(G482)*IFERROR(INDEX(المنتجات!$H$5:$H$24,MATCH($D482,المنتجات!$A$5:$A$24,0)),0))</f>
        <v/>
      </c>
      <c r="L482" s="25" t="str">
        <f aca="false">IF($D482="","",J482-K482)</f>
        <v/>
      </c>
      <c r="M482" s="29"/>
      <c r="N482" s="29"/>
    </row>
    <row r="483" customFormat="false" ht="15" hidden="false" customHeight="false" outlineLevel="0" collapsed="false">
      <c r="A483" s="32"/>
      <c r="B483" s="29"/>
      <c r="C483" s="29"/>
      <c r="D483" s="29"/>
      <c r="E483" s="28" t="str">
        <f aca="false">IF($D483="","",IFERROR(INDEX(المنتجات!$C$5:$C$24,MATCH($D483,المنتجات!$A$5:$A$24,0)),"كود غير موجود"))</f>
        <v/>
      </c>
      <c r="F483" s="28" t="str">
        <f aca="false">IF($D483="","",IFERROR(INDEX(المنتجات!$B$5:$B$24,MATCH($D483,المنتجات!$A$5:$A$24,0)),""))</f>
        <v/>
      </c>
      <c r="G483" s="24"/>
      <c r="H483" s="25" t="str">
        <f aca="false">IF($D483="","",IFERROR(INDEX(المنتجات!$F$5:$F$24,MATCH($D483,المنتجات!$A$5:$A$24,0)),0))</f>
        <v/>
      </c>
      <c r="I483" s="30"/>
      <c r="J483" s="25" t="str">
        <f aca="false">IF($D483="","",N(G483)*H483-N(I483))</f>
        <v/>
      </c>
      <c r="K483" s="25" t="str">
        <f aca="false">IF($D483="","",N(G483)*IFERROR(INDEX(المنتجات!$H$5:$H$24,MATCH($D483,المنتجات!$A$5:$A$24,0)),0))</f>
        <v/>
      </c>
      <c r="L483" s="25" t="str">
        <f aca="false">IF($D483="","",J483-K483)</f>
        <v/>
      </c>
      <c r="M483" s="29"/>
      <c r="N483" s="29"/>
    </row>
    <row r="484" customFormat="false" ht="15" hidden="false" customHeight="false" outlineLevel="0" collapsed="false">
      <c r="A484" s="32"/>
      <c r="B484" s="29"/>
      <c r="C484" s="29"/>
      <c r="D484" s="29"/>
      <c r="E484" s="28" t="str">
        <f aca="false">IF($D484="","",IFERROR(INDEX(المنتجات!$C$5:$C$24,MATCH($D484,المنتجات!$A$5:$A$24,0)),"كود غير موجود"))</f>
        <v/>
      </c>
      <c r="F484" s="28" t="str">
        <f aca="false">IF($D484="","",IFERROR(INDEX(المنتجات!$B$5:$B$24,MATCH($D484,المنتجات!$A$5:$A$24,0)),""))</f>
        <v/>
      </c>
      <c r="G484" s="24"/>
      <c r="H484" s="25" t="str">
        <f aca="false">IF($D484="","",IFERROR(INDEX(المنتجات!$F$5:$F$24,MATCH($D484,المنتجات!$A$5:$A$24,0)),0))</f>
        <v/>
      </c>
      <c r="I484" s="30"/>
      <c r="J484" s="25" t="str">
        <f aca="false">IF($D484="","",N(G484)*H484-N(I484))</f>
        <v/>
      </c>
      <c r="K484" s="25" t="str">
        <f aca="false">IF($D484="","",N(G484)*IFERROR(INDEX(المنتجات!$H$5:$H$24,MATCH($D484,المنتجات!$A$5:$A$24,0)),0))</f>
        <v/>
      </c>
      <c r="L484" s="25" t="str">
        <f aca="false">IF($D484="","",J484-K484)</f>
        <v/>
      </c>
      <c r="M484" s="29"/>
      <c r="N484" s="29"/>
    </row>
    <row r="485" customFormat="false" ht="15" hidden="false" customHeight="false" outlineLevel="0" collapsed="false">
      <c r="A485" s="32"/>
      <c r="B485" s="29"/>
      <c r="C485" s="29"/>
      <c r="D485" s="29"/>
      <c r="E485" s="28" t="str">
        <f aca="false">IF($D485="","",IFERROR(INDEX(المنتجات!$C$5:$C$24,MATCH($D485,المنتجات!$A$5:$A$24,0)),"كود غير موجود"))</f>
        <v/>
      </c>
      <c r="F485" s="28" t="str">
        <f aca="false">IF($D485="","",IFERROR(INDEX(المنتجات!$B$5:$B$24,MATCH($D485,المنتجات!$A$5:$A$24,0)),""))</f>
        <v/>
      </c>
      <c r="G485" s="24"/>
      <c r="H485" s="25" t="str">
        <f aca="false">IF($D485="","",IFERROR(INDEX(المنتجات!$F$5:$F$24,MATCH($D485,المنتجات!$A$5:$A$24,0)),0))</f>
        <v/>
      </c>
      <c r="I485" s="30"/>
      <c r="J485" s="25" t="str">
        <f aca="false">IF($D485="","",N(G485)*H485-N(I485))</f>
        <v/>
      </c>
      <c r="K485" s="25" t="str">
        <f aca="false">IF($D485="","",N(G485)*IFERROR(INDEX(المنتجات!$H$5:$H$24,MATCH($D485,المنتجات!$A$5:$A$24,0)),0))</f>
        <v/>
      </c>
      <c r="L485" s="25" t="str">
        <f aca="false">IF($D485="","",J485-K485)</f>
        <v/>
      </c>
      <c r="M485" s="29"/>
      <c r="N485" s="29"/>
    </row>
    <row r="486" customFormat="false" ht="15" hidden="false" customHeight="false" outlineLevel="0" collapsed="false">
      <c r="A486" s="32"/>
      <c r="B486" s="29"/>
      <c r="C486" s="29"/>
      <c r="D486" s="29"/>
      <c r="E486" s="28" t="str">
        <f aca="false">IF($D486="","",IFERROR(INDEX(المنتجات!$C$5:$C$24,MATCH($D486,المنتجات!$A$5:$A$24,0)),"كود غير موجود"))</f>
        <v/>
      </c>
      <c r="F486" s="28" t="str">
        <f aca="false">IF($D486="","",IFERROR(INDEX(المنتجات!$B$5:$B$24,MATCH($D486,المنتجات!$A$5:$A$24,0)),""))</f>
        <v/>
      </c>
      <c r="G486" s="24"/>
      <c r="H486" s="25" t="str">
        <f aca="false">IF($D486="","",IFERROR(INDEX(المنتجات!$F$5:$F$24,MATCH($D486,المنتجات!$A$5:$A$24,0)),0))</f>
        <v/>
      </c>
      <c r="I486" s="30"/>
      <c r="J486" s="25" t="str">
        <f aca="false">IF($D486="","",N(G486)*H486-N(I486))</f>
        <v/>
      </c>
      <c r="K486" s="25" t="str">
        <f aca="false">IF($D486="","",N(G486)*IFERROR(INDEX(المنتجات!$H$5:$H$24,MATCH($D486,المنتجات!$A$5:$A$24,0)),0))</f>
        <v/>
      </c>
      <c r="L486" s="25" t="str">
        <f aca="false">IF($D486="","",J486-K486)</f>
        <v/>
      </c>
      <c r="M486" s="29"/>
      <c r="N486" s="29"/>
    </row>
    <row r="487" customFormat="false" ht="15" hidden="false" customHeight="false" outlineLevel="0" collapsed="false">
      <c r="A487" s="32"/>
      <c r="B487" s="29"/>
      <c r="C487" s="29"/>
      <c r="D487" s="29"/>
      <c r="E487" s="28" t="str">
        <f aca="false">IF($D487="","",IFERROR(INDEX(المنتجات!$C$5:$C$24,MATCH($D487,المنتجات!$A$5:$A$24,0)),"كود غير موجود"))</f>
        <v/>
      </c>
      <c r="F487" s="28" t="str">
        <f aca="false">IF($D487="","",IFERROR(INDEX(المنتجات!$B$5:$B$24,MATCH($D487,المنتجات!$A$5:$A$24,0)),""))</f>
        <v/>
      </c>
      <c r="G487" s="24"/>
      <c r="H487" s="25" t="str">
        <f aca="false">IF($D487="","",IFERROR(INDEX(المنتجات!$F$5:$F$24,MATCH($D487,المنتجات!$A$5:$A$24,0)),0))</f>
        <v/>
      </c>
      <c r="I487" s="30"/>
      <c r="J487" s="25" t="str">
        <f aca="false">IF($D487="","",N(G487)*H487-N(I487))</f>
        <v/>
      </c>
      <c r="K487" s="25" t="str">
        <f aca="false">IF($D487="","",N(G487)*IFERROR(INDEX(المنتجات!$H$5:$H$24,MATCH($D487,المنتجات!$A$5:$A$24,0)),0))</f>
        <v/>
      </c>
      <c r="L487" s="25" t="str">
        <f aca="false">IF($D487="","",J487-K487)</f>
        <v/>
      </c>
      <c r="M487" s="29"/>
      <c r="N487" s="29"/>
    </row>
    <row r="488" customFormat="false" ht="15" hidden="false" customHeight="false" outlineLevel="0" collapsed="false">
      <c r="A488" s="32"/>
      <c r="B488" s="29"/>
      <c r="C488" s="29"/>
      <c r="D488" s="29"/>
      <c r="E488" s="28" t="str">
        <f aca="false">IF($D488="","",IFERROR(INDEX(المنتجات!$C$5:$C$24,MATCH($D488,المنتجات!$A$5:$A$24,0)),"كود غير موجود"))</f>
        <v/>
      </c>
      <c r="F488" s="28" t="str">
        <f aca="false">IF($D488="","",IFERROR(INDEX(المنتجات!$B$5:$B$24,MATCH($D488,المنتجات!$A$5:$A$24,0)),""))</f>
        <v/>
      </c>
      <c r="G488" s="24"/>
      <c r="H488" s="25" t="str">
        <f aca="false">IF($D488="","",IFERROR(INDEX(المنتجات!$F$5:$F$24,MATCH($D488,المنتجات!$A$5:$A$24,0)),0))</f>
        <v/>
      </c>
      <c r="I488" s="30"/>
      <c r="J488" s="25" t="str">
        <f aca="false">IF($D488="","",N(G488)*H488-N(I488))</f>
        <v/>
      </c>
      <c r="K488" s="25" t="str">
        <f aca="false">IF($D488="","",N(G488)*IFERROR(INDEX(المنتجات!$H$5:$H$24,MATCH($D488,المنتجات!$A$5:$A$24,0)),0))</f>
        <v/>
      </c>
      <c r="L488" s="25" t="str">
        <f aca="false">IF($D488="","",J488-K488)</f>
        <v/>
      </c>
      <c r="M488" s="29"/>
      <c r="N488" s="29"/>
    </row>
    <row r="489" customFormat="false" ht="15" hidden="false" customHeight="false" outlineLevel="0" collapsed="false">
      <c r="A489" s="32"/>
      <c r="B489" s="29"/>
      <c r="C489" s="29"/>
      <c r="D489" s="29"/>
      <c r="E489" s="28" t="str">
        <f aca="false">IF($D489="","",IFERROR(INDEX(المنتجات!$C$5:$C$24,MATCH($D489,المنتجات!$A$5:$A$24,0)),"كود غير موجود"))</f>
        <v/>
      </c>
      <c r="F489" s="28" t="str">
        <f aca="false">IF($D489="","",IFERROR(INDEX(المنتجات!$B$5:$B$24,MATCH($D489,المنتجات!$A$5:$A$24,0)),""))</f>
        <v/>
      </c>
      <c r="G489" s="24"/>
      <c r="H489" s="25" t="str">
        <f aca="false">IF($D489="","",IFERROR(INDEX(المنتجات!$F$5:$F$24,MATCH($D489,المنتجات!$A$5:$A$24,0)),0))</f>
        <v/>
      </c>
      <c r="I489" s="30"/>
      <c r="J489" s="25" t="str">
        <f aca="false">IF($D489="","",N(G489)*H489-N(I489))</f>
        <v/>
      </c>
      <c r="K489" s="25" t="str">
        <f aca="false">IF($D489="","",N(G489)*IFERROR(INDEX(المنتجات!$H$5:$H$24,MATCH($D489,المنتجات!$A$5:$A$24,0)),0))</f>
        <v/>
      </c>
      <c r="L489" s="25" t="str">
        <f aca="false">IF($D489="","",J489-K489)</f>
        <v/>
      </c>
      <c r="M489" s="29"/>
      <c r="N489" s="29"/>
    </row>
    <row r="490" customFormat="false" ht="15" hidden="false" customHeight="false" outlineLevel="0" collapsed="false">
      <c r="A490" s="32"/>
      <c r="B490" s="29"/>
      <c r="C490" s="29"/>
      <c r="D490" s="29"/>
      <c r="E490" s="28" t="str">
        <f aca="false">IF($D490="","",IFERROR(INDEX(المنتجات!$C$5:$C$24,MATCH($D490,المنتجات!$A$5:$A$24,0)),"كود غير موجود"))</f>
        <v/>
      </c>
      <c r="F490" s="28" t="str">
        <f aca="false">IF($D490="","",IFERROR(INDEX(المنتجات!$B$5:$B$24,MATCH($D490,المنتجات!$A$5:$A$24,0)),""))</f>
        <v/>
      </c>
      <c r="G490" s="24"/>
      <c r="H490" s="25" t="str">
        <f aca="false">IF($D490="","",IFERROR(INDEX(المنتجات!$F$5:$F$24,MATCH($D490,المنتجات!$A$5:$A$24,0)),0))</f>
        <v/>
      </c>
      <c r="I490" s="30"/>
      <c r="J490" s="25" t="str">
        <f aca="false">IF($D490="","",N(G490)*H490-N(I490))</f>
        <v/>
      </c>
      <c r="K490" s="25" t="str">
        <f aca="false">IF($D490="","",N(G490)*IFERROR(INDEX(المنتجات!$H$5:$H$24,MATCH($D490,المنتجات!$A$5:$A$24,0)),0))</f>
        <v/>
      </c>
      <c r="L490" s="25" t="str">
        <f aca="false">IF($D490="","",J490-K490)</f>
        <v/>
      </c>
      <c r="M490" s="29"/>
      <c r="N490" s="29"/>
    </row>
    <row r="491" customFormat="false" ht="15" hidden="false" customHeight="false" outlineLevel="0" collapsed="false">
      <c r="A491" s="32"/>
      <c r="B491" s="29"/>
      <c r="C491" s="29"/>
      <c r="D491" s="29"/>
      <c r="E491" s="28" t="str">
        <f aca="false">IF($D491="","",IFERROR(INDEX(المنتجات!$C$5:$C$24,MATCH($D491,المنتجات!$A$5:$A$24,0)),"كود غير موجود"))</f>
        <v/>
      </c>
      <c r="F491" s="28" t="str">
        <f aca="false">IF($D491="","",IFERROR(INDEX(المنتجات!$B$5:$B$24,MATCH($D491,المنتجات!$A$5:$A$24,0)),""))</f>
        <v/>
      </c>
      <c r="G491" s="24"/>
      <c r="H491" s="25" t="str">
        <f aca="false">IF($D491="","",IFERROR(INDEX(المنتجات!$F$5:$F$24,MATCH($D491,المنتجات!$A$5:$A$24,0)),0))</f>
        <v/>
      </c>
      <c r="I491" s="30"/>
      <c r="J491" s="25" t="str">
        <f aca="false">IF($D491="","",N(G491)*H491-N(I491))</f>
        <v/>
      </c>
      <c r="K491" s="25" t="str">
        <f aca="false">IF($D491="","",N(G491)*IFERROR(INDEX(المنتجات!$H$5:$H$24,MATCH($D491,المنتجات!$A$5:$A$24,0)),0))</f>
        <v/>
      </c>
      <c r="L491" s="25" t="str">
        <f aca="false">IF($D491="","",J491-K491)</f>
        <v/>
      </c>
      <c r="M491" s="29"/>
      <c r="N491" s="29"/>
    </row>
    <row r="492" customFormat="false" ht="15" hidden="false" customHeight="false" outlineLevel="0" collapsed="false">
      <c r="A492" s="32"/>
      <c r="B492" s="29"/>
      <c r="C492" s="29"/>
      <c r="D492" s="29"/>
      <c r="E492" s="28" t="str">
        <f aca="false">IF($D492="","",IFERROR(INDEX(المنتجات!$C$5:$C$24,MATCH($D492,المنتجات!$A$5:$A$24,0)),"كود غير موجود"))</f>
        <v/>
      </c>
      <c r="F492" s="28" t="str">
        <f aca="false">IF($D492="","",IFERROR(INDEX(المنتجات!$B$5:$B$24,MATCH($D492,المنتجات!$A$5:$A$24,0)),""))</f>
        <v/>
      </c>
      <c r="G492" s="24"/>
      <c r="H492" s="25" t="str">
        <f aca="false">IF($D492="","",IFERROR(INDEX(المنتجات!$F$5:$F$24,MATCH($D492,المنتجات!$A$5:$A$24,0)),0))</f>
        <v/>
      </c>
      <c r="I492" s="30"/>
      <c r="J492" s="25" t="str">
        <f aca="false">IF($D492="","",N(G492)*H492-N(I492))</f>
        <v/>
      </c>
      <c r="K492" s="25" t="str">
        <f aca="false">IF($D492="","",N(G492)*IFERROR(INDEX(المنتجات!$H$5:$H$24,MATCH($D492,المنتجات!$A$5:$A$24,0)),0))</f>
        <v/>
      </c>
      <c r="L492" s="25" t="str">
        <f aca="false">IF($D492="","",J492-K492)</f>
        <v/>
      </c>
      <c r="M492" s="29"/>
      <c r="N492" s="29"/>
    </row>
    <row r="493" customFormat="false" ht="15" hidden="false" customHeight="false" outlineLevel="0" collapsed="false">
      <c r="A493" s="32"/>
      <c r="B493" s="29"/>
      <c r="C493" s="29"/>
      <c r="D493" s="29"/>
      <c r="E493" s="28" t="str">
        <f aca="false">IF($D493="","",IFERROR(INDEX(المنتجات!$C$5:$C$24,MATCH($D493,المنتجات!$A$5:$A$24,0)),"كود غير موجود"))</f>
        <v/>
      </c>
      <c r="F493" s="28" t="str">
        <f aca="false">IF($D493="","",IFERROR(INDEX(المنتجات!$B$5:$B$24,MATCH($D493,المنتجات!$A$5:$A$24,0)),""))</f>
        <v/>
      </c>
      <c r="G493" s="24"/>
      <c r="H493" s="25" t="str">
        <f aca="false">IF($D493="","",IFERROR(INDEX(المنتجات!$F$5:$F$24,MATCH($D493,المنتجات!$A$5:$A$24,0)),0))</f>
        <v/>
      </c>
      <c r="I493" s="30"/>
      <c r="J493" s="25" t="str">
        <f aca="false">IF($D493="","",N(G493)*H493-N(I493))</f>
        <v/>
      </c>
      <c r="K493" s="25" t="str">
        <f aca="false">IF($D493="","",N(G493)*IFERROR(INDEX(المنتجات!$H$5:$H$24,MATCH($D493,المنتجات!$A$5:$A$24,0)),0))</f>
        <v/>
      </c>
      <c r="L493" s="25" t="str">
        <f aca="false">IF($D493="","",J493-K493)</f>
        <v/>
      </c>
      <c r="M493" s="29"/>
      <c r="N493" s="29"/>
    </row>
    <row r="494" customFormat="false" ht="15" hidden="false" customHeight="false" outlineLevel="0" collapsed="false">
      <c r="A494" s="32"/>
      <c r="B494" s="29"/>
      <c r="C494" s="29"/>
      <c r="D494" s="29"/>
      <c r="E494" s="28" t="str">
        <f aca="false">IF($D494="","",IFERROR(INDEX(المنتجات!$C$5:$C$24,MATCH($D494,المنتجات!$A$5:$A$24,0)),"كود غير موجود"))</f>
        <v/>
      </c>
      <c r="F494" s="28" t="str">
        <f aca="false">IF($D494="","",IFERROR(INDEX(المنتجات!$B$5:$B$24,MATCH($D494,المنتجات!$A$5:$A$24,0)),""))</f>
        <v/>
      </c>
      <c r="G494" s="24"/>
      <c r="H494" s="25" t="str">
        <f aca="false">IF($D494="","",IFERROR(INDEX(المنتجات!$F$5:$F$24,MATCH($D494,المنتجات!$A$5:$A$24,0)),0))</f>
        <v/>
      </c>
      <c r="I494" s="30"/>
      <c r="J494" s="25" t="str">
        <f aca="false">IF($D494="","",N(G494)*H494-N(I494))</f>
        <v/>
      </c>
      <c r="K494" s="25" t="str">
        <f aca="false">IF($D494="","",N(G494)*IFERROR(INDEX(المنتجات!$H$5:$H$24,MATCH($D494,المنتجات!$A$5:$A$24,0)),0))</f>
        <v/>
      </c>
      <c r="L494" s="25" t="str">
        <f aca="false">IF($D494="","",J494-K494)</f>
        <v/>
      </c>
      <c r="M494" s="29"/>
      <c r="N494" s="29"/>
    </row>
    <row r="495" customFormat="false" ht="15" hidden="false" customHeight="false" outlineLevel="0" collapsed="false">
      <c r="A495" s="32"/>
      <c r="B495" s="29"/>
      <c r="C495" s="29"/>
      <c r="D495" s="29"/>
      <c r="E495" s="28" t="str">
        <f aca="false">IF($D495="","",IFERROR(INDEX(المنتجات!$C$5:$C$24,MATCH($D495,المنتجات!$A$5:$A$24,0)),"كود غير موجود"))</f>
        <v/>
      </c>
      <c r="F495" s="28" t="str">
        <f aca="false">IF($D495="","",IFERROR(INDEX(المنتجات!$B$5:$B$24,MATCH($D495,المنتجات!$A$5:$A$24,0)),""))</f>
        <v/>
      </c>
      <c r="G495" s="24"/>
      <c r="H495" s="25" t="str">
        <f aca="false">IF($D495="","",IFERROR(INDEX(المنتجات!$F$5:$F$24,MATCH($D495,المنتجات!$A$5:$A$24,0)),0))</f>
        <v/>
      </c>
      <c r="I495" s="30"/>
      <c r="J495" s="25" t="str">
        <f aca="false">IF($D495="","",N(G495)*H495-N(I495))</f>
        <v/>
      </c>
      <c r="K495" s="25" t="str">
        <f aca="false">IF($D495="","",N(G495)*IFERROR(INDEX(المنتجات!$H$5:$H$24,MATCH($D495,المنتجات!$A$5:$A$24,0)),0))</f>
        <v/>
      </c>
      <c r="L495" s="25" t="str">
        <f aca="false">IF($D495="","",J495-K495)</f>
        <v/>
      </c>
      <c r="M495" s="29"/>
      <c r="N495" s="29"/>
    </row>
    <row r="496" customFormat="false" ht="15" hidden="false" customHeight="false" outlineLevel="0" collapsed="false">
      <c r="A496" s="32"/>
      <c r="B496" s="29"/>
      <c r="C496" s="29"/>
      <c r="D496" s="29"/>
      <c r="E496" s="28" t="str">
        <f aca="false">IF($D496="","",IFERROR(INDEX(المنتجات!$C$5:$C$24,MATCH($D496,المنتجات!$A$5:$A$24,0)),"كود غير موجود"))</f>
        <v/>
      </c>
      <c r="F496" s="28" t="str">
        <f aca="false">IF($D496="","",IFERROR(INDEX(المنتجات!$B$5:$B$24,MATCH($D496,المنتجات!$A$5:$A$24,0)),""))</f>
        <v/>
      </c>
      <c r="G496" s="24"/>
      <c r="H496" s="25" t="str">
        <f aca="false">IF($D496="","",IFERROR(INDEX(المنتجات!$F$5:$F$24,MATCH($D496,المنتجات!$A$5:$A$24,0)),0))</f>
        <v/>
      </c>
      <c r="I496" s="30"/>
      <c r="J496" s="25" t="str">
        <f aca="false">IF($D496="","",N(G496)*H496-N(I496))</f>
        <v/>
      </c>
      <c r="K496" s="25" t="str">
        <f aca="false">IF($D496="","",N(G496)*IFERROR(INDEX(المنتجات!$H$5:$H$24,MATCH($D496,المنتجات!$A$5:$A$24,0)),0))</f>
        <v/>
      </c>
      <c r="L496" s="25" t="str">
        <f aca="false">IF($D496="","",J496-K496)</f>
        <v/>
      </c>
      <c r="M496" s="29"/>
      <c r="N496" s="29"/>
    </row>
    <row r="497" customFormat="false" ht="15" hidden="false" customHeight="false" outlineLevel="0" collapsed="false">
      <c r="A497" s="32"/>
      <c r="B497" s="29"/>
      <c r="C497" s="29"/>
      <c r="D497" s="29"/>
      <c r="E497" s="28" t="str">
        <f aca="false">IF($D497="","",IFERROR(INDEX(المنتجات!$C$5:$C$24,MATCH($D497,المنتجات!$A$5:$A$24,0)),"كود غير موجود"))</f>
        <v/>
      </c>
      <c r="F497" s="28" t="str">
        <f aca="false">IF($D497="","",IFERROR(INDEX(المنتجات!$B$5:$B$24,MATCH($D497,المنتجات!$A$5:$A$24,0)),""))</f>
        <v/>
      </c>
      <c r="G497" s="24"/>
      <c r="H497" s="25" t="str">
        <f aca="false">IF($D497="","",IFERROR(INDEX(المنتجات!$F$5:$F$24,MATCH($D497,المنتجات!$A$5:$A$24,0)),0))</f>
        <v/>
      </c>
      <c r="I497" s="30"/>
      <c r="J497" s="25" t="str">
        <f aca="false">IF($D497="","",N(G497)*H497-N(I497))</f>
        <v/>
      </c>
      <c r="K497" s="25" t="str">
        <f aca="false">IF($D497="","",N(G497)*IFERROR(INDEX(المنتجات!$H$5:$H$24,MATCH($D497,المنتجات!$A$5:$A$24,0)),0))</f>
        <v/>
      </c>
      <c r="L497" s="25" t="str">
        <f aca="false">IF($D497="","",J497-K497)</f>
        <v/>
      </c>
      <c r="M497" s="29"/>
      <c r="N497" s="29"/>
    </row>
    <row r="498" customFormat="false" ht="15" hidden="false" customHeight="false" outlineLevel="0" collapsed="false">
      <c r="A498" s="32"/>
      <c r="B498" s="29"/>
      <c r="C498" s="29"/>
      <c r="D498" s="29"/>
      <c r="E498" s="28" t="str">
        <f aca="false">IF($D498="","",IFERROR(INDEX(المنتجات!$C$5:$C$24,MATCH($D498,المنتجات!$A$5:$A$24,0)),"كود غير موجود"))</f>
        <v/>
      </c>
      <c r="F498" s="28" t="str">
        <f aca="false">IF($D498="","",IFERROR(INDEX(المنتجات!$B$5:$B$24,MATCH($D498,المنتجات!$A$5:$A$24,0)),""))</f>
        <v/>
      </c>
      <c r="G498" s="24"/>
      <c r="H498" s="25" t="str">
        <f aca="false">IF($D498="","",IFERROR(INDEX(المنتجات!$F$5:$F$24,MATCH($D498,المنتجات!$A$5:$A$24,0)),0))</f>
        <v/>
      </c>
      <c r="I498" s="30"/>
      <c r="J498" s="25" t="str">
        <f aca="false">IF($D498="","",N(G498)*H498-N(I498))</f>
        <v/>
      </c>
      <c r="K498" s="25" t="str">
        <f aca="false">IF($D498="","",N(G498)*IFERROR(INDEX(المنتجات!$H$5:$H$24,MATCH($D498,المنتجات!$A$5:$A$24,0)),0))</f>
        <v/>
      </c>
      <c r="L498" s="25" t="str">
        <f aca="false">IF($D498="","",J498-K498)</f>
        <v/>
      </c>
      <c r="M498" s="29"/>
      <c r="N498" s="29"/>
    </row>
    <row r="499" customFormat="false" ht="15" hidden="false" customHeight="false" outlineLevel="0" collapsed="false">
      <c r="A499" s="32"/>
      <c r="B499" s="29"/>
      <c r="C499" s="29"/>
      <c r="D499" s="29"/>
      <c r="E499" s="28" t="str">
        <f aca="false">IF($D499="","",IFERROR(INDEX(المنتجات!$C$5:$C$24,MATCH($D499,المنتجات!$A$5:$A$24,0)),"كود غير موجود"))</f>
        <v/>
      </c>
      <c r="F499" s="28" t="str">
        <f aca="false">IF($D499="","",IFERROR(INDEX(المنتجات!$B$5:$B$24,MATCH($D499,المنتجات!$A$5:$A$24,0)),""))</f>
        <v/>
      </c>
      <c r="G499" s="24"/>
      <c r="H499" s="25" t="str">
        <f aca="false">IF($D499="","",IFERROR(INDEX(المنتجات!$F$5:$F$24,MATCH($D499,المنتجات!$A$5:$A$24,0)),0))</f>
        <v/>
      </c>
      <c r="I499" s="30"/>
      <c r="J499" s="25" t="str">
        <f aca="false">IF($D499="","",N(G499)*H499-N(I499))</f>
        <v/>
      </c>
      <c r="K499" s="25" t="str">
        <f aca="false">IF($D499="","",N(G499)*IFERROR(INDEX(المنتجات!$H$5:$H$24,MATCH($D499,المنتجات!$A$5:$A$24,0)),0))</f>
        <v/>
      </c>
      <c r="L499" s="25" t="str">
        <f aca="false">IF($D499="","",J499-K499)</f>
        <v/>
      </c>
      <c r="M499" s="29"/>
      <c r="N499" s="29"/>
    </row>
    <row r="500" customFormat="false" ht="15" hidden="false" customHeight="false" outlineLevel="0" collapsed="false">
      <c r="A500" s="32"/>
      <c r="B500" s="29"/>
      <c r="C500" s="29"/>
      <c r="D500" s="29"/>
      <c r="E500" s="28" t="str">
        <f aca="false">IF($D500="","",IFERROR(INDEX(المنتجات!$C$5:$C$24,MATCH($D500,المنتجات!$A$5:$A$24,0)),"كود غير موجود"))</f>
        <v/>
      </c>
      <c r="F500" s="28" t="str">
        <f aca="false">IF($D500="","",IFERROR(INDEX(المنتجات!$B$5:$B$24,MATCH($D500,المنتجات!$A$5:$A$24,0)),""))</f>
        <v/>
      </c>
      <c r="G500" s="24"/>
      <c r="H500" s="25" t="str">
        <f aca="false">IF($D500="","",IFERROR(INDEX(المنتجات!$F$5:$F$24,MATCH($D500,المنتجات!$A$5:$A$24,0)),0))</f>
        <v/>
      </c>
      <c r="I500" s="30"/>
      <c r="J500" s="25" t="str">
        <f aca="false">IF($D500="","",N(G500)*H500-N(I500))</f>
        <v/>
      </c>
      <c r="K500" s="25" t="str">
        <f aca="false">IF($D500="","",N(G500)*IFERROR(INDEX(المنتجات!$H$5:$H$24,MATCH($D500,المنتجات!$A$5:$A$24,0)),0))</f>
        <v/>
      </c>
      <c r="L500" s="25" t="str">
        <f aca="false">IF($D500="","",J500-K500)</f>
        <v/>
      </c>
      <c r="M500" s="29"/>
      <c r="N500" s="29"/>
    </row>
    <row r="501" customFormat="false" ht="15" hidden="false" customHeight="false" outlineLevel="0" collapsed="false">
      <c r="A501" s="32"/>
      <c r="B501" s="29"/>
      <c r="C501" s="29"/>
      <c r="D501" s="29"/>
      <c r="E501" s="28" t="str">
        <f aca="false">IF($D501="","",IFERROR(INDEX(المنتجات!$C$5:$C$24,MATCH($D501,المنتجات!$A$5:$A$24,0)),"كود غير موجود"))</f>
        <v/>
      </c>
      <c r="F501" s="28" t="str">
        <f aca="false">IF($D501="","",IFERROR(INDEX(المنتجات!$B$5:$B$24,MATCH($D501,المنتجات!$A$5:$A$24,0)),""))</f>
        <v/>
      </c>
      <c r="G501" s="24"/>
      <c r="H501" s="25" t="str">
        <f aca="false">IF($D501="","",IFERROR(INDEX(المنتجات!$F$5:$F$24,MATCH($D501,المنتجات!$A$5:$A$24,0)),0))</f>
        <v/>
      </c>
      <c r="I501" s="30"/>
      <c r="J501" s="25" t="str">
        <f aca="false">IF($D501="","",N(G501)*H501-N(I501))</f>
        <v/>
      </c>
      <c r="K501" s="25" t="str">
        <f aca="false">IF($D501="","",N(G501)*IFERROR(INDEX(المنتجات!$H$5:$H$24,MATCH($D501,المنتجات!$A$5:$A$24,0)),0))</f>
        <v/>
      </c>
      <c r="L501" s="25" t="str">
        <f aca="false">IF($D501="","",J501-K501)</f>
        <v/>
      </c>
      <c r="M501" s="29"/>
      <c r="N501" s="29"/>
    </row>
    <row r="502" customFormat="false" ht="15" hidden="false" customHeight="false" outlineLevel="0" collapsed="false">
      <c r="A502" s="32"/>
      <c r="B502" s="29"/>
      <c r="C502" s="29"/>
      <c r="D502" s="29"/>
      <c r="E502" s="28" t="str">
        <f aca="false">IF($D502="","",IFERROR(INDEX(المنتجات!$C$5:$C$24,MATCH($D502,المنتجات!$A$5:$A$24,0)),"كود غير موجود"))</f>
        <v/>
      </c>
      <c r="F502" s="28" t="str">
        <f aca="false">IF($D502="","",IFERROR(INDEX(المنتجات!$B$5:$B$24,MATCH($D502,المنتجات!$A$5:$A$24,0)),""))</f>
        <v/>
      </c>
      <c r="G502" s="24"/>
      <c r="H502" s="25" t="str">
        <f aca="false">IF($D502="","",IFERROR(INDEX(المنتجات!$F$5:$F$24,MATCH($D502,المنتجات!$A$5:$A$24,0)),0))</f>
        <v/>
      </c>
      <c r="I502" s="30"/>
      <c r="J502" s="25" t="str">
        <f aca="false">IF($D502="","",N(G502)*H502-N(I502))</f>
        <v/>
      </c>
      <c r="K502" s="25" t="str">
        <f aca="false">IF($D502="","",N(G502)*IFERROR(INDEX(المنتجات!$H$5:$H$24,MATCH($D502,المنتجات!$A$5:$A$24,0)),0))</f>
        <v/>
      </c>
      <c r="L502" s="25" t="str">
        <f aca="false">IF($D502="","",J502-K502)</f>
        <v/>
      </c>
      <c r="M502" s="29"/>
      <c r="N502" s="29"/>
    </row>
    <row r="503" customFormat="false" ht="15" hidden="false" customHeight="false" outlineLevel="0" collapsed="false">
      <c r="A503" s="32"/>
      <c r="B503" s="29"/>
      <c r="C503" s="29"/>
      <c r="D503" s="29"/>
      <c r="E503" s="28" t="str">
        <f aca="false">IF($D503="","",IFERROR(INDEX(المنتجات!$C$5:$C$24,MATCH($D503,المنتجات!$A$5:$A$24,0)),"كود غير موجود"))</f>
        <v/>
      </c>
      <c r="F503" s="28" t="str">
        <f aca="false">IF($D503="","",IFERROR(INDEX(المنتجات!$B$5:$B$24,MATCH($D503,المنتجات!$A$5:$A$24,0)),""))</f>
        <v/>
      </c>
      <c r="G503" s="24"/>
      <c r="H503" s="25" t="str">
        <f aca="false">IF($D503="","",IFERROR(INDEX(المنتجات!$F$5:$F$24,MATCH($D503,المنتجات!$A$5:$A$24,0)),0))</f>
        <v/>
      </c>
      <c r="I503" s="30"/>
      <c r="J503" s="25" t="str">
        <f aca="false">IF($D503="","",N(G503)*H503-N(I503))</f>
        <v/>
      </c>
      <c r="K503" s="25" t="str">
        <f aca="false">IF($D503="","",N(G503)*IFERROR(INDEX(المنتجات!$H$5:$H$24,MATCH($D503,المنتجات!$A$5:$A$24,0)),0))</f>
        <v/>
      </c>
      <c r="L503" s="25" t="str">
        <f aca="false">IF($D503="","",J503-K503)</f>
        <v/>
      </c>
      <c r="M503" s="29"/>
      <c r="N503" s="29"/>
    </row>
    <row r="504" customFormat="false" ht="15" hidden="false" customHeight="false" outlineLevel="0" collapsed="false">
      <c r="A504" s="32"/>
      <c r="B504" s="29"/>
      <c r="C504" s="29"/>
      <c r="D504" s="29"/>
      <c r="E504" s="28" t="str">
        <f aca="false">IF($D504="","",IFERROR(INDEX(المنتجات!$C$5:$C$24,MATCH($D504,المنتجات!$A$5:$A$24,0)),"كود غير موجود"))</f>
        <v/>
      </c>
      <c r="F504" s="28" t="str">
        <f aca="false">IF($D504="","",IFERROR(INDEX(المنتجات!$B$5:$B$24,MATCH($D504,المنتجات!$A$5:$A$24,0)),""))</f>
        <v/>
      </c>
      <c r="G504" s="24"/>
      <c r="H504" s="25" t="str">
        <f aca="false">IF($D504="","",IFERROR(INDEX(المنتجات!$F$5:$F$24,MATCH($D504,المنتجات!$A$5:$A$24,0)),0))</f>
        <v/>
      </c>
      <c r="I504" s="30"/>
      <c r="J504" s="25" t="str">
        <f aca="false">IF($D504="","",N(G504)*H504-N(I504))</f>
        <v/>
      </c>
      <c r="K504" s="25" t="str">
        <f aca="false">IF($D504="","",N(G504)*IFERROR(INDEX(المنتجات!$H$5:$H$24,MATCH($D504,المنتجات!$A$5:$A$24,0)),0))</f>
        <v/>
      </c>
      <c r="L504" s="25" t="str">
        <f aca="false">IF($D504="","",J504-K504)</f>
        <v/>
      </c>
      <c r="M504" s="29"/>
      <c r="N504" s="29"/>
    </row>
    <row r="505" customFormat="false" ht="15" hidden="false" customHeight="false" outlineLevel="0" collapsed="false">
      <c r="A505" s="32"/>
      <c r="B505" s="29"/>
      <c r="C505" s="29"/>
      <c r="D505" s="29"/>
      <c r="E505" s="28" t="str">
        <f aca="false">IF($D505="","",IFERROR(INDEX(المنتجات!$C$5:$C$24,MATCH($D505,المنتجات!$A$5:$A$24,0)),"كود غير موجود"))</f>
        <v/>
      </c>
      <c r="F505" s="28" t="str">
        <f aca="false">IF($D505="","",IFERROR(INDEX(المنتجات!$B$5:$B$24,MATCH($D505,المنتجات!$A$5:$A$24,0)),""))</f>
        <v/>
      </c>
      <c r="G505" s="24"/>
      <c r="H505" s="25" t="str">
        <f aca="false">IF($D505="","",IFERROR(INDEX(المنتجات!$F$5:$F$24,MATCH($D505,المنتجات!$A$5:$A$24,0)),0))</f>
        <v/>
      </c>
      <c r="I505" s="30"/>
      <c r="J505" s="25" t="str">
        <f aca="false">IF($D505="","",N(G505)*H505-N(I505))</f>
        <v/>
      </c>
      <c r="K505" s="25" t="str">
        <f aca="false">IF($D505="","",N(G505)*IFERROR(INDEX(المنتجات!$H$5:$H$24,MATCH($D505,المنتجات!$A$5:$A$24,0)),0))</f>
        <v/>
      </c>
      <c r="L505" s="25" t="str">
        <f aca="false">IF($D505="","",J505-K505)</f>
        <v/>
      </c>
      <c r="M505" s="29"/>
      <c r="N505" s="29"/>
    </row>
    <row r="506" customFormat="false" ht="15" hidden="false" customHeight="false" outlineLevel="0" collapsed="false">
      <c r="A506" s="32"/>
      <c r="B506" s="29"/>
      <c r="C506" s="29"/>
      <c r="D506" s="29"/>
      <c r="E506" s="28" t="str">
        <f aca="false">IF($D506="","",IFERROR(INDEX(المنتجات!$C$5:$C$24,MATCH($D506,المنتجات!$A$5:$A$24,0)),"كود غير موجود"))</f>
        <v/>
      </c>
      <c r="F506" s="28" t="str">
        <f aca="false">IF($D506="","",IFERROR(INDEX(المنتجات!$B$5:$B$24,MATCH($D506,المنتجات!$A$5:$A$24,0)),""))</f>
        <v/>
      </c>
      <c r="G506" s="24"/>
      <c r="H506" s="25" t="str">
        <f aca="false">IF($D506="","",IFERROR(INDEX(المنتجات!$F$5:$F$24,MATCH($D506,المنتجات!$A$5:$A$24,0)),0))</f>
        <v/>
      </c>
      <c r="I506" s="30"/>
      <c r="J506" s="25" t="str">
        <f aca="false">IF($D506="","",N(G506)*H506-N(I506))</f>
        <v/>
      </c>
      <c r="K506" s="25" t="str">
        <f aca="false">IF($D506="","",N(G506)*IFERROR(INDEX(المنتجات!$H$5:$H$24,MATCH($D506,المنتجات!$A$5:$A$24,0)),0))</f>
        <v/>
      </c>
      <c r="L506" s="25" t="str">
        <f aca="false">IF($D506="","",J506-K506)</f>
        <v/>
      </c>
      <c r="M506" s="29"/>
      <c r="N506" s="29"/>
    </row>
    <row r="507" customFormat="false" ht="15" hidden="false" customHeight="false" outlineLevel="0" collapsed="false">
      <c r="A507" s="32"/>
      <c r="B507" s="29"/>
      <c r="C507" s="29"/>
      <c r="D507" s="29"/>
      <c r="E507" s="28" t="str">
        <f aca="false">IF($D507="","",IFERROR(INDEX(المنتجات!$C$5:$C$24,MATCH($D507,المنتجات!$A$5:$A$24,0)),"كود غير موجود"))</f>
        <v/>
      </c>
      <c r="F507" s="28" t="str">
        <f aca="false">IF($D507="","",IFERROR(INDEX(المنتجات!$B$5:$B$24,MATCH($D507,المنتجات!$A$5:$A$24,0)),""))</f>
        <v/>
      </c>
      <c r="G507" s="24"/>
      <c r="H507" s="25" t="str">
        <f aca="false">IF($D507="","",IFERROR(INDEX(المنتجات!$F$5:$F$24,MATCH($D507,المنتجات!$A$5:$A$24,0)),0))</f>
        <v/>
      </c>
      <c r="I507" s="30"/>
      <c r="J507" s="25" t="str">
        <f aca="false">IF($D507="","",N(G507)*H507-N(I507))</f>
        <v/>
      </c>
      <c r="K507" s="25" t="str">
        <f aca="false">IF($D507="","",N(G507)*IFERROR(INDEX(المنتجات!$H$5:$H$24,MATCH($D507,المنتجات!$A$5:$A$24,0)),0))</f>
        <v/>
      </c>
      <c r="L507" s="25" t="str">
        <f aca="false">IF($D507="","",J507-K507)</f>
        <v/>
      </c>
      <c r="M507" s="29"/>
      <c r="N507" s="29"/>
    </row>
    <row r="508" customFormat="false" ht="15" hidden="false" customHeight="false" outlineLevel="0" collapsed="false">
      <c r="A508" s="32"/>
      <c r="B508" s="29"/>
      <c r="C508" s="29"/>
      <c r="D508" s="29"/>
      <c r="E508" s="28" t="str">
        <f aca="false">IF($D508="","",IFERROR(INDEX(المنتجات!$C$5:$C$24,MATCH($D508,المنتجات!$A$5:$A$24,0)),"كود غير موجود"))</f>
        <v/>
      </c>
      <c r="F508" s="28" t="str">
        <f aca="false">IF($D508="","",IFERROR(INDEX(المنتجات!$B$5:$B$24,MATCH($D508,المنتجات!$A$5:$A$24,0)),""))</f>
        <v/>
      </c>
      <c r="G508" s="24"/>
      <c r="H508" s="25" t="str">
        <f aca="false">IF($D508="","",IFERROR(INDEX(المنتجات!$F$5:$F$24,MATCH($D508,المنتجات!$A$5:$A$24,0)),0))</f>
        <v/>
      </c>
      <c r="I508" s="30"/>
      <c r="J508" s="25" t="str">
        <f aca="false">IF($D508="","",N(G508)*H508-N(I508))</f>
        <v/>
      </c>
      <c r="K508" s="25" t="str">
        <f aca="false">IF($D508="","",N(G508)*IFERROR(INDEX(المنتجات!$H$5:$H$24,MATCH($D508,المنتجات!$A$5:$A$24,0)),0))</f>
        <v/>
      </c>
      <c r="L508" s="25" t="str">
        <f aca="false">IF($D508="","",J508-K508)</f>
        <v/>
      </c>
      <c r="M508" s="29"/>
      <c r="N508" s="29"/>
    </row>
    <row r="509" customFormat="false" ht="15" hidden="false" customHeight="false" outlineLevel="0" collapsed="false">
      <c r="A509" s="32"/>
      <c r="B509" s="29"/>
      <c r="C509" s="29"/>
      <c r="D509" s="29"/>
      <c r="E509" s="28" t="str">
        <f aca="false">IF($D509="","",IFERROR(INDEX(المنتجات!$C$5:$C$24,MATCH($D509,المنتجات!$A$5:$A$24,0)),"كود غير موجود"))</f>
        <v/>
      </c>
      <c r="F509" s="28" t="str">
        <f aca="false">IF($D509="","",IFERROR(INDEX(المنتجات!$B$5:$B$24,MATCH($D509,المنتجات!$A$5:$A$24,0)),""))</f>
        <v/>
      </c>
      <c r="G509" s="24"/>
      <c r="H509" s="25" t="str">
        <f aca="false">IF($D509="","",IFERROR(INDEX(المنتجات!$F$5:$F$24,MATCH($D509,المنتجات!$A$5:$A$24,0)),0))</f>
        <v/>
      </c>
      <c r="I509" s="30"/>
      <c r="J509" s="25" t="str">
        <f aca="false">IF($D509="","",N(G509)*H509-N(I509))</f>
        <v/>
      </c>
      <c r="K509" s="25" t="str">
        <f aca="false">IF($D509="","",N(G509)*IFERROR(INDEX(المنتجات!$H$5:$H$24,MATCH($D509,المنتجات!$A$5:$A$24,0)),0))</f>
        <v/>
      </c>
      <c r="L509" s="25" t="str">
        <f aca="false">IF($D509="","",J509-K509)</f>
        <v/>
      </c>
      <c r="M509" s="29"/>
      <c r="N509" s="29"/>
    </row>
    <row r="510" customFormat="false" ht="15" hidden="false" customHeight="false" outlineLevel="0" collapsed="false">
      <c r="A510" s="32"/>
      <c r="B510" s="29"/>
      <c r="C510" s="29"/>
      <c r="D510" s="29"/>
      <c r="E510" s="28" t="str">
        <f aca="false">IF($D510="","",IFERROR(INDEX(المنتجات!$C$5:$C$24,MATCH($D510,المنتجات!$A$5:$A$24,0)),"كود غير موجود"))</f>
        <v/>
      </c>
      <c r="F510" s="28" t="str">
        <f aca="false">IF($D510="","",IFERROR(INDEX(المنتجات!$B$5:$B$24,MATCH($D510,المنتجات!$A$5:$A$24,0)),""))</f>
        <v/>
      </c>
      <c r="G510" s="24"/>
      <c r="H510" s="25" t="str">
        <f aca="false">IF($D510="","",IFERROR(INDEX(المنتجات!$F$5:$F$24,MATCH($D510,المنتجات!$A$5:$A$24,0)),0))</f>
        <v/>
      </c>
      <c r="I510" s="30"/>
      <c r="J510" s="25" t="str">
        <f aca="false">IF($D510="","",N(G510)*H510-N(I510))</f>
        <v/>
      </c>
      <c r="K510" s="25" t="str">
        <f aca="false">IF($D510="","",N(G510)*IFERROR(INDEX(المنتجات!$H$5:$H$24,MATCH($D510,المنتجات!$A$5:$A$24,0)),0))</f>
        <v/>
      </c>
      <c r="L510" s="25" t="str">
        <f aca="false">IF($D510="","",J510-K510)</f>
        <v/>
      </c>
      <c r="M510" s="29"/>
      <c r="N510" s="29"/>
    </row>
    <row r="511" customFormat="false" ht="15" hidden="false" customHeight="false" outlineLevel="0" collapsed="false">
      <c r="A511" s="32"/>
      <c r="B511" s="29"/>
      <c r="C511" s="29"/>
      <c r="D511" s="29"/>
      <c r="E511" s="28" t="str">
        <f aca="false">IF($D511="","",IFERROR(INDEX(المنتجات!$C$5:$C$24,MATCH($D511,المنتجات!$A$5:$A$24,0)),"كود غير موجود"))</f>
        <v/>
      </c>
      <c r="F511" s="28" t="str">
        <f aca="false">IF($D511="","",IFERROR(INDEX(المنتجات!$B$5:$B$24,MATCH($D511,المنتجات!$A$5:$A$24,0)),""))</f>
        <v/>
      </c>
      <c r="G511" s="24"/>
      <c r="H511" s="25" t="str">
        <f aca="false">IF($D511="","",IFERROR(INDEX(المنتجات!$F$5:$F$24,MATCH($D511,المنتجات!$A$5:$A$24,0)),0))</f>
        <v/>
      </c>
      <c r="I511" s="30"/>
      <c r="J511" s="25" t="str">
        <f aca="false">IF($D511="","",N(G511)*H511-N(I511))</f>
        <v/>
      </c>
      <c r="K511" s="25" t="str">
        <f aca="false">IF($D511="","",N(G511)*IFERROR(INDEX(المنتجات!$H$5:$H$24,MATCH($D511,المنتجات!$A$5:$A$24,0)),0))</f>
        <v/>
      </c>
      <c r="L511" s="25" t="str">
        <f aca="false">IF($D511="","",J511-K511)</f>
        <v/>
      </c>
      <c r="M511" s="29"/>
      <c r="N511" s="29"/>
    </row>
    <row r="512" customFormat="false" ht="15" hidden="false" customHeight="false" outlineLevel="0" collapsed="false">
      <c r="A512" s="32"/>
      <c r="B512" s="29"/>
      <c r="C512" s="29"/>
      <c r="D512" s="29"/>
      <c r="E512" s="28" t="str">
        <f aca="false">IF($D512="","",IFERROR(INDEX(المنتجات!$C$5:$C$24,MATCH($D512,المنتجات!$A$5:$A$24,0)),"كود غير موجود"))</f>
        <v/>
      </c>
      <c r="F512" s="28" t="str">
        <f aca="false">IF($D512="","",IFERROR(INDEX(المنتجات!$B$5:$B$24,MATCH($D512,المنتجات!$A$5:$A$24,0)),""))</f>
        <v/>
      </c>
      <c r="G512" s="24"/>
      <c r="H512" s="25" t="str">
        <f aca="false">IF($D512="","",IFERROR(INDEX(المنتجات!$F$5:$F$24,MATCH($D512,المنتجات!$A$5:$A$24,0)),0))</f>
        <v/>
      </c>
      <c r="I512" s="30"/>
      <c r="J512" s="25" t="str">
        <f aca="false">IF($D512="","",N(G512)*H512-N(I512))</f>
        <v/>
      </c>
      <c r="K512" s="25" t="str">
        <f aca="false">IF($D512="","",N(G512)*IFERROR(INDEX(المنتجات!$H$5:$H$24,MATCH($D512,المنتجات!$A$5:$A$24,0)),0))</f>
        <v/>
      </c>
      <c r="L512" s="25" t="str">
        <f aca="false">IF($D512="","",J512-K512)</f>
        <v/>
      </c>
      <c r="M512" s="29"/>
      <c r="N512" s="29"/>
    </row>
    <row r="513" customFormat="false" ht="15" hidden="false" customHeight="false" outlineLevel="0" collapsed="false">
      <c r="A513" s="32"/>
      <c r="B513" s="29"/>
      <c r="C513" s="29"/>
      <c r="D513" s="29"/>
      <c r="E513" s="28" t="str">
        <f aca="false">IF($D513="","",IFERROR(INDEX(المنتجات!$C$5:$C$24,MATCH($D513,المنتجات!$A$5:$A$24,0)),"كود غير موجود"))</f>
        <v/>
      </c>
      <c r="F513" s="28" t="str">
        <f aca="false">IF($D513="","",IFERROR(INDEX(المنتجات!$B$5:$B$24,MATCH($D513,المنتجات!$A$5:$A$24,0)),""))</f>
        <v/>
      </c>
      <c r="G513" s="24"/>
      <c r="H513" s="25" t="str">
        <f aca="false">IF($D513="","",IFERROR(INDEX(المنتجات!$F$5:$F$24,MATCH($D513,المنتجات!$A$5:$A$24,0)),0))</f>
        <v/>
      </c>
      <c r="I513" s="30"/>
      <c r="J513" s="25" t="str">
        <f aca="false">IF($D513="","",N(G513)*H513-N(I513))</f>
        <v/>
      </c>
      <c r="K513" s="25" t="str">
        <f aca="false">IF($D513="","",N(G513)*IFERROR(INDEX(المنتجات!$H$5:$H$24,MATCH($D513,المنتجات!$A$5:$A$24,0)),0))</f>
        <v/>
      </c>
      <c r="L513" s="25" t="str">
        <f aca="false">IF($D513="","",J513-K513)</f>
        <v/>
      </c>
      <c r="M513" s="29"/>
      <c r="N513" s="29"/>
    </row>
    <row r="514" customFormat="false" ht="15" hidden="false" customHeight="false" outlineLevel="0" collapsed="false">
      <c r="A514" s="32"/>
      <c r="B514" s="29"/>
      <c r="C514" s="29"/>
      <c r="D514" s="29"/>
      <c r="E514" s="28" t="str">
        <f aca="false">IF($D514="","",IFERROR(INDEX(المنتجات!$C$5:$C$24,MATCH($D514,المنتجات!$A$5:$A$24,0)),"كود غير موجود"))</f>
        <v/>
      </c>
      <c r="F514" s="28" t="str">
        <f aca="false">IF($D514="","",IFERROR(INDEX(المنتجات!$B$5:$B$24,MATCH($D514,المنتجات!$A$5:$A$24,0)),""))</f>
        <v/>
      </c>
      <c r="G514" s="24"/>
      <c r="H514" s="25" t="str">
        <f aca="false">IF($D514="","",IFERROR(INDEX(المنتجات!$F$5:$F$24,MATCH($D514,المنتجات!$A$5:$A$24,0)),0))</f>
        <v/>
      </c>
      <c r="I514" s="30"/>
      <c r="J514" s="25" t="str">
        <f aca="false">IF($D514="","",N(G514)*H514-N(I514))</f>
        <v/>
      </c>
      <c r="K514" s="25" t="str">
        <f aca="false">IF($D514="","",N(G514)*IFERROR(INDEX(المنتجات!$H$5:$H$24,MATCH($D514,المنتجات!$A$5:$A$24,0)),0))</f>
        <v/>
      </c>
      <c r="L514" s="25" t="str">
        <f aca="false">IF($D514="","",J514-K514)</f>
        <v/>
      </c>
      <c r="M514" s="29"/>
      <c r="N514" s="29"/>
    </row>
    <row r="515" customFormat="false" ht="15" hidden="false" customHeight="false" outlineLevel="0" collapsed="false">
      <c r="A515" s="32"/>
      <c r="B515" s="29"/>
      <c r="C515" s="29"/>
      <c r="D515" s="29"/>
      <c r="E515" s="28" t="str">
        <f aca="false">IF($D515="","",IFERROR(INDEX(المنتجات!$C$5:$C$24,MATCH($D515,المنتجات!$A$5:$A$24,0)),"كود غير موجود"))</f>
        <v/>
      </c>
      <c r="F515" s="28" t="str">
        <f aca="false">IF($D515="","",IFERROR(INDEX(المنتجات!$B$5:$B$24,MATCH($D515,المنتجات!$A$5:$A$24,0)),""))</f>
        <v/>
      </c>
      <c r="G515" s="24"/>
      <c r="H515" s="25" t="str">
        <f aca="false">IF($D515="","",IFERROR(INDEX(المنتجات!$F$5:$F$24,MATCH($D515,المنتجات!$A$5:$A$24,0)),0))</f>
        <v/>
      </c>
      <c r="I515" s="30"/>
      <c r="J515" s="25" t="str">
        <f aca="false">IF($D515="","",N(G515)*H515-N(I515))</f>
        <v/>
      </c>
      <c r="K515" s="25" t="str">
        <f aca="false">IF($D515="","",N(G515)*IFERROR(INDEX(المنتجات!$H$5:$H$24,MATCH($D515,المنتجات!$A$5:$A$24,0)),0))</f>
        <v/>
      </c>
      <c r="L515" s="25" t="str">
        <f aca="false">IF($D515="","",J515-K515)</f>
        <v/>
      </c>
      <c r="M515" s="29"/>
      <c r="N515" s="29"/>
    </row>
    <row r="516" customFormat="false" ht="15" hidden="false" customHeight="false" outlineLevel="0" collapsed="false">
      <c r="A516" s="32"/>
      <c r="B516" s="29"/>
      <c r="C516" s="29"/>
      <c r="D516" s="29"/>
      <c r="E516" s="28" t="str">
        <f aca="false">IF($D516="","",IFERROR(INDEX(المنتجات!$C$5:$C$24,MATCH($D516,المنتجات!$A$5:$A$24,0)),"كود غير موجود"))</f>
        <v/>
      </c>
      <c r="F516" s="28" t="str">
        <f aca="false">IF($D516="","",IFERROR(INDEX(المنتجات!$B$5:$B$24,MATCH($D516,المنتجات!$A$5:$A$24,0)),""))</f>
        <v/>
      </c>
      <c r="G516" s="24"/>
      <c r="H516" s="25" t="str">
        <f aca="false">IF($D516="","",IFERROR(INDEX(المنتجات!$F$5:$F$24,MATCH($D516,المنتجات!$A$5:$A$24,0)),0))</f>
        <v/>
      </c>
      <c r="I516" s="30"/>
      <c r="J516" s="25" t="str">
        <f aca="false">IF($D516="","",N(G516)*H516-N(I516))</f>
        <v/>
      </c>
      <c r="K516" s="25" t="str">
        <f aca="false">IF($D516="","",N(G516)*IFERROR(INDEX(المنتجات!$H$5:$H$24,MATCH($D516,المنتجات!$A$5:$A$24,0)),0))</f>
        <v/>
      </c>
      <c r="L516" s="25" t="str">
        <f aca="false">IF($D516="","",J516-K516)</f>
        <v/>
      </c>
      <c r="M516" s="29"/>
      <c r="N516" s="29"/>
    </row>
    <row r="517" customFormat="false" ht="15" hidden="false" customHeight="false" outlineLevel="0" collapsed="false">
      <c r="A517" s="32"/>
      <c r="B517" s="29"/>
      <c r="C517" s="29"/>
      <c r="D517" s="29"/>
      <c r="E517" s="28" t="str">
        <f aca="false">IF($D517="","",IFERROR(INDEX(المنتجات!$C$5:$C$24,MATCH($D517,المنتجات!$A$5:$A$24,0)),"كود غير موجود"))</f>
        <v/>
      </c>
      <c r="F517" s="28" t="str">
        <f aca="false">IF($D517="","",IFERROR(INDEX(المنتجات!$B$5:$B$24,MATCH($D517,المنتجات!$A$5:$A$24,0)),""))</f>
        <v/>
      </c>
      <c r="G517" s="24"/>
      <c r="H517" s="25" t="str">
        <f aca="false">IF($D517="","",IFERROR(INDEX(المنتجات!$F$5:$F$24,MATCH($D517,المنتجات!$A$5:$A$24,0)),0))</f>
        <v/>
      </c>
      <c r="I517" s="30"/>
      <c r="J517" s="25" t="str">
        <f aca="false">IF($D517="","",N(G517)*H517-N(I517))</f>
        <v/>
      </c>
      <c r="K517" s="25" t="str">
        <f aca="false">IF($D517="","",N(G517)*IFERROR(INDEX(المنتجات!$H$5:$H$24,MATCH($D517,المنتجات!$A$5:$A$24,0)),0))</f>
        <v/>
      </c>
      <c r="L517" s="25" t="str">
        <f aca="false">IF($D517="","",J517-K517)</f>
        <v/>
      </c>
      <c r="M517" s="29"/>
      <c r="N517" s="29"/>
    </row>
    <row r="518" customFormat="false" ht="15" hidden="false" customHeight="false" outlineLevel="0" collapsed="false">
      <c r="A518" s="32"/>
      <c r="B518" s="29"/>
      <c r="C518" s="29"/>
      <c r="D518" s="29"/>
      <c r="E518" s="28" t="str">
        <f aca="false">IF($D518="","",IFERROR(INDEX(المنتجات!$C$5:$C$24,MATCH($D518,المنتجات!$A$5:$A$24,0)),"كود غير موجود"))</f>
        <v/>
      </c>
      <c r="F518" s="28" t="str">
        <f aca="false">IF($D518="","",IFERROR(INDEX(المنتجات!$B$5:$B$24,MATCH($D518,المنتجات!$A$5:$A$24,0)),""))</f>
        <v/>
      </c>
      <c r="G518" s="24"/>
      <c r="H518" s="25" t="str">
        <f aca="false">IF($D518="","",IFERROR(INDEX(المنتجات!$F$5:$F$24,MATCH($D518,المنتجات!$A$5:$A$24,0)),0))</f>
        <v/>
      </c>
      <c r="I518" s="30"/>
      <c r="J518" s="25" t="str">
        <f aca="false">IF($D518="","",N(G518)*H518-N(I518))</f>
        <v/>
      </c>
      <c r="K518" s="25" t="str">
        <f aca="false">IF($D518="","",N(G518)*IFERROR(INDEX(المنتجات!$H$5:$H$24,MATCH($D518,المنتجات!$A$5:$A$24,0)),0))</f>
        <v/>
      </c>
      <c r="L518" s="25" t="str">
        <f aca="false">IF($D518="","",J518-K518)</f>
        <v/>
      </c>
      <c r="M518" s="29"/>
      <c r="N518" s="29"/>
    </row>
    <row r="519" customFormat="false" ht="15" hidden="false" customHeight="false" outlineLevel="0" collapsed="false">
      <c r="A519" s="32"/>
      <c r="B519" s="29"/>
      <c r="C519" s="29"/>
      <c r="D519" s="29"/>
      <c r="E519" s="28" t="str">
        <f aca="false">IF($D519="","",IFERROR(INDEX(المنتجات!$C$5:$C$24,MATCH($D519,المنتجات!$A$5:$A$24,0)),"كود غير موجود"))</f>
        <v/>
      </c>
      <c r="F519" s="28" t="str">
        <f aca="false">IF($D519="","",IFERROR(INDEX(المنتجات!$B$5:$B$24,MATCH($D519,المنتجات!$A$5:$A$24,0)),""))</f>
        <v/>
      </c>
      <c r="G519" s="24"/>
      <c r="H519" s="25" t="str">
        <f aca="false">IF($D519="","",IFERROR(INDEX(المنتجات!$F$5:$F$24,MATCH($D519,المنتجات!$A$5:$A$24,0)),0))</f>
        <v/>
      </c>
      <c r="I519" s="30"/>
      <c r="J519" s="25" t="str">
        <f aca="false">IF($D519="","",N(G519)*H519-N(I519))</f>
        <v/>
      </c>
      <c r="K519" s="25" t="str">
        <f aca="false">IF($D519="","",N(G519)*IFERROR(INDEX(المنتجات!$H$5:$H$24,MATCH($D519,المنتجات!$A$5:$A$24,0)),0))</f>
        <v/>
      </c>
      <c r="L519" s="25" t="str">
        <f aca="false">IF($D519="","",J519-K519)</f>
        <v/>
      </c>
      <c r="M519" s="29"/>
      <c r="N519" s="29"/>
    </row>
    <row r="520" customFormat="false" ht="15" hidden="false" customHeight="false" outlineLevel="0" collapsed="false">
      <c r="A520" s="32"/>
      <c r="B520" s="29"/>
      <c r="C520" s="29"/>
      <c r="D520" s="29"/>
      <c r="E520" s="28" t="str">
        <f aca="false">IF($D520="","",IFERROR(INDEX(المنتجات!$C$5:$C$24,MATCH($D520,المنتجات!$A$5:$A$24,0)),"كود غير موجود"))</f>
        <v/>
      </c>
      <c r="F520" s="28" t="str">
        <f aca="false">IF($D520="","",IFERROR(INDEX(المنتجات!$B$5:$B$24,MATCH($D520,المنتجات!$A$5:$A$24,0)),""))</f>
        <v/>
      </c>
      <c r="G520" s="24"/>
      <c r="H520" s="25" t="str">
        <f aca="false">IF($D520="","",IFERROR(INDEX(المنتجات!$F$5:$F$24,MATCH($D520,المنتجات!$A$5:$A$24,0)),0))</f>
        <v/>
      </c>
      <c r="I520" s="30"/>
      <c r="J520" s="25" t="str">
        <f aca="false">IF($D520="","",N(G520)*H520-N(I520))</f>
        <v/>
      </c>
      <c r="K520" s="25" t="str">
        <f aca="false">IF($D520="","",N(G520)*IFERROR(INDEX(المنتجات!$H$5:$H$24,MATCH($D520,المنتجات!$A$5:$A$24,0)),0))</f>
        <v/>
      </c>
      <c r="L520" s="25" t="str">
        <f aca="false">IF($D520="","",J520-K520)</f>
        <v/>
      </c>
      <c r="M520" s="29"/>
      <c r="N520" s="29"/>
    </row>
    <row r="521" customFormat="false" ht="15" hidden="false" customHeight="false" outlineLevel="0" collapsed="false">
      <c r="A521" s="32"/>
      <c r="B521" s="29"/>
      <c r="C521" s="29"/>
      <c r="D521" s="29"/>
      <c r="E521" s="28" t="str">
        <f aca="false">IF($D521="","",IFERROR(INDEX(المنتجات!$C$5:$C$24,MATCH($D521,المنتجات!$A$5:$A$24,0)),"كود غير موجود"))</f>
        <v/>
      </c>
      <c r="F521" s="28" t="str">
        <f aca="false">IF($D521="","",IFERROR(INDEX(المنتجات!$B$5:$B$24,MATCH($D521,المنتجات!$A$5:$A$24,0)),""))</f>
        <v/>
      </c>
      <c r="G521" s="24"/>
      <c r="H521" s="25" t="str">
        <f aca="false">IF($D521="","",IFERROR(INDEX(المنتجات!$F$5:$F$24,MATCH($D521,المنتجات!$A$5:$A$24,0)),0))</f>
        <v/>
      </c>
      <c r="I521" s="30"/>
      <c r="J521" s="25" t="str">
        <f aca="false">IF($D521="","",N(G521)*H521-N(I521))</f>
        <v/>
      </c>
      <c r="K521" s="25" t="str">
        <f aca="false">IF($D521="","",N(G521)*IFERROR(INDEX(المنتجات!$H$5:$H$24,MATCH($D521,المنتجات!$A$5:$A$24,0)),0))</f>
        <v/>
      </c>
      <c r="L521" s="25" t="str">
        <f aca="false">IF($D521="","",J521-K521)</f>
        <v/>
      </c>
      <c r="M521" s="29"/>
      <c r="N521" s="29"/>
    </row>
    <row r="522" customFormat="false" ht="15" hidden="false" customHeight="false" outlineLevel="0" collapsed="false">
      <c r="A522" s="32"/>
      <c r="B522" s="29"/>
      <c r="C522" s="29"/>
      <c r="D522" s="29"/>
      <c r="E522" s="28" t="str">
        <f aca="false">IF($D522="","",IFERROR(INDEX(المنتجات!$C$5:$C$24,MATCH($D522,المنتجات!$A$5:$A$24,0)),"كود غير موجود"))</f>
        <v/>
      </c>
      <c r="F522" s="28" t="str">
        <f aca="false">IF($D522="","",IFERROR(INDEX(المنتجات!$B$5:$B$24,MATCH($D522,المنتجات!$A$5:$A$24,0)),""))</f>
        <v/>
      </c>
      <c r="G522" s="24"/>
      <c r="H522" s="25" t="str">
        <f aca="false">IF($D522="","",IFERROR(INDEX(المنتجات!$F$5:$F$24,MATCH($D522,المنتجات!$A$5:$A$24,0)),0))</f>
        <v/>
      </c>
      <c r="I522" s="30"/>
      <c r="J522" s="25" t="str">
        <f aca="false">IF($D522="","",N(G522)*H522-N(I522))</f>
        <v/>
      </c>
      <c r="K522" s="25" t="str">
        <f aca="false">IF($D522="","",N(G522)*IFERROR(INDEX(المنتجات!$H$5:$H$24,MATCH($D522,المنتجات!$A$5:$A$24,0)),0))</f>
        <v/>
      </c>
      <c r="L522" s="25" t="str">
        <f aca="false">IF($D522="","",J522-K522)</f>
        <v/>
      </c>
      <c r="M522" s="29"/>
      <c r="N522" s="29"/>
    </row>
    <row r="523" customFormat="false" ht="15" hidden="false" customHeight="false" outlineLevel="0" collapsed="false">
      <c r="A523" s="32"/>
      <c r="B523" s="29"/>
      <c r="C523" s="29"/>
      <c r="D523" s="29"/>
      <c r="E523" s="28" t="str">
        <f aca="false">IF($D523="","",IFERROR(INDEX(المنتجات!$C$5:$C$24,MATCH($D523,المنتجات!$A$5:$A$24,0)),"كود غير موجود"))</f>
        <v/>
      </c>
      <c r="F523" s="28" t="str">
        <f aca="false">IF($D523="","",IFERROR(INDEX(المنتجات!$B$5:$B$24,MATCH($D523,المنتجات!$A$5:$A$24,0)),""))</f>
        <v/>
      </c>
      <c r="G523" s="24"/>
      <c r="H523" s="25" t="str">
        <f aca="false">IF($D523="","",IFERROR(INDEX(المنتجات!$F$5:$F$24,MATCH($D523,المنتجات!$A$5:$A$24,0)),0))</f>
        <v/>
      </c>
      <c r="I523" s="30"/>
      <c r="J523" s="25" t="str">
        <f aca="false">IF($D523="","",N(G523)*H523-N(I523))</f>
        <v/>
      </c>
      <c r="K523" s="25" t="str">
        <f aca="false">IF($D523="","",N(G523)*IFERROR(INDEX(المنتجات!$H$5:$H$24,MATCH($D523,المنتجات!$A$5:$A$24,0)),0))</f>
        <v/>
      </c>
      <c r="L523" s="25" t="str">
        <f aca="false">IF($D523="","",J523-K523)</f>
        <v/>
      </c>
      <c r="M523" s="29"/>
      <c r="N523" s="29"/>
    </row>
    <row r="524" customFormat="false" ht="15" hidden="false" customHeight="false" outlineLevel="0" collapsed="false">
      <c r="A524" s="32"/>
      <c r="B524" s="29"/>
      <c r="C524" s="29"/>
      <c r="D524" s="29"/>
      <c r="E524" s="28" t="str">
        <f aca="false">IF($D524="","",IFERROR(INDEX(المنتجات!$C$5:$C$24,MATCH($D524,المنتجات!$A$5:$A$24,0)),"كود غير موجود"))</f>
        <v/>
      </c>
      <c r="F524" s="28" t="str">
        <f aca="false">IF($D524="","",IFERROR(INDEX(المنتجات!$B$5:$B$24,MATCH($D524,المنتجات!$A$5:$A$24,0)),""))</f>
        <v/>
      </c>
      <c r="G524" s="24"/>
      <c r="H524" s="25" t="str">
        <f aca="false">IF($D524="","",IFERROR(INDEX(المنتجات!$F$5:$F$24,MATCH($D524,المنتجات!$A$5:$A$24,0)),0))</f>
        <v/>
      </c>
      <c r="I524" s="30"/>
      <c r="J524" s="25" t="str">
        <f aca="false">IF($D524="","",N(G524)*H524-N(I524))</f>
        <v/>
      </c>
      <c r="K524" s="25" t="str">
        <f aca="false">IF($D524="","",N(G524)*IFERROR(INDEX(المنتجات!$H$5:$H$24,MATCH($D524,المنتجات!$A$5:$A$24,0)),0))</f>
        <v/>
      </c>
      <c r="L524" s="25" t="str">
        <f aca="false">IF($D524="","",J524-K524)</f>
        <v/>
      </c>
      <c r="M524" s="29"/>
      <c r="N524" s="29"/>
    </row>
    <row r="525" customFormat="false" ht="15" hidden="false" customHeight="false" outlineLevel="0" collapsed="false">
      <c r="A525" s="32"/>
      <c r="B525" s="29"/>
      <c r="C525" s="29"/>
      <c r="D525" s="29"/>
      <c r="E525" s="28" t="str">
        <f aca="false">IF($D525="","",IFERROR(INDEX(المنتجات!$C$5:$C$24,MATCH($D525,المنتجات!$A$5:$A$24,0)),"كود غير موجود"))</f>
        <v/>
      </c>
      <c r="F525" s="28" t="str">
        <f aca="false">IF($D525="","",IFERROR(INDEX(المنتجات!$B$5:$B$24,MATCH($D525,المنتجات!$A$5:$A$24,0)),""))</f>
        <v/>
      </c>
      <c r="G525" s="24"/>
      <c r="H525" s="25" t="str">
        <f aca="false">IF($D525="","",IFERROR(INDEX(المنتجات!$F$5:$F$24,MATCH($D525,المنتجات!$A$5:$A$24,0)),0))</f>
        <v/>
      </c>
      <c r="I525" s="30"/>
      <c r="J525" s="25" t="str">
        <f aca="false">IF($D525="","",N(G525)*H525-N(I525))</f>
        <v/>
      </c>
      <c r="K525" s="25" t="str">
        <f aca="false">IF($D525="","",N(G525)*IFERROR(INDEX(المنتجات!$H$5:$H$24,MATCH($D525,المنتجات!$A$5:$A$24,0)),0))</f>
        <v/>
      </c>
      <c r="L525" s="25" t="str">
        <f aca="false">IF($D525="","",J525-K525)</f>
        <v/>
      </c>
      <c r="M525" s="29"/>
      <c r="N525" s="29"/>
    </row>
    <row r="526" customFormat="false" ht="15" hidden="false" customHeight="false" outlineLevel="0" collapsed="false">
      <c r="A526" s="32"/>
      <c r="B526" s="29"/>
      <c r="C526" s="29"/>
      <c r="D526" s="29"/>
      <c r="E526" s="28" t="str">
        <f aca="false">IF($D526="","",IFERROR(INDEX(المنتجات!$C$5:$C$24,MATCH($D526,المنتجات!$A$5:$A$24,0)),"كود غير موجود"))</f>
        <v/>
      </c>
      <c r="F526" s="28" t="str">
        <f aca="false">IF($D526="","",IFERROR(INDEX(المنتجات!$B$5:$B$24,MATCH($D526,المنتجات!$A$5:$A$24,0)),""))</f>
        <v/>
      </c>
      <c r="G526" s="24"/>
      <c r="H526" s="25" t="str">
        <f aca="false">IF($D526="","",IFERROR(INDEX(المنتجات!$F$5:$F$24,MATCH($D526,المنتجات!$A$5:$A$24,0)),0))</f>
        <v/>
      </c>
      <c r="I526" s="30"/>
      <c r="J526" s="25" t="str">
        <f aca="false">IF($D526="","",N(G526)*H526-N(I526))</f>
        <v/>
      </c>
      <c r="K526" s="25" t="str">
        <f aca="false">IF($D526="","",N(G526)*IFERROR(INDEX(المنتجات!$H$5:$H$24,MATCH($D526,المنتجات!$A$5:$A$24,0)),0))</f>
        <v/>
      </c>
      <c r="L526" s="25" t="str">
        <f aca="false">IF($D526="","",J526-K526)</f>
        <v/>
      </c>
      <c r="M526" s="29"/>
      <c r="N526" s="29"/>
    </row>
    <row r="527" customFormat="false" ht="15" hidden="false" customHeight="false" outlineLevel="0" collapsed="false">
      <c r="A527" s="32"/>
      <c r="B527" s="29"/>
      <c r="C527" s="29"/>
      <c r="D527" s="29"/>
      <c r="E527" s="28" t="str">
        <f aca="false">IF($D527="","",IFERROR(INDEX(المنتجات!$C$5:$C$24,MATCH($D527,المنتجات!$A$5:$A$24,0)),"كود غير موجود"))</f>
        <v/>
      </c>
      <c r="F527" s="28" t="str">
        <f aca="false">IF($D527="","",IFERROR(INDEX(المنتجات!$B$5:$B$24,MATCH($D527,المنتجات!$A$5:$A$24,0)),""))</f>
        <v/>
      </c>
      <c r="G527" s="24"/>
      <c r="H527" s="25" t="str">
        <f aca="false">IF($D527="","",IFERROR(INDEX(المنتجات!$F$5:$F$24,MATCH($D527,المنتجات!$A$5:$A$24,0)),0))</f>
        <v/>
      </c>
      <c r="I527" s="30"/>
      <c r="J527" s="25" t="str">
        <f aca="false">IF($D527="","",N(G527)*H527-N(I527))</f>
        <v/>
      </c>
      <c r="K527" s="25" t="str">
        <f aca="false">IF($D527="","",N(G527)*IFERROR(INDEX(المنتجات!$H$5:$H$24,MATCH($D527,المنتجات!$A$5:$A$24,0)),0))</f>
        <v/>
      </c>
      <c r="L527" s="25" t="str">
        <f aca="false">IF($D527="","",J527-K527)</f>
        <v/>
      </c>
      <c r="M527" s="29"/>
      <c r="N527" s="29"/>
    </row>
    <row r="528" customFormat="false" ht="15" hidden="false" customHeight="false" outlineLevel="0" collapsed="false">
      <c r="A528" s="32"/>
      <c r="B528" s="29"/>
      <c r="C528" s="29"/>
      <c r="D528" s="29"/>
      <c r="E528" s="28" t="str">
        <f aca="false">IF($D528="","",IFERROR(INDEX(المنتجات!$C$5:$C$24,MATCH($D528,المنتجات!$A$5:$A$24,0)),"كود غير موجود"))</f>
        <v/>
      </c>
      <c r="F528" s="28" t="str">
        <f aca="false">IF($D528="","",IFERROR(INDEX(المنتجات!$B$5:$B$24,MATCH($D528,المنتجات!$A$5:$A$24,0)),""))</f>
        <v/>
      </c>
      <c r="G528" s="24"/>
      <c r="H528" s="25" t="str">
        <f aca="false">IF($D528="","",IFERROR(INDEX(المنتجات!$F$5:$F$24,MATCH($D528,المنتجات!$A$5:$A$24,0)),0))</f>
        <v/>
      </c>
      <c r="I528" s="30"/>
      <c r="J528" s="25" t="str">
        <f aca="false">IF($D528="","",N(G528)*H528-N(I528))</f>
        <v/>
      </c>
      <c r="K528" s="25" t="str">
        <f aca="false">IF($D528="","",N(G528)*IFERROR(INDEX(المنتجات!$H$5:$H$24,MATCH($D528,المنتجات!$A$5:$A$24,0)),0))</f>
        <v/>
      </c>
      <c r="L528" s="25" t="str">
        <f aca="false">IF($D528="","",J528-K528)</f>
        <v/>
      </c>
      <c r="M528" s="29"/>
      <c r="N528" s="29"/>
    </row>
    <row r="529" customFormat="false" ht="15" hidden="false" customHeight="false" outlineLevel="0" collapsed="false">
      <c r="A529" s="32"/>
      <c r="B529" s="29"/>
      <c r="C529" s="29"/>
      <c r="D529" s="29"/>
      <c r="E529" s="28" t="str">
        <f aca="false">IF($D529="","",IFERROR(INDEX(المنتجات!$C$5:$C$24,MATCH($D529,المنتجات!$A$5:$A$24,0)),"كود غير موجود"))</f>
        <v/>
      </c>
      <c r="F529" s="28" t="str">
        <f aca="false">IF($D529="","",IFERROR(INDEX(المنتجات!$B$5:$B$24,MATCH($D529,المنتجات!$A$5:$A$24,0)),""))</f>
        <v/>
      </c>
      <c r="G529" s="24"/>
      <c r="H529" s="25" t="str">
        <f aca="false">IF($D529="","",IFERROR(INDEX(المنتجات!$F$5:$F$24,MATCH($D529,المنتجات!$A$5:$A$24,0)),0))</f>
        <v/>
      </c>
      <c r="I529" s="30"/>
      <c r="J529" s="25" t="str">
        <f aca="false">IF($D529="","",N(G529)*H529-N(I529))</f>
        <v/>
      </c>
      <c r="K529" s="25" t="str">
        <f aca="false">IF($D529="","",N(G529)*IFERROR(INDEX(المنتجات!$H$5:$H$24,MATCH($D529,المنتجات!$A$5:$A$24,0)),0))</f>
        <v/>
      </c>
      <c r="L529" s="25" t="str">
        <f aca="false">IF($D529="","",J529-K529)</f>
        <v/>
      </c>
      <c r="M529" s="29"/>
      <c r="N529" s="29"/>
    </row>
    <row r="530" customFormat="false" ht="15" hidden="false" customHeight="false" outlineLevel="0" collapsed="false">
      <c r="A530" s="32"/>
      <c r="B530" s="29"/>
      <c r="C530" s="29"/>
      <c r="D530" s="29"/>
      <c r="E530" s="28" t="str">
        <f aca="false">IF($D530="","",IFERROR(INDEX(المنتجات!$C$5:$C$24,MATCH($D530,المنتجات!$A$5:$A$24,0)),"كود غير موجود"))</f>
        <v/>
      </c>
      <c r="F530" s="28" t="str">
        <f aca="false">IF($D530="","",IFERROR(INDEX(المنتجات!$B$5:$B$24,MATCH($D530,المنتجات!$A$5:$A$24,0)),""))</f>
        <v/>
      </c>
      <c r="G530" s="24"/>
      <c r="H530" s="25" t="str">
        <f aca="false">IF($D530="","",IFERROR(INDEX(المنتجات!$F$5:$F$24,MATCH($D530,المنتجات!$A$5:$A$24,0)),0))</f>
        <v/>
      </c>
      <c r="I530" s="30"/>
      <c r="J530" s="25" t="str">
        <f aca="false">IF($D530="","",N(G530)*H530-N(I530))</f>
        <v/>
      </c>
      <c r="K530" s="25" t="str">
        <f aca="false">IF($D530="","",N(G530)*IFERROR(INDEX(المنتجات!$H$5:$H$24,MATCH($D530,المنتجات!$A$5:$A$24,0)),0))</f>
        <v/>
      </c>
      <c r="L530" s="25" t="str">
        <f aca="false">IF($D530="","",J530-K530)</f>
        <v/>
      </c>
      <c r="M530" s="29"/>
      <c r="N530" s="29"/>
    </row>
    <row r="531" customFormat="false" ht="15" hidden="false" customHeight="false" outlineLevel="0" collapsed="false">
      <c r="A531" s="32"/>
      <c r="B531" s="29"/>
      <c r="C531" s="29"/>
      <c r="D531" s="29"/>
      <c r="E531" s="28" t="str">
        <f aca="false">IF($D531="","",IFERROR(INDEX(المنتجات!$C$5:$C$24,MATCH($D531,المنتجات!$A$5:$A$24,0)),"كود غير موجود"))</f>
        <v/>
      </c>
      <c r="F531" s="28" t="str">
        <f aca="false">IF($D531="","",IFERROR(INDEX(المنتجات!$B$5:$B$24,MATCH($D531,المنتجات!$A$5:$A$24,0)),""))</f>
        <v/>
      </c>
      <c r="G531" s="24"/>
      <c r="H531" s="25" t="str">
        <f aca="false">IF($D531="","",IFERROR(INDEX(المنتجات!$F$5:$F$24,MATCH($D531,المنتجات!$A$5:$A$24,0)),0))</f>
        <v/>
      </c>
      <c r="I531" s="30"/>
      <c r="J531" s="25" t="str">
        <f aca="false">IF($D531="","",N(G531)*H531-N(I531))</f>
        <v/>
      </c>
      <c r="K531" s="25" t="str">
        <f aca="false">IF($D531="","",N(G531)*IFERROR(INDEX(المنتجات!$H$5:$H$24,MATCH($D531,المنتجات!$A$5:$A$24,0)),0))</f>
        <v/>
      </c>
      <c r="L531" s="25" t="str">
        <f aca="false">IF($D531="","",J531-K531)</f>
        <v/>
      </c>
      <c r="M531" s="29"/>
      <c r="N531" s="29"/>
    </row>
    <row r="532" customFormat="false" ht="15" hidden="false" customHeight="false" outlineLevel="0" collapsed="false">
      <c r="A532" s="32"/>
      <c r="B532" s="29"/>
      <c r="C532" s="29"/>
      <c r="D532" s="29"/>
      <c r="E532" s="28" t="str">
        <f aca="false">IF($D532="","",IFERROR(INDEX(المنتجات!$C$5:$C$24,MATCH($D532,المنتجات!$A$5:$A$24,0)),"كود غير موجود"))</f>
        <v/>
      </c>
      <c r="F532" s="28" t="str">
        <f aca="false">IF($D532="","",IFERROR(INDEX(المنتجات!$B$5:$B$24,MATCH($D532,المنتجات!$A$5:$A$24,0)),""))</f>
        <v/>
      </c>
      <c r="G532" s="24"/>
      <c r="H532" s="25" t="str">
        <f aca="false">IF($D532="","",IFERROR(INDEX(المنتجات!$F$5:$F$24,MATCH($D532,المنتجات!$A$5:$A$24,0)),0))</f>
        <v/>
      </c>
      <c r="I532" s="30"/>
      <c r="J532" s="25" t="str">
        <f aca="false">IF($D532="","",N(G532)*H532-N(I532))</f>
        <v/>
      </c>
      <c r="K532" s="25" t="str">
        <f aca="false">IF($D532="","",N(G532)*IFERROR(INDEX(المنتجات!$H$5:$H$24,MATCH($D532,المنتجات!$A$5:$A$24,0)),0))</f>
        <v/>
      </c>
      <c r="L532" s="25" t="str">
        <f aca="false">IF($D532="","",J532-K532)</f>
        <v/>
      </c>
      <c r="M532" s="29"/>
      <c r="N532" s="29"/>
    </row>
    <row r="533" customFormat="false" ht="15" hidden="false" customHeight="false" outlineLevel="0" collapsed="false">
      <c r="A533" s="32"/>
      <c r="B533" s="29"/>
      <c r="C533" s="29"/>
      <c r="D533" s="29"/>
      <c r="E533" s="28" t="str">
        <f aca="false">IF($D533="","",IFERROR(INDEX(المنتجات!$C$5:$C$24,MATCH($D533,المنتجات!$A$5:$A$24,0)),"كود غير موجود"))</f>
        <v/>
      </c>
      <c r="F533" s="28" t="str">
        <f aca="false">IF($D533="","",IFERROR(INDEX(المنتجات!$B$5:$B$24,MATCH($D533,المنتجات!$A$5:$A$24,0)),""))</f>
        <v/>
      </c>
      <c r="G533" s="24"/>
      <c r="H533" s="25" t="str">
        <f aca="false">IF($D533="","",IFERROR(INDEX(المنتجات!$F$5:$F$24,MATCH($D533,المنتجات!$A$5:$A$24,0)),0))</f>
        <v/>
      </c>
      <c r="I533" s="30"/>
      <c r="J533" s="25" t="str">
        <f aca="false">IF($D533="","",N(G533)*H533-N(I533))</f>
        <v/>
      </c>
      <c r="K533" s="25" t="str">
        <f aca="false">IF($D533="","",N(G533)*IFERROR(INDEX(المنتجات!$H$5:$H$24,MATCH($D533,المنتجات!$A$5:$A$24,0)),0))</f>
        <v/>
      </c>
      <c r="L533" s="25" t="str">
        <f aca="false">IF($D533="","",J533-K533)</f>
        <v/>
      </c>
      <c r="M533" s="29"/>
      <c r="N533" s="29"/>
    </row>
    <row r="534" customFormat="false" ht="15" hidden="false" customHeight="false" outlineLevel="0" collapsed="false">
      <c r="A534" s="32"/>
      <c r="B534" s="29"/>
      <c r="C534" s="29"/>
      <c r="D534" s="29"/>
      <c r="E534" s="28" t="str">
        <f aca="false">IF($D534="","",IFERROR(INDEX(المنتجات!$C$5:$C$24,MATCH($D534,المنتجات!$A$5:$A$24,0)),"كود غير موجود"))</f>
        <v/>
      </c>
      <c r="F534" s="28" t="str">
        <f aca="false">IF($D534="","",IFERROR(INDEX(المنتجات!$B$5:$B$24,MATCH($D534,المنتجات!$A$5:$A$24,0)),""))</f>
        <v/>
      </c>
      <c r="G534" s="24"/>
      <c r="H534" s="25" t="str">
        <f aca="false">IF($D534="","",IFERROR(INDEX(المنتجات!$F$5:$F$24,MATCH($D534,المنتجات!$A$5:$A$24,0)),0))</f>
        <v/>
      </c>
      <c r="I534" s="30"/>
      <c r="J534" s="25" t="str">
        <f aca="false">IF($D534="","",N(G534)*H534-N(I534))</f>
        <v/>
      </c>
      <c r="K534" s="25" t="str">
        <f aca="false">IF($D534="","",N(G534)*IFERROR(INDEX(المنتجات!$H$5:$H$24,MATCH($D534,المنتجات!$A$5:$A$24,0)),0))</f>
        <v/>
      </c>
      <c r="L534" s="25" t="str">
        <f aca="false">IF($D534="","",J534-K534)</f>
        <v/>
      </c>
      <c r="M534" s="29"/>
      <c r="N534" s="29"/>
    </row>
    <row r="535" customFormat="false" ht="15" hidden="false" customHeight="false" outlineLevel="0" collapsed="false">
      <c r="A535" s="32"/>
      <c r="B535" s="29"/>
      <c r="C535" s="29"/>
      <c r="D535" s="29"/>
      <c r="E535" s="28" t="str">
        <f aca="false">IF($D535="","",IFERROR(INDEX(المنتجات!$C$5:$C$24,MATCH($D535,المنتجات!$A$5:$A$24,0)),"كود غير موجود"))</f>
        <v/>
      </c>
      <c r="F535" s="28" t="str">
        <f aca="false">IF($D535="","",IFERROR(INDEX(المنتجات!$B$5:$B$24,MATCH($D535,المنتجات!$A$5:$A$24,0)),""))</f>
        <v/>
      </c>
      <c r="G535" s="24"/>
      <c r="H535" s="25" t="str">
        <f aca="false">IF($D535="","",IFERROR(INDEX(المنتجات!$F$5:$F$24,MATCH($D535,المنتجات!$A$5:$A$24,0)),0))</f>
        <v/>
      </c>
      <c r="I535" s="30"/>
      <c r="J535" s="25" t="str">
        <f aca="false">IF($D535="","",N(G535)*H535-N(I535))</f>
        <v/>
      </c>
      <c r="K535" s="25" t="str">
        <f aca="false">IF($D535="","",N(G535)*IFERROR(INDEX(المنتجات!$H$5:$H$24,MATCH($D535,المنتجات!$A$5:$A$24,0)),0))</f>
        <v/>
      </c>
      <c r="L535" s="25" t="str">
        <f aca="false">IF($D535="","",J535-K535)</f>
        <v/>
      </c>
      <c r="M535" s="29"/>
      <c r="N535" s="29"/>
    </row>
    <row r="536" customFormat="false" ht="15" hidden="false" customHeight="false" outlineLevel="0" collapsed="false">
      <c r="A536" s="32"/>
      <c r="B536" s="29"/>
      <c r="C536" s="29"/>
      <c r="D536" s="29"/>
      <c r="E536" s="28" t="str">
        <f aca="false">IF($D536="","",IFERROR(INDEX(المنتجات!$C$5:$C$24,MATCH($D536,المنتجات!$A$5:$A$24,0)),"كود غير موجود"))</f>
        <v/>
      </c>
      <c r="F536" s="28" t="str">
        <f aca="false">IF($D536="","",IFERROR(INDEX(المنتجات!$B$5:$B$24,MATCH($D536,المنتجات!$A$5:$A$24,0)),""))</f>
        <v/>
      </c>
      <c r="G536" s="24"/>
      <c r="H536" s="25" t="str">
        <f aca="false">IF($D536="","",IFERROR(INDEX(المنتجات!$F$5:$F$24,MATCH($D536,المنتجات!$A$5:$A$24,0)),0))</f>
        <v/>
      </c>
      <c r="I536" s="30"/>
      <c r="J536" s="25" t="str">
        <f aca="false">IF($D536="","",N(G536)*H536-N(I536))</f>
        <v/>
      </c>
      <c r="K536" s="25" t="str">
        <f aca="false">IF($D536="","",N(G536)*IFERROR(INDEX(المنتجات!$H$5:$H$24,MATCH($D536,المنتجات!$A$5:$A$24,0)),0))</f>
        <v/>
      </c>
      <c r="L536" s="25" t="str">
        <f aca="false">IF($D536="","",J536-K536)</f>
        <v/>
      </c>
      <c r="M536" s="29"/>
      <c r="N536" s="29"/>
    </row>
    <row r="537" customFormat="false" ht="15" hidden="false" customHeight="false" outlineLevel="0" collapsed="false">
      <c r="A537" s="32"/>
      <c r="B537" s="29"/>
      <c r="C537" s="29"/>
      <c r="D537" s="29"/>
      <c r="E537" s="28" t="str">
        <f aca="false">IF($D537="","",IFERROR(INDEX(المنتجات!$C$5:$C$24,MATCH($D537,المنتجات!$A$5:$A$24,0)),"كود غير موجود"))</f>
        <v/>
      </c>
      <c r="F537" s="28" t="str">
        <f aca="false">IF($D537="","",IFERROR(INDEX(المنتجات!$B$5:$B$24,MATCH($D537,المنتجات!$A$5:$A$24,0)),""))</f>
        <v/>
      </c>
      <c r="G537" s="24"/>
      <c r="H537" s="25" t="str">
        <f aca="false">IF($D537="","",IFERROR(INDEX(المنتجات!$F$5:$F$24,MATCH($D537,المنتجات!$A$5:$A$24,0)),0))</f>
        <v/>
      </c>
      <c r="I537" s="30"/>
      <c r="J537" s="25" t="str">
        <f aca="false">IF($D537="","",N(G537)*H537-N(I537))</f>
        <v/>
      </c>
      <c r="K537" s="25" t="str">
        <f aca="false">IF($D537="","",N(G537)*IFERROR(INDEX(المنتجات!$H$5:$H$24,MATCH($D537,المنتجات!$A$5:$A$24,0)),0))</f>
        <v/>
      </c>
      <c r="L537" s="25" t="str">
        <f aca="false">IF($D537="","",J537-K537)</f>
        <v/>
      </c>
      <c r="M537" s="29"/>
      <c r="N537" s="29"/>
    </row>
    <row r="538" customFormat="false" ht="15" hidden="false" customHeight="false" outlineLevel="0" collapsed="false">
      <c r="A538" s="32"/>
      <c r="B538" s="29"/>
      <c r="C538" s="29"/>
      <c r="D538" s="29"/>
      <c r="E538" s="28" t="str">
        <f aca="false">IF($D538="","",IFERROR(INDEX(المنتجات!$C$5:$C$24,MATCH($D538,المنتجات!$A$5:$A$24,0)),"كود غير موجود"))</f>
        <v/>
      </c>
      <c r="F538" s="28" t="str">
        <f aca="false">IF($D538="","",IFERROR(INDEX(المنتجات!$B$5:$B$24,MATCH($D538,المنتجات!$A$5:$A$24,0)),""))</f>
        <v/>
      </c>
      <c r="G538" s="24"/>
      <c r="H538" s="25" t="str">
        <f aca="false">IF($D538="","",IFERROR(INDEX(المنتجات!$F$5:$F$24,MATCH($D538,المنتجات!$A$5:$A$24,0)),0))</f>
        <v/>
      </c>
      <c r="I538" s="30"/>
      <c r="J538" s="25" t="str">
        <f aca="false">IF($D538="","",N(G538)*H538-N(I538))</f>
        <v/>
      </c>
      <c r="K538" s="25" t="str">
        <f aca="false">IF($D538="","",N(G538)*IFERROR(INDEX(المنتجات!$H$5:$H$24,MATCH($D538,المنتجات!$A$5:$A$24,0)),0))</f>
        <v/>
      </c>
      <c r="L538" s="25" t="str">
        <f aca="false">IF($D538="","",J538-K538)</f>
        <v/>
      </c>
      <c r="M538" s="29"/>
      <c r="N538" s="29"/>
    </row>
    <row r="539" customFormat="false" ht="15" hidden="false" customHeight="false" outlineLevel="0" collapsed="false">
      <c r="A539" s="32"/>
      <c r="B539" s="29"/>
      <c r="C539" s="29"/>
      <c r="D539" s="29"/>
      <c r="E539" s="28" t="str">
        <f aca="false">IF($D539="","",IFERROR(INDEX(المنتجات!$C$5:$C$24,MATCH($D539,المنتجات!$A$5:$A$24,0)),"كود غير موجود"))</f>
        <v/>
      </c>
      <c r="F539" s="28" t="str">
        <f aca="false">IF($D539="","",IFERROR(INDEX(المنتجات!$B$5:$B$24,MATCH($D539,المنتجات!$A$5:$A$24,0)),""))</f>
        <v/>
      </c>
      <c r="G539" s="24"/>
      <c r="H539" s="25" t="str">
        <f aca="false">IF($D539="","",IFERROR(INDEX(المنتجات!$F$5:$F$24,MATCH($D539,المنتجات!$A$5:$A$24,0)),0))</f>
        <v/>
      </c>
      <c r="I539" s="30"/>
      <c r="J539" s="25" t="str">
        <f aca="false">IF($D539="","",N(G539)*H539-N(I539))</f>
        <v/>
      </c>
      <c r="K539" s="25" t="str">
        <f aca="false">IF($D539="","",N(G539)*IFERROR(INDEX(المنتجات!$H$5:$H$24,MATCH($D539,المنتجات!$A$5:$A$24,0)),0))</f>
        <v/>
      </c>
      <c r="L539" s="25" t="str">
        <f aca="false">IF($D539="","",J539-K539)</f>
        <v/>
      </c>
      <c r="M539" s="29"/>
      <c r="N539" s="29"/>
    </row>
    <row r="540" customFormat="false" ht="15" hidden="false" customHeight="false" outlineLevel="0" collapsed="false">
      <c r="A540" s="32"/>
      <c r="B540" s="29"/>
      <c r="C540" s="29"/>
      <c r="D540" s="29"/>
      <c r="E540" s="28" t="str">
        <f aca="false">IF($D540="","",IFERROR(INDEX(المنتجات!$C$5:$C$24,MATCH($D540,المنتجات!$A$5:$A$24,0)),"كود غير موجود"))</f>
        <v/>
      </c>
      <c r="F540" s="28" t="str">
        <f aca="false">IF($D540="","",IFERROR(INDEX(المنتجات!$B$5:$B$24,MATCH($D540,المنتجات!$A$5:$A$24,0)),""))</f>
        <v/>
      </c>
      <c r="G540" s="24"/>
      <c r="H540" s="25" t="str">
        <f aca="false">IF($D540="","",IFERROR(INDEX(المنتجات!$F$5:$F$24,MATCH($D540,المنتجات!$A$5:$A$24,0)),0))</f>
        <v/>
      </c>
      <c r="I540" s="30"/>
      <c r="J540" s="25" t="str">
        <f aca="false">IF($D540="","",N(G540)*H540-N(I540))</f>
        <v/>
      </c>
      <c r="K540" s="25" t="str">
        <f aca="false">IF($D540="","",N(G540)*IFERROR(INDEX(المنتجات!$H$5:$H$24,MATCH($D540,المنتجات!$A$5:$A$24,0)),0))</f>
        <v/>
      </c>
      <c r="L540" s="25" t="str">
        <f aca="false">IF($D540="","",J540-K540)</f>
        <v/>
      </c>
      <c r="M540" s="29"/>
      <c r="N540" s="29"/>
    </row>
    <row r="541" customFormat="false" ht="15" hidden="false" customHeight="false" outlineLevel="0" collapsed="false">
      <c r="A541" s="32"/>
      <c r="B541" s="29"/>
      <c r="C541" s="29"/>
      <c r="D541" s="29"/>
      <c r="E541" s="28" t="str">
        <f aca="false">IF($D541="","",IFERROR(INDEX(المنتجات!$C$5:$C$24,MATCH($D541,المنتجات!$A$5:$A$24,0)),"كود غير موجود"))</f>
        <v/>
      </c>
      <c r="F541" s="28" t="str">
        <f aca="false">IF($D541="","",IFERROR(INDEX(المنتجات!$B$5:$B$24,MATCH($D541,المنتجات!$A$5:$A$24,0)),""))</f>
        <v/>
      </c>
      <c r="G541" s="24"/>
      <c r="H541" s="25" t="str">
        <f aca="false">IF($D541="","",IFERROR(INDEX(المنتجات!$F$5:$F$24,MATCH($D541,المنتجات!$A$5:$A$24,0)),0))</f>
        <v/>
      </c>
      <c r="I541" s="30"/>
      <c r="J541" s="25" t="str">
        <f aca="false">IF($D541="","",N(G541)*H541-N(I541))</f>
        <v/>
      </c>
      <c r="K541" s="25" t="str">
        <f aca="false">IF($D541="","",N(G541)*IFERROR(INDEX(المنتجات!$H$5:$H$24,MATCH($D541,المنتجات!$A$5:$A$24,0)),0))</f>
        <v/>
      </c>
      <c r="L541" s="25" t="str">
        <f aca="false">IF($D541="","",J541-K541)</f>
        <v/>
      </c>
      <c r="M541" s="29"/>
      <c r="N541" s="29"/>
    </row>
    <row r="542" customFormat="false" ht="15" hidden="false" customHeight="false" outlineLevel="0" collapsed="false">
      <c r="A542" s="32"/>
      <c r="B542" s="29"/>
      <c r="C542" s="29"/>
      <c r="D542" s="29"/>
      <c r="E542" s="28" t="str">
        <f aca="false">IF($D542="","",IFERROR(INDEX(المنتجات!$C$5:$C$24,MATCH($D542,المنتجات!$A$5:$A$24,0)),"كود غير موجود"))</f>
        <v/>
      </c>
      <c r="F542" s="28" t="str">
        <f aca="false">IF($D542="","",IFERROR(INDEX(المنتجات!$B$5:$B$24,MATCH($D542,المنتجات!$A$5:$A$24,0)),""))</f>
        <v/>
      </c>
      <c r="G542" s="24"/>
      <c r="H542" s="25" t="str">
        <f aca="false">IF($D542="","",IFERROR(INDEX(المنتجات!$F$5:$F$24,MATCH($D542,المنتجات!$A$5:$A$24,0)),0))</f>
        <v/>
      </c>
      <c r="I542" s="30"/>
      <c r="J542" s="25" t="str">
        <f aca="false">IF($D542="","",N(G542)*H542-N(I542))</f>
        <v/>
      </c>
      <c r="K542" s="25" t="str">
        <f aca="false">IF($D542="","",N(G542)*IFERROR(INDEX(المنتجات!$H$5:$H$24,MATCH($D542,المنتجات!$A$5:$A$24,0)),0))</f>
        <v/>
      </c>
      <c r="L542" s="25" t="str">
        <f aca="false">IF($D542="","",J542-K542)</f>
        <v/>
      </c>
      <c r="M542" s="29"/>
      <c r="N542" s="29"/>
    </row>
    <row r="543" customFormat="false" ht="15" hidden="false" customHeight="false" outlineLevel="0" collapsed="false">
      <c r="A543" s="32"/>
      <c r="B543" s="29"/>
      <c r="C543" s="29"/>
      <c r="D543" s="29"/>
      <c r="E543" s="28" t="str">
        <f aca="false">IF($D543="","",IFERROR(INDEX(المنتجات!$C$5:$C$24,MATCH($D543,المنتجات!$A$5:$A$24,0)),"كود غير موجود"))</f>
        <v/>
      </c>
      <c r="F543" s="28" t="str">
        <f aca="false">IF($D543="","",IFERROR(INDEX(المنتجات!$B$5:$B$24,MATCH($D543,المنتجات!$A$5:$A$24,0)),""))</f>
        <v/>
      </c>
      <c r="G543" s="24"/>
      <c r="H543" s="25" t="str">
        <f aca="false">IF($D543="","",IFERROR(INDEX(المنتجات!$F$5:$F$24,MATCH($D543,المنتجات!$A$5:$A$24,0)),0))</f>
        <v/>
      </c>
      <c r="I543" s="30"/>
      <c r="J543" s="25" t="str">
        <f aca="false">IF($D543="","",N(G543)*H543-N(I543))</f>
        <v/>
      </c>
      <c r="K543" s="25" t="str">
        <f aca="false">IF($D543="","",N(G543)*IFERROR(INDEX(المنتجات!$H$5:$H$24,MATCH($D543,المنتجات!$A$5:$A$24,0)),0))</f>
        <v/>
      </c>
      <c r="L543" s="25" t="str">
        <f aca="false">IF($D543="","",J543-K543)</f>
        <v/>
      </c>
      <c r="M543" s="29"/>
      <c r="N543" s="29"/>
    </row>
    <row r="544" customFormat="false" ht="15" hidden="false" customHeight="false" outlineLevel="0" collapsed="false">
      <c r="A544" s="32"/>
      <c r="B544" s="29"/>
      <c r="C544" s="29"/>
      <c r="D544" s="29"/>
      <c r="E544" s="28" t="str">
        <f aca="false">IF($D544="","",IFERROR(INDEX(المنتجات!$C$5:$C$24,MATCH($D544,المنتجات!$A$5:$A$24,0)),"كود غير موجود"))</f>
        <v/>
      </c>
      <c r="F544" s="28" t="str">
        <f aca="false">IF($D544="","",IFERROR(INDEX(المنتجات!$B$5:$B$24,MATCH($D544,المنتجات!$A$5:$A$24,0)),""))</f>
        <v/>
      </c>
      <c r="G544" s="24"/>
      <c r="H544" s="25" t="str">
        <f aca="false">IF($D544="","",IFERROR(INDEX(المنتجات!$F$5:$F$24,MATCH($D544,المنتجات!$A$5:$A$24,0)),0))</f>
        <v/>
      </c>
      <c r="I544" s="30"/>
      <c r="J544" s="25" t="str">
        <f aca="false">IF($D544="","",N(G544)*H544-N(I544))</f>
        <v/>
      </c>
      <c r="K544" s="25" t="str">
        <f aca="false">IF($D544="","",N(G544)*IFERROR(INDEX(المنتجات!$H$5:$H$24,MATCH($D544,المنتجات!$A$5:$A$24,0)),0))</f>
        <v/>
      </c>
      <c r="L544" s="25" t="str">
        <f aca="false">IF($D544="","",J544-K544)</f>
        <v/>
      </c>
      <c r="M544" s="29"/>
      <c r="N544" s="29"/>
    </row>
    <row r="545" customFormat="false" ht="15" hidden="false" customHeight="false" outlineLevel="0" collapsed="false">
      <c r="A545" s="32"/>
      <c r="B545" s="29"/>
      <c r="C545" s="29"/>
      <c r="D545" s="29"/>
      <c r="E545" s="28" t="str">
        <f aca="false">IF($D545="","",IFERROR(INDEX(المنتجات!$C$5:$C$24,MATCH($D545,المنتجات!$A$5:$A$24,0)),"كود غير موجود"))</f>
        <v/>
      </c>
      <c r="F545" s="28" t="str">
        <f aca="false">IF($D545="","",IFERROR(INDEX(المنتجات!$B$5:$B$24,MATCH($D545,المنتجات!$A$5:$A$24,0)),""))</f>
        <v/>
      </c>
      <c r="G545" s="24"/>
      <c r="H545" s="25" t="str">
        <f aca="false">IF($D545="","",IFERROR(INDEX(المنتجات!$F$5:$F$24,MATCH($D545,المنتجات!$A$5:$A$24,0)),0))</f>
        <v/>
      </c>
      <c r="I545" s="30"/>
      <c r="J545" s="25" t="str">
        <f aca="false">IF($D545="","",N(G545)*H545-N(I545))</f>
        <v/>
      </c>
      <c r="K545" s="25" t="str">
        <f aca="false">IF($D545="","",N(G545)*IFERROR(INDEX(المنتجات!$H$5:$H$24,MATCH($D545,المنتجات!$A$5:$A$24,0)),0))</f>
        <v/>
      </c>
      <c r="L545" s="25" t="str">
        <f aca="false">IF($D545="","",J545-K545)</f>
        <v/>
      </c>
      <c r="M545" s="29"/>
      <c r="N545" s="29"/>
    </row>
    <row r="546" customFormat="false" ht="15" hidden="false" customHeight="false" outlineLevel="0" collapsed="false">
      <c r="A546" s="32"/>
      <c r="B546" s="29"/>
      <c r="C546" s="29"/>
      <c r="D546" s="29"/>
      <c r="E546" s="28" t="str">
        <f aca="false">IF($D546="","",IFERROR(INDEX(المنتجات!$C$5:$C$24,MATCH($D546,المنتجات!$A$5:$A$24,0)),"كود غير موجود"))</f>
        <v/>
      </c>
      <c r="F546" s="28" t="str">
        <f aca="false">IF($D546="","",IFERROR(INDEX(المنتجات!$B$5:$B$24,MATCH($D546,المنتجات!$A$5:$A$24,0)),""))</f>
        <v/>
      </c>
      <c r="G546" s="24"/>
      <c r="H546" s="25" t="str">
        <f aca="false">IF($D546="","",IFERROR(INDEX(المنتجات!$F$5:$F$24,MATCH($D546,المنتجات!$A$5:$A$24,0)),0))</f>
        <v/>
      </c>
      <c r="I546" s="30"/>
      <c r="J546" s="25" t="str">
        <f aca="false">IF($D546="","",N(G546)*H546-N(I546))</f>
        <v/>
      </c>
      <c r="K546" s="25" t="str">
        <f aca="false">IF($D546="","",N(G546)*IFERROR(INDEX(المنتجات!$H$5:$H$24,MATCH($D546,المنتجات!$A$5:$A$24,0)),0))</f>
        <v/>
      </c>
      <c r="L546" s="25" t="str">
        <f aca="false">IF($D546="","",J546-K546)</f>
        <v/>
      </c>
      <c r="M546" s="29"/>
      <c r="N546" s="29"/>
    </row>
    <row r="547" customFormat="false" ht="15" hidden="false" customHeight="false" outlineLevel="0" collapsed="false">
      <c r="A547" s="32"/>
      <c r="B547" s="29"/>
      <c r="C547" s="29"/>
      <c r="D547" s="29"/>
      <c r="E547" s="28" t="str">
        <f aca="false">IF($D547="","",IFERROR(INDEX(المنتجات!$C$5:$C$24,MATCH($D547,المنتجات!$A$5:$A$24,0)),"كود غير موجود"))</f>
        <v/>
      </c>
      <c r="F547" s="28" t="str">
        <f aca="false">IF($D547="","",IFERROR(INDEX(المنتجات!$B$5:$B$24,MATCH($D547,المنتجات!$A$5:$A$24,0)),""))</f>
        <v/>
      </c>
      <c r="G547" s="24"/>
      <c r="H547" s="25" t="str">
        <f aca="false">IF($D547="","",IFERROR(INDEX(المنتجات!$F$5:$F$24,MATCH($D547,المنتجات!$A$5:$A$24,0)),0))</f>
        <v/>
      </c>
      <c r="I547" s="30"/>
      <c r="J547" s="25" t="str">
        <f aca="false">IF($D547="","",N(G547)*H547-N(I547))</f>
        <v/>
      </c>
      <c r="K547" s="25" t="str">
        <f aca="false">IF($D547="","",N(G547)*IFERROR(INDEX(المنتجات!$H$5:$H$24,MATCH($D547,المنتجات!$A$5:$A$24,0)),0))</f>
        <v/>
      </c>
      <c r="L547" s="25" t="str">
        <f aca="false">IF($D547="","",J547-K547)</f>
        <v/>
      </c>
      <c r="M547" s="29"/>
      <c r="N547" s="29"/>
    </row>
    <row r="548" customFormat="false" ht="15" hidden="false" customHeight="false" outlineLevel="0" collapsed="false">
      <c r="A548" s="32"/>
      <c r="B548" s="29"/>
      <c r="C548" s="29"/>
      <c r="D548" s="29"/>
      <c r="E548" s="28" t="str">
        <f aca="false">IF($D548="","",IFERROR(INDEX(المنتجات!$C$5:$C$24,MATCH($D548,المنتجات!$A$5:$A$24,0)),"كود غير موجود"))</f>
        <v/>
      </c>
      <c r="F548" s="28" t="str">
        <f aca="false">IF($D548="","",IFERROR(INDEX(المنتجات!$B$5:$B$24,MATCH($D548,المنتجات!$A$5:$A$24,0)),""))</f>
        <v/>
      </c>
      <c r="G548" s="24"/>
      <c r="H548" s="25" t="str">
        <f aca="false">IF($D548="","",IFERROR(INDEX(المنتجات!$F$5:$F$24,MATCH($D548,المنتجات!$A$5:$A$24,0)),0))</f>
        <v/>
      </c>
      <c r="I548" s="30"/>
      <c r="J548" s="25" t="str">
        <f aca="false">IF($D548="","",N(G548)*H548-N(I548))</f>
        <v/>
      </c>
      <c r="K548" s="25" t="str">
        <f aca="false">IF($D548="","",N(G548)*IFERROR(INDEX(المنتجات!$H$5:$H$24,MATCH($D548,المنتجات!$A$5:$A$24,0)),0))</f>
        <v/>
      </c>
      <c r="L548" s="25" t="str">
        <f aca="false">IF($D548="","",J548-K548)</f>
        <v/>
      </c>
      <c r="M548" s="29"/>
      <c r="N548" s="29"/>
    </row>
    <row r="549" customFormat="false" ht="15" hidden="false" customHeight="false" outlineLevel="0" collapsed="false">
      <c r="A549" s="32"/>
      <c r="B549" s="29"/>
      <c r="C549" s="29"/>
      <c r="D549" s="29"/>
      <c r="E549" s="28" t="str">
        <f aca="false">IF($D549="","",IFERROR(INDEX(المنتجات!$C$5:$C$24,MATCH($D549,المنتجات!$A$5:$A$24,0)),"كود غير موجود"))</f>
        <v/>
      </c>
      <c r="F549" s="28" t="str">
        <f aca="false">IF($D549="","",IFERROR(INDEX(المنتجات!$B$5:$B$24,MATCH($D549,المنتجات!$A$5:$A$24,0)),""))</f>
        <v/>
      </c>
      <c r="G549" s="24"/>
      <c r="H549" s="25" t="str">
        <f aca="false">IF($D549="","",IFERROR(INDEX(المنتجات!$F$5:$F$24,MATCH($D549,المنتجات!$A$5:$A$24,0)),0))</f>
        <v/>
      </c>
      <c r="I549" s="30"/>
      <c r="J549" s="25" t="str">
        <f aca="false">IF($D549="","",N(G549)*H549-N(I549))</f>
        <v/>
      </c>
      <c r="K549" s="25" t="str">
        <f aca="false">IF($D549="","",N(G549)*IFERROR(INDEX(المنتجات!$H$5:$H$24,MATCH($D549,المنتجات!$A$5:$A$24,0)),0))</f>
        <v/>
      </c>
      <c r="L549" s="25" t="str">
        <f aca="false">IF($D549="","",J549-K549)</f>
        <v/>
      </c>
      <c r="M549" s="29"/>
      <c r="N549" s="29"/>
    </row>
    <row r="550" customFormat="false" ht="15" hidden="false" customHeight="false" outlineLevel="0" collapsed="false">
      <c r="A550" s="32"/>
      <c r="B550" s="29"/>
      <c r="C550" s="29"/>
      <c r="D550" s="29"/>
      <c r="E550" s="28" t="str">
        <f aca="false">IF($D550="","",IFERROR(INDEX(المنتجات!$C$5:$C$24,MATCH($D550,المنتجات!$A$5:$A$24,0)),"كود غير موجود"))</f>
        <v/>
      </c>
      <c r="F550" s="28" t="str">
        <f aca="false">IF($D550="","",IFERROR(INDEX(المنتجات!$B$5:$B$24,MATCH($D550,المنتجات!$A$5:$A$24,0)),""))</f>
        <v/>
      </c>
      <c r="G550" s="24"/>
      <c r="H550" s="25" t="str">
        <f aca="false">IF($D550="","",IFERROR(INDEX(المنتجات!$F$5:$F$24,MATCH($D550,المنتجات!$A$5:$A$24,0)),0))</f>
        <v/>
      </c>
      <c r="I550" s="30"/>
      <c r="J550" s="25" t="str">
        <f aca="false">IF($D550="","",N(G550)*H550-N(I550))</f>
        <v/>
      </c>
      <c r="K550" s="25" t="str">
        <f aca="false">IF($D550="","",N(G550)*IFERROR(INDEX(المنتجات!$H$5:$H$24,MATCH($D550,المنتجات!$A$5:$A$24,0)),0))</f>
        <v/>
      </c>
      <c r="L550" s="25" t="str">
        <f aca="false">IF($D550="","",J550-K550)</f>
        <v/>
      </c>
      <c r="M550" s="29"/>
      <c r="N550" s="29"/>
    </row>
    <row r="551" customFormat="false" ht="15" hidden="false" customHeight="false" outlineLevel="0" collapsed="false">
      <c r="A551" s="32"/>
      <c r="B551" s="29"/>
      <c r="C551" s="29"/>
      <c r="D551" s="29"/>
      <c r="E551" s="28" t="str">
        <f aca="false">IF($D551="","",IFERROR(INDEX(المنتجات!$C$5:$C$24,MATCH($D551,المنتجات!$A$5:$A$24,0)),"كود غير موجود"))</f>
        <v/>
      </c>
      <c r="F551" s="28" t="str">
        <f aca="false">IF($D551="","",IFERROR(INDEX(المنتجات!$B$5:$B$24,MATCH($D551,المنتجات!$A$5:$A$24,0)),""))</f>
        <v/>
      </c>
      <c r="G551" s="24"/>
      <c r="H551" s="25" t="str">
        <f aca="false">IF($D551="","",IFERROR(INDEX(المنتجات!$F$5:$F$24,MATCH($D551,المنتجات!$A$5:$A$24,0)),0))</f>
        <v/>
      </c>
      <c r="I551" s="30"/>
      <c r="J551" s="25" t="str">
        <f aca="false">IF($D551="","",N(G551)*H551-N(I551))</f>
        <v/>
      </c>
      <c r="K551" s="25" t="str">
        <f aca="false">IF($D551="","",N(G551)*IFERROR(INDEX(المنتجات!$H$5:$H$24,MATCH($D551,المنتجات!$A$5:$A$24,0)),0))</f>
        <v/>
      </c>
      <c r="L551" s="25" t="str">
        <f aca="false">IF($D551="","",J551-K551)</f>
        <v/>
      </c>
      <c r="M551" s="29"/>
      <c r="N551" s="29"/>
    </row>
    <row r="552" customFormat="false" ht="15" hidden="false" customHeight="false" outlineLevel="0" collapsed="false">
      <c r="A552" s="32"/>
      <c r="B552" s="29"/>
      <c r="C552" s="29"/>
      <c r="D552" s="29"/>
      <c r="E552" s="28" t="str">
        <f aca="false">IF($D552="","",IFERROR(INDEX(المنتجات!$C$5:$C$24,MATCH($D552,المنتجات!$A$5:$A$24,0)),"كود غير موجود"))</f>
        <v/>
      </c>
      <c r="F552" s="28" t="str">
        <f aca="false">IF($D552="","",IFERROR(INDEX(المنتجات!$B$5:$B$24,MATCH($D552,المنتجات!$A$5:$A$24,0)),""))</f>
        <v/>
      </c>
      <c r="G552" s="24"/>
      <c r="H552" s="25" t="str">
        <f aca="false">IF($D552="","",IFERROR(INDEX(المنتجات!$F$5:$F$24,MATCH($D552,المنتجات!$A$5:$A$24,0)),0))</f>
        <v/>
      </c>
      <c r="I552" s="30"/>
      <c r="J552" s="25" t="str">
        <f aca="false">IF($D552="","",N(G552)*H552-N(I552))</f>
        <v/>
      </c>
      <c r="K552" s="25" t="str">
        <f aca="false">IF($D552="","",N(G552)*IFERROR(INDEX(المنتجات!$H$5:$H$24,MATCH($D552,المنتجات!$A$5:$A$24,0)),0))</f>
        <v/>
      </c>
      <c r="L552" s="25" t="str">
        <f aca="false">IF($D552="","",J552-K552)</f>
        <v/>
      </c>
      <c r="M552" s="29"/>
      <c r="N552" s="29"/>
    </row>
    <row r="553" customFormat="false" ht="15" hidden="false" customHeight="false" outlineLevel="0" collapsed="false">
      <c r="A553" s="32"/>
      <c r="B553" s="29"/>
      <c r="C553" s="29"/>
      <c r="D553" s="29"/>
      <c r="E553" s="28" t="str">
        <f aca="false">IF($D553="","",IFERROR(INDEX(المنتجات!$C$5:$C$24,MATCH($D553,المنتجات!$A$5:$A$24,0)),"كود غير موجود"))</f>
        <v/>
      </c>
      <c r="F553" s="28" t="str">
        <f aca="false">IF($D553="","",IFERROR(INDEX(المنتجات!$B$5:$B$24,MATCH($D553,المنتجات!$A$5:$A$24,0)),""))</f>
        <v/>
      </c>
      <c r="G553" s="24"/>
      <c r="H553" s="25" t="str">
        <f aca="false">IF($D553="","",IFERROR(INDEX(المنتجات!$F$5:$F$24,MATCH($D553,المنتجات!$A$5:$A$24,0)),0))</f>
        <v/>
      </c>
      <c r="I553" s="30"/>
      <c r="J553" s="25" t="str">
        <f aca="false">IF($D553="","",N(G553)*H553-N(I553))</f>
        <v/>
      </c>
      <c r="K553" s="25" t="str">
        <f aca="false">IF($D553="","",N(G553)*IFERROR(INDEX(المنتجات!$H$5:$H$24,MATCH($D553,المنتجات!$A$5:$A$24,0)),0))</f>
        <v/>
      </c>
      <c r="L553" s="25" t="str">
        <f aca="false">IF($D553="","",J553-K553)</f>
        <v/>
      </c>
      <c r="M553" s="29"/>
      <c r="N553" s="29"/>
    </row>
    <row r="554" customFormat="false" ht="15" hidden="false" customHeight="false" outlineLevel="0" collapsed="false">
      <c r="A554" s="32"/>
      <c r="B554" s="29"/>
      <c r="C554" s="29"/>
      <c r="D554" s="29"/>
      <c r="E554" s="28" t="str">
        <f aca="false">IF($D554="","",IFERROR(INDEX(المنتجات!$C$5:$C$24,MATCH($D554,المنتجات!$A$5:$A$24,0)),"كود غير موجود"))</f>
        <v/>
      </c>
      <c r="F554" s="28" t="str">
        <f aca="false">IF($D554="","",IFERROR(INDEX(المنتجات!$B$5:$B$24,MATCH($D554,المنتجات!$A$5:$A$24,0)),""))</f>
        <v/>
      </c>
      <c r="G554" s="24"/>
      <c r="H554" s="25" t="str">
        <f aca="false">IF($D554="","",IFERROR(INDEX(المنتجات!$F$5:$F$24,MATCH($D554,المنتجات!$A$5:$A$24,0)),0))</f>
        <v/>
      </c>
      <c r="I554" s="30"/>
      <c r="J554" s="25" t="str">
        <f aca="false">IF($D554="","",N(G554)*H554-N(I554))</f>
        <v/>
      </c>
      <c r="K554" s="25" t="str">
        <f aca="false">IF($D554="","",N(G554)*IFERROR(INDEX(المنتجات!$H$5:$H$24,MATCH($D554,المنتجات!$A$5:$A$24,0)),0))</f>
        <v/>
      </c>
      <c r="L554" s="25" t="str">
        <f aca="false">IF($D554="","",J554-K554)</f>
        <v/>
      </c>
      <c r="M554" s="29"/>
      <c r="N554" s="29"/>
    </row>
    <row r="555" customFormat="false" ht="15" hidden="false" customHeight="false" outlineLevel="0" collapsed="false">
      <c r="A555" s="32"/>
      <c r="B555" s="29"/>
      <c r="C555" s="29"/>
      <c r="D555" s="29"/>
      <c r="E555" s="28" t="str">
        <f aca="false">IF($D555="","",IFERROR(INDEX(المنتجات!$C$5:$C$24,MATCH($D555,المنتجات!$A$5:$A$24,0)),"كود غير موجود"))</f>
        <v/>
      </c>
      <c r="F555" s="28" t="str">
        <f aca="false">IF($D555="","",IFERROR(INDEX(المنتجات!$B$5:$B$24,MATCH($D555,المنتجات!$A$5:$A$24,0)),""))</f>
        <v/>
      </c>
      <c r="G555" s="24"/>
      <c r="H555" s="25" t="str">
        <f aca="false">IF($D555="","",IFERROR(INDEX(المنتجات!$F$5:$F$24,MATCH($D555,المنتجات!$A$5:$A$24,0)),0))</f>
        <v/>
      </c>
      <c r="I555" s="30"/>
      <c r="J555" s="25" t="str">
        <f aca="false">IF($D555="","",N(G555)*H555-N(I555))</f>
        <v/>
      </c>
      <c r="K555" s="25" t="str">
        <f aca="false">IF($D555="","",N(G555)*IFERROR(INDEX(المنتجات!$H$5:$H$24,MATCH($D555,المنتجات!$A$5:$A$24,0)),0))</f>
        <v/>
      </c>
      <c r="L555" s="25" t="str">
        <f aca="false">IF($D555="","",J555-K555)</f>
        <v/>
      </c>
      <c r="M555" s="29"/>
      <c r="N555" s="29"/>
    </row>
    <row r="556" customFormat="false" ht="15" hidden="false" customHeight="false" outlineLevel="0" collapsed="false">
      <c r="A556" s="32"/>
      <c r="B556" s="29"/>
      <c r="C556" s="29"/>
      <c r="D556" s="29"/>
      <c r="E556" s="28" t="str">
        <f aca="false">IF($D556="","",IFERROR(INDEX(المنتجات!$C$5:$C$24,MATCH($D556,المنتجات!$A$5:$A$24,0)),"كود غير موجود"))</f>
        <v/>
      </c>
      <c r="F556" s="28" t="str">
        <f aca="false">IF($D556="","",IFERROR(INDEX(المنتجات!$B$5:$B$24,MATCH($D556,المنتجات!$A$5:$A$24,0)),""))</f>
        <v/>
      </c>
      <c r="G556" s="24"/>
      <c r="H556" s="25" t="str">
        <f aca="false">IF($D556="","",IFERROR(INDEX(المنتجات!$F$5:$F$24,MATCH($D556,المنتجات!$A$5:$A$24,0)),0))</f>
        <v/>
      </c>
      <c r="I556" s="30"/>
      <c r="J556" s="25" t="str">
        <f aca="false">IF($D556="","",N(G556)*H556-N(I556))</f>
        <v/>
      </c>
      <c r="K556" s="25" t="str">
        <f aca="false">IF($D556="","",N(G556)*IFERROR(INDEX(المنتجات!$H$5:$H$24,MATCH($D556,المنتجات!$A$5:$A$24,0)),0))</f>
        <v/>
      </c>
      <c r="L556" s="25" t="str">
        <f aca="false">IF($D556="","",J556-K556)</f>
        <v/>
      </c>
      <c r="M556" s="29"/>
      <c r="N556" s="29"/>
    </row>
    <row r="557" customFormat="false" ht="15" hidden="false" customHeight="false" outlineLevel="0" collapsed="false">
      <c r="A557" s="32"/>
      <c r="B557" s="29"/>
      <c r="C557" s="29"/>
      <c r="D557" s="29"/>
      <c r="E557" s="28" t="str">
        <f aca="false">IF($D557="","",IFERROR(INDEX(المنتجات!$C$5:$C$24,MATCH($D557,المنتجات!$A$5:$A$24,0)),"كود غير موجود"))</f>
        <v/>
      </c>
      <c r="F557" s="28" t="str">
        <f aca="false">IF($D557="","",IFERROR(INDEX(المنتجات!$B$5:$B$24,MATCH($D557,المنتجات!$A$5:$A$24,0)),""))</f>
        <v/>
      </c>
      <c r="G557" s="24"/>
      <c r="H557" s="25" t="str">
        <f aca="false">IF($D557="","",IFERROR(INDEX(المنتجات!$F$5:$F$24,MATCH($D557,المنتجات!$A$5:$A$24,0)),0))</f>
        <v/>
      </c>
      <c r="I557" s="30"/>
      <c r="J557" s="25" t="str">
        <f aca="false">IF($D557="","",N(G557)*H557-N(I557))</f>
        <v/>
      </c>
      <c r="K557" s="25" t="str">
        <f aca="false">IF($D557="","",N(G557)*IFERROR(INDEX(المنتجات!$H$5:$H$24,MATCH($D557,المنتجات!$A$5:$A$24,0)),0))</f>
        <v/>
      </c>
      <c r="L557" s="25" t="str">
        <f aca="false">IF($D557="","",J557-K557)</f>
        <v/>
      </c>
      <c r="M557" s="29"/>
      <c r="N557" s="29"/>
    </row>
    <row r="558" customFormat="false" ht="15" hidden="false" customHeight="false" outlineLevel="0" collapsed="false">
      <c r="A558" s="32"/>
      <c r="B558" s="29"/>
      <c r="C558" s="29"/>
      <c r="D558" s="29"/>
      <c r="E558" s="28" t="str">
        <f aca="false">IF($D558="","",IFERROR(INDEX(المنتجات!$C$5:$C$24,MATCH($D558,المنتجات!$A$5:$A$24,0)),"كود غير موجود"))</f>
        <v/>
      </c>
      <c r="F558" s="28" t="str">
        <f aca="false">IF($D558="","",IFERROR(INDEX(المنتجات!$B$5:$B$24,MATCH($D558,المنتجات!$A$5:$A$24,0)),""))</f>
        <v/>
      </c>
      <c r="G558" s="24"/>
      <c r="H558" s="25" t="str">
        <f aca="false">IF($D558="","",IFERROR(INDEX(المنتجات!$F$5:$F$24,MATCH($D558,المنتجات!$A$5:$A$24,0)),0))</f>
        <v/>
      </c>
      <c r="I558" s="30"/>
      <c r="J558" s="25" t="str">
        <f aca="false">IF($D558="","",N(G558)*H558-N(I558))</f>
        <v/>
      </c>
      <c r="K558" s="25" t="str">
        <f aca="false">IF($D558="","",N(G558)*IFERROR(INDEX(المنتجات!$H$5:$H$24,MATCH($D558,المنتجات!$A$5:$A$24,0)),0))</f>
        <v/>
      </c>
      <c r="L558" s="25" t="str">
        <f aca="false">IF($D558="","",J558-K558)</f>
        <v/>
      </c>
      <c r="M558" s="29"/>
      <c r="N558" s="29"/>
    </row>
    <row r="559" customFormat="false" ht="15" hidden="false" customHeight="false" outlineLevel="0" collapsed="false">
      <c r="A559" s="32"/>
      <c r="B559" s="29"/>
      <c r="C559" s="29"/>
      <c r="D559" s="29"/>
      <c r="E559" s="28" t="str">
        <f aca="false">IF($D559="","",IFERROR(INDEX(المنتجات!$C$5:$C$24,MATCH($D559,المنتجات!$A$5:$A$24,0)),"كود غير موجود"))</f>
        <v/>
      </c>
      <c r="F559" s="28" t="str">
        <f aca="false">IF($D559="","",IFERROR(INDEX(المنتجات!$B$5:$B$24,MATCH($D559,المنتجات!$A$5:$A$24,0)),""))</f>
        <v/>
      </c>
      <c r="G559" s="24"/>
      <c r="H559" s="25" t="str">
        <f aca="false">IF($D559="","",IFERROR(INDEX(المنتجات!$F$5:$F$24,MATCH($D559,المنتجات!$A$5:$A$24,0)),0))</f>
        <v/>
      </c>
      <c r="I559" s="30"/>
      <c r="J559" s="25" t="str">
        <f aca="false">IF($D559="","",N(G559)*H559-N(I559))</f>
        <v/>
      </c>
      <c r="K559" s="25" t="str">
        <f aca="false">IF($D559="","",N(G559)*IFERROR(INDEX(المنتجات!$H$5:$H$24,MATCH($D559,المنتجات!$A$5:$A$24,0)),0))</f>
        <v/>
      </c>
      <c r="L559" s="25" t="str">
        <f aca="false">IF($D559="","",J559-K559)</f>
        <v/>
      </c>
      <c r="M559" s="29"/>
      <c r="N559" s="29"/>
    </row>
    <row r="560" customFormat="false" ht="15" hidden="false" customHeight="false" outlineLevel="0" collapsed="false">
      <c r="A560" s="32"/>
      <c r="B560" s="29"/>
      <c r="C560" s="29"/>
      <c r="D560" s="29"/>
      <c r="E560" s="28" t="str">
        <f aca="false">IF($D560="","",IFERROR(INDEX(المنتجات!$C$5:$C$24,MATCH($D560,المنتجات!$A$5:$A$24,0)),"كود غير موجود"))</f>
        <v/>
      </c>
      <c r="F560" s="28" t="str">
        <f aca="false">IF($D560="","",IFERROR(INDEX(المنتجات!$B$5:$B$24,MATCH($D560,المنتجات!$A$5:$A$24,0)),""))</f>
        <v/>
      </c>
      <c r="G560" s="24"/>
      <c r="H560" s="25" t="str">
        <f aca="false">IF($D560="","",IFERROR(INDEX(المنتجات!$F$5:$F$24,MATCH($D560,المنتجات!$A$5:$A$24,0)),0))</f>
        <v/>
      </c>
      <c r="I560" s="30"/>
      <c r="J560" s="25" t="str">
        <f aca="false">IF($D560="","",N(G560)*H560-N(I560))</f>
        <v/>
      </c>
      <c r="K560" s="25" t="str">
        <f aca="false">IF($D560="","",N(G560)*IFERROR(INDEX(المنتجات!$H$5:$H$24,MATCH($D560,المنتجات!$A$5:$A$24,0)),0))</f>
        <v/>
      </c>
      <c r="L560" s="25" t="str">
        <f aca="false">IF($D560="","",J560-K560)</f>
        <v/>
      </c>
      <c r="M560" s="29"/>
      <c r="N560" s="29"/>
    </row>
    <row r="561" customFormat="false" ht="15" hidden="false" customHeight="false" outlineLevel="0" collapsed="false">
      <c r="A561" s="32"/>
      <c r="B561" s="29"/>
      <c r="C561" s="29"/>
      <c r="D561" s="29"/>
      <c r="E561" s="28" t="str">
        <f aca="false">IF($D561="","",IFERROR(INDEX(المنتجات!$C$5:$C$24,MATCH($D561,المنتجات!$A$5:$A$24,0)),"كود غير موجود"))</f>
        <v/>
      </c>
      <c r="F561" s="28" t="str">
        <f aca="false">IF($D561="","",IFERROR(INDEX(المنتجات!$B$5:$B$24,MATCH($D561,المنتجات!$A$5:$A$24,0)),""))</f>
        <v/>
      </c>
      <c r="G561" s="24"/>
      <c r="H561" s="25" t="str">
        <f aca="false">IF($D561="","",IFERROR(INDEX(المنتجات!$F$5:$F$24,MATCH($D561,المنتجات!$A$5:$A$24,0)),0))</f>
        <v/>
      </c>
      <c r="I561" s="30"/>
      <c r="J561" s="25" t="str">
        <f aca="false">IF($D561="","",N(G561)*H561-N(I561))</f>
        <v/>
      </c>
      <c r="K561" s="25" t="str">
        <f aca="false">IF($D561="","",N(G561)*IFERROR(INDEX(المنتجات!$H$5:$H$24,MATCH($D561,المنتجات!$A$5:$A$24,0)),0))</f>
        <v/>
      </c>
      <c r="L561" s="25" t="str">
        <f aca="false">IF($D561="","",J561-K561)</f>
        <v/>
      </c>
      <c r="M561" s="29"/>
      <c r="N561" s="29"/>
    </row>
    <row r="562" customFormat="false" ht="15" hidden="false" customHeight="false" outlineLevel="0" collapsed="false">
      <c r="A562" s="32"/>
      <c r="B562" s="29"/>
      <c r="C562" s="29"/>
      <c r="D562" s="29"/>
      <c r="E562" s="28" t="str">
        <f aca="false">IF($D562="","",IFERROR(INDEX(المنتجات!$C$5:$C$24,MATCH($D562,المنتجات!$A$5:$A$24,0)),"كود غير موجود"))</f>
        <v/>
      </c>
      <c r="F562" s="28" t="str">
        <f aca="false">IF($D562="","",IFERROR(INDEX(المنتجات!$B$5:$B$24,MATCH($D562,المنتجات!$A$5:$A$24,0)),""))</f>
        <v/>
      </c>
      <c r="G562" s="24"/>
      <c r="H562" s="25" t="str">
        <f aca="false">IF($D562="","",IFERROR(INDEX(المنتجات!$F$5:$F$24,MATCH($D562,المنتجات!$A$5:$A$24,0)),0))</f>
        <v/>
      </c>
      <c r="I562" s="30"/>
      <c r="J562" s="25" t="str">
        <f aca="false">IF($D562="","",N(G562)*H562-N(I562))</f>
        <v/>
      </c>
      <c r="K562" s="25" t="str">
        <f aca="false">IF($D562="","",N(G562)*IFERROR(INDEX(المنتجات!$H$5:$H$24,MATCH($D562,المنتجات!$A$5:$A$24,0)),0))</f>
        <v/>
      </c>
      <c r="L562" s="25" t="str">
        <f aca="false">IF($D562="","",J562-K562)</f>
        <v/>
      </c>
      <c r="M562" s="29"/>
      <c r="N562" s="29"/>
    </row>
    <row r="563" customFormat="false" ht="15" hidden="false" customHeight="false" outlineLevel="0" collapsed="false">
      <c r="A563" s="32"/>
      <c r="B563" s="29"/>
      <c r="C563" s="29"/>
      <c r="D563" s="29"/>
      <c r="E563" s="28" t="str">
        <f aca="false">IF($D563="","",IFERROR(INDEX(المنتجات!$C$5:$C$24,MATCH($D563,المنتجات!$A$5:$A$24,0)),"كود غير موجود"))</f>
        <v/>
      </c>
      <c r="F563" s="28" t="str">
        <f aca="false">IF($D563="","",IFERROR(INDEX(المنتجات!$B$5:$B$24,MATCH($D563,المنتجات!$A$5:$A$24,0)),""))</f>
        <v/>
      </c>
      <c r="G563" s="24"/>
      <c r="H563" s="25" t="str">
        <f aca="false">IF($D563="","",IFERROR(INDEX(المنتجات!$F$5:$F$24,MATCH($D563,المنتجات!$A$5:$A$24,0)),0))</f>
        <v/>
      </c>
      <c r="I563" s="30"/>
      <c r="J563" s="25" t="str">
        <f aca="false">IF($D563="","",N(G563)*H563-N(I563))</f>
        <v/>
      </c>
      <c r="K563" s="25" t="str">
        <f aca="false">IF($D563="","",N(G563)*IFERROR(INDEX(المنتجات!$H$5:$H$24,MATCH($D563,المنتجات!$A$5:$A$24,0)),0))</f>
        <v/>
      </c>
      <c r="L563" s="25" t="str">
        <f aca="false">IF($D563="","",J563-K563)</f>
        <v/>
      </c>
      <c r="M563" s="29"/>
      <c r="N563" s="29"/>
    </row>
    <row r="564" customFormat="false" ht="15" hidden="false" customHeight="false" outlineLevel="0" collapsed="false">
      <c r="A564" s="32"/>
      <c r="B564" s="29"/>
      <c r="C564" s="29"/>
      <c r="D564" s="29"/>
      <c r="E564" s="28" t="str">
        <f aca="false">IF($D564="","",IFERROR(INDEX(المنتجات!$C$5:$C$24,MATCH($D564,المنتجات!$A$5:$A$24,0)),"كود غير موجود"))</f>
        <v/>
      </c>
      <c r="F564" s="28" t="str">
        <f aca="false">IF($D564="","",IFERROR(INDEX(المنتجات!$B$5:$B$24,MATCH($D564,المنتجات!$A$5:$A$24,0)),""))</f>
        <v/>
      </c>
      <c r="G564" s="24"/>
      <c r="H564" s="25" t="str">
        <f aca="false">IF($D564="","",IFERROR(INDEX(المنتجات!$F$5:$F$24,MATCH($D564,المنتجات!$A$5:$A$24,0)),0))</f>
        <v/>
      </c>
      <c r="I564" s="30"/>
      <c r="J564" s="25" t="str">
        <f aca="false">IF($D564="","",N(G564)*H564-N(I564))</f>
        <v/>
      </c>
      <c r="K564" s="25" t="str">
        <f aca="false">IF($D564="","",N(G564)*IFERROR(INDEX(المنتجات!$H$5:$H$24,MATCH($D564,المنتجات!$A$5:$A$24,0)),0))</f>
        <v/>
      </c>
      <c r="L564" s="25" t="str">
        <f aca="false">IF($D564="","",J564-K564)</f>
        <v/>
      </c>
      <c r="M564" s="29"/>
      <c r="N564" s="29"/>
    </row>
    <row r="565" customFormat="false" ht="15" hidden="false" customHeight="false" outlineLevel="0" collapsed="false">
      <c r="A565" s="32"/>
      <c r="B565" s="29"/>
      <c r="C565" s="29"/>
      <c r="D565" s="29"/>
      <c r="E565" s="28" t="str">
        <f aca="false">IF($D565="","",IFERROR(INDEX(المنتجات!$C$5:$C$24,MATCH($D565,المنتجات!$A$5:$A$24,0)),"كود غير موجود"))</f>
        <v/>
      </c>
      <c r="F565" s="28" t="str">
        <f aca="false">IF($D565="","",IFERROR(INDEX(المنتجات!$B$5:$B$24,MATCH($D565,المنتجات!$A$5:$A$24,0)),""))</f>
        <v/>
      </c>
      <c r="G565" s="24"/>
      <c r="H565" s="25" t="str">
        <f aca="false">IF($D565="","",IFERROR(INDEX(المنتجات!$F$5:$F$24,MATCH($D565,المنتجات!$A$5:$A$24,0)),0))</f>
        <v/>
      </c>
      <c r="I565" s="30"/>
      <c r="J565" s="25" t="str">
        <f aca="false">IF($D565="","",N(G565)*H565-N(I565))</f>
        <v/>
      </c>
      <c r="K565" s="25" t="str">
        <f aca="false">IF($D565="","",N(G565)*IFERROR(INDEX(المنتجات!$H$5:$H$24,MATCH($D565,المنتجات!$A$5:$A$24,0)),0))</f>
        <v/>
      </c>
      <c r="L565" s="25" t="str">
        <f aca="false">IF($D565="","",J565-K565)</f>
        <v/>
      </c>
      <c r="M565" s="29"/>
      <c r="N565" s="29"/>
    </row>
    <row r="566" customFormat="false" ht="15" hidden="false" customHeight="false" outlineLevel="0" collapsed="false">
      <c r="A566" s="32"/>
      <c r="B566" s="29"/>
      <c r="C566" s="29"/>
      <c r="D566" s="29"/>
      <c r="E566" s="28" t="str">
        <f aca="false">IF($D566="","",IFERROR(INDEX(المنتجات!$C$5:$C$24,MATCH($D566,المنتجات!$A$5:$A$24,0)),"كود غير موجود"))</f>
        <v/>
      </c>
      <c r="F566" s="28" t="str">
        <f aca="false">IF($D566="","",IFERROR(INDEX(المنتجات!$B$5:$B$24,MATCH($D566,المنتجات!$A$5:$A$24,0)),""))</f>
        <v/>
      </c>
      <c r="G566" s="24"/>
      <c r="H566" s="25" t="str">
        <f aca="false">IF($D566="","",IFERROR(INDEX(المنتجات!$F$5:$F$24,MATCH($D566,المنتجات!$A$5:$A$24,0)),0))</f>
        <v/>
      </c>
      <c r="I566" s="30"/>
      <c r="J566" s="25" t="str">
        <f aca="false">IF($D566="","",N(G566)*H566-N(I566))</f>
        <v/>
      </c>
      <c r="K566" s="25" t="str">
        <f aca="false">IF($D566="","",N(G566)*IFERROR(INDEX(المنتجات!$H$5:$H$24,MATCH($D566,المنتجات!$A$5:$A$24,0)),0))</f>
        <v/>
      </c>
      <c r="L566" s="25" t="str">
        <f aca="false">IF($D566="","",J566-K566)</f>
        <v/>
      </c>
      <c r="M566" s="29"/>
      <c r="N566" s="29"/>
    </row>
    <row r="567" customFormat="false" ht="15" hidden="false" customHeight="false" outlineLevel="0" collapsed="false">
      <c r="A567" s="32"/>
      <c r="B567" s="29"/>
      <c r="C567" s="29"/>
      <c r="D567" s="29"/>
      <c r="E567" s="28" t="str">
        <f aca="false">IF($D567="","",IFERROR(INDEX(المنتجات!$C$5:$C$24,MATCH($D567,المنتجات!$A$5:$A$24,0)),"كود غير موجود"))</f>
        <v/>
      </c>
      <c r="F567" s="28" t="str">
        <f aca="false">IF($D567="","",IFERROR(INDEX(المنتجات!$B$5:$B$24,MATCH($D567,المنتجات!$A$5:$A$24,0)),""))</f>
        <v/>
      </c>
      <c r="G567" s="24"/>
      <c r="H567" s="25" t="str">
        <f aca="false">IF($D567="","",IFERROR(INDEX(المنتجات!$F$5:$F$24,MATCH($D567,المنتجات!$A$5:$A$24,0)),0))</f>
        <v/>
      </c>
      <c r="I567" s="30"/>
      <c r="J567" s="25" t="str">
        <f aca="false">IF($D567="","",N(G567)*H567-N(I567))</f>
        <v/>
      </c>
      <c r="K567" s="25" t="str">
        <f aca="false">IF($D567="","",N(G567)*IFERROR(INDEX(المنتجات!$H$5:$H$24,MATCH($D567,المنتجات!$A$5:$A$24,0)),0))</f>
        <v/>
      </c>
      <c r="L567" s="25" t="str">
        <f aca="false">IF($D567="","",J567-K567)</f>
        <v/>
      </c>
      <c r="M567" s="29"/>
      <c r="N567" s="29"/>
    </row>
    <row r="568" customFormat="false" ht="15" hidden="false" customHeight="false" outlineLevel="0" collapsed="false">
      <c r="A568" s="32"/>
      <c r="B568" s="29"/>
      <c r="C568" s="29"/>
      <c r="D568" s="29"/>
      <c r="E568" s="28" t="str">
        <f aca="false">IF($D568="","",IFERROR(INDEX(المنتجات!$C$5:$C$24,MATCH($D568,المنتجات!$A$5:$A$24,0)),"كود غير موجود"))</f>
        <v/>
      </c>
      <c r="F568" s="28" t="str">
        <f aca="false">IF($D568="","",IFERROR(INDEX(المنتجات!$B$5:$B$24,MATCH($D568,المنتجات!$A$5:$A$24,0)),""))</f>
        <v/>
      </c>
      <c r="G568" s="24"/>
      <c r="H568" s="25" t="str">
        <f aca="false">IF($D568="","",IFERROR(INDEX(المنتجات!$F$5:$F$24,MATCH($D568,المنتجات!$A$5:$A$24,0)),0))</f>
        <v/>
      </c>
      <c r="I568" s="30"/>
      <c r="J568" s="25" t="str">
        <f aca="false">IF($D568="","",N(G568)*H568-N(I568))</f>
        <v/>
      </c>
      <c r="K568" s="25" t="str">
        <f aca="false">IF($D568="","",N(G568)*IFERROR(INDEX(المنتجات!$H$5:$H$24,MATCH($D568,المنتجات!$A$5:$A$24,0)),0))</f>
        <v/>
      </c>
      <c r="L568" s="25" t="str">
        <f aca="false">IF($D568="","",J568-K568)</f>
        <v/>
      </c>
      <c r="M568" s="29"/>
      <c r="N568" s="29"/>
    </row>
    <row r="569" customFormat="false" ht="15" hidden="false" customHeight="false" outlineLevel="0" collapsed="false">
      <c r="A569" s="32"/>
      <c r="B569" s="29"/>
      <c r="C569" s="29"/>
      <c r="D569" s="29"/>
      <c r="E569" s="28" t="str">
        <f aca="false">IF($D569="","",IFERROR(INDEX(المنتجات!$C$5:$C$24,MATCH($D569,المنتجات!$A$5:$A$24,0)),"كود غير موجود"))</f>
        <v/>
      </c>
      <c r="F569" s="28" t="str">
        <f aca="false">IF($D569="","",IFERROR(INDEX(المنتجات!$B$5:$B$24,MATCH($D569,المنتجات!$A$5:$A$24,0)),""))</f>
        <v/>
      </c>
      <c r="G569" s="24"/>
      <c r="H569" s="25" t="str">
        <f aca="false">IF($D569="","",IFERROR(INDEX(المنتجات!$F$5:$F$24,MATCH($D569,المنتجات!$A$5:$A$24,0)),0))</f>
        <v/>
      </c>
      <c r="I569" s="30"/>
      <c r="J569" s="25" t="str">
        <f aca="false">IF($D569="","",N(G569)*H569-N(I569))</f>
        <v/>
      </c>
      <c r="K569" s="25" t="str">
        <f aca="false">IF($D569="","",N(G569)*IFERROR(INDEX(المنتجات!$H$5:$H$24,MATCH($D569,المنتجات!$A$5:$A$24,0)),0))</f>
        <v/>
      </c>
      <c r="L569" s="25" t="str">
        <f aca="false">IF($D569="","",J569-K569)</f>
        <v/>
      </c>
      <c r="M569" s="29"/>
      <c r="N569" s="29"/>
    </row>
    <row r="570" customFormat="false" ht="15" hidden="false" customHeight="false" outlineLevel="0" collapsed="false">
      <c r="A570" s="32"/>
      <c r="B570" s="29"/>
      <c r="C570" s="29"/>
      <c r="D570" s="29"/>
      <c r="E570" s="28" t="str">
        <f aca="false">IF($D570="","",IFERROR(INDEX(المنتجات!$C$5:$C$24,MATCH($D570,المنتجات!$A$5:$A$24,0)),"كود غير موجود"))</f>
        <v/>
      </c>
      <c r="F570" s="28" t="str">
        <f aca="false">IF($D570="","",IFERROR(INDEX(المنتجات!$B$5:$B$24,MATCH($D570,المنتجات!$A$5:$A$24,0)),""))</f>
        <v/>
      </c>
      <c r="G570" s="24"/>
      <c r="H570" s="25" t="str">
        <f aca="false">IF($D570="","",IFERROR(INDEX(المنتجات!$F$5:$F$24,MATCH($D570,المنتجات!$A$5:$A$24,0)),0))</f>
        <v/>
      </c>
      <c r="I570" s="30"/>
      <c r="J570" s="25" t="str">
        <f aca="false">IF($D570="","",N(G570)*H570-N(I570))</f>
        <v/>
      </c>
      <c r="K570" s="25" t="str">
        <f aca="false">IF($D570="","",N(G570)*IFERROR(INDEX(المنتجات!$H$5:$H$24,MATCH($D570,المنتجات!$A$5:$A$24,0)),0))</f>
        <v/>
      </c>
      <c r="L570" s="25" t="str">
        <f aca="false">IF($D570="","",J570-K570)</f>
        <v/>
      </c>
      <c r="M570" s="29"/>
      <c r="N570" s="29"/>
    </row>
    <row r="571" customFormat="false" ht="15" hidden="false" customHeight="false" outlineLevel="0" collapsed="false">
      <c r="A571" s="32"/>
      <c r="B571" s="29"/>
      <c r="C571" s="29"/>
      <c r="D571" s="29"/>
      <c r="E571" s="28" t="str">
        <f aca="false">IF($D571="","",IFERROR(INDEX(المنتجات!$C$5:$C$24,MATCH($D571,المنتجات!$A$5:$A$24,0)),"كود غير موجود"))</f>
        <v/>
      </c>
      <c r="F571" s="28" t="str">
        <f aca="false">IF($D571="","",IFERROR(INDEX(المنتجات!$B$5:$B$24,MATCH($D571,المنتجات!$A$5:$A$24,0)),""))</f>
        <v/>
      </c>
      <c r="G571" s="24"/>
      <c r="H571" s="25" t="str">
        <f aca="false">IF($D571="","",IFERROR(INDEX(المنتجات!$F$5:$F$24,MATCH($D571,المنتجات!$A$5:$A$24,0)),0))</f>
        <v/>
      </c>
      <c r="I571" s="30"/>
      <c r="J571" s="25" t="str">
        <f aca="false">IF($D571="","",N(G571)*H571-N(I571))</f>
        <v/>
      </c>
      <c r="K571" s="25" t="str">
        <f aca="false">IF($D571="","",N(G571)*IFERROR(INDEX(المنتجات!$H$5:$H$24,MATCH($D571,المنتجات!$A$5:$A$24,0)),0))</f>
        <v/>
      </c>
      <c r="L571" s="25" t="str">
        <f aca="false">IF($D571="","",J571-K571)</f>
        <v/>
      </c>
      <c r="M571" s="29"/>
      <c r="N571" s="29"/>
    </row>
    <row r="572" customFormat="false" ht="15" hidden="false" customHeight="false" outlineLevel="0" collapsed="false">
      <c r="A572" s="32"/>
      <c r="B572" s="29"/>
      <c r="C572" s="29"/>
      <c r="D572" s="29"/>
      <c r="E572" s="28" t="str">
        <f aca="false">IF($D572="","",IFERROR(INDEX(المنتجات!$C$5:$C$24,MATCH($D572,المنتجات!$A$5:$A$24,0)),"كود غير موجود"))</f>
        <v/>
      </c>
      <c r="F572" s="28" t="str">
        <f aca="false">IF($D572="","",IFERROR(INDEX(المنتجات!$B$5:$B$24,MATCH($D572,المنتجات!$A$5:$A$24,0)),""))</f>
        <v/>
      </c>
      <c r="G572" s="24"/>
      <c r="H572" s="25" t="str">
        <f aca="false">IF($D572="","",IFERROR(INDEX(المنتجات!$F$5:$F$24,MATCH($D572,المنتجات!$A$5:$A$24,0)),0))</f>
        <v/>
      </c>
      <c r="I572" s="30"/>
      <c r="J572" s="25" t="str">
        <f aca="false">IF($D572="","",N(G572)*H572-N(I572))</f>
        <v/>
      </c>
      <c r="K572" s="25" t="str">
        <f aca="false">IF($D572="","",N(G572)*IFERROR(INDEX(المنتجات!$H$5:$H$24,MATCH($D572,المنتجات!$A$5:$A$24,0)),0))</f>
        <v/>
      </c>
      <c r="L572" s="25" t="str">
        <f aca="false">IF($D572="","",J572-K572)</f>
        <v/>
      </c>
      <c r="M572" s="29"/>
      <c r="N572" s="29"/>
    </row>
    <row r="573" customFormat="false" ht="15" hidden="false" customHeight="false" outlineLevel="0" collapsed="false">
      <c r="A573" s="32"/>
      <c r="B573" s="29"/>
      <c r="C573" s="29"/>
      <c r="D573" s="29"/>
      <c r="E573" s="28" t="str">
        <f aca="false">IF($D573="","",IFERROR(INDEX(المنتجات!$C$5:$C$24,MATCH($D573,المنتجات!$A$5:$A$24,0)),"كود غير موجود"))</f>
        <v/>
      </c>
      <c r="F573" s="28" t="str">
        <f aca="false">IF($D573="","",IFERROR(INDEX(المنتجات!$B$5:$B$24,MATCH($D573,المنتجات!$A$5:$A$24,0)),""))</f>
        <v/>
      </c>
      <c r="G573" s="24"/>
      <c r="H573" s="25" t="str">
        <f aca="false">IF($D573="","",IFERROR(INDEX(المنتجات!$F$5:$F$24,MATCH($D573,المنتجات!$A$5:$A$24,0)),0))</f>
        <v/>
      </c>
      <c r="I573" s="30"/>
      <c r="J573" s="25" t="str">
        <f aca="false">IF($D573="","",N(G573)*H573-N(I573))</f>
        <v/>
      </c>
      <c r="K573" s="25" t="str">
        <f aca="false">IF($D573="","",N(G573)*IFERROR(INDEX(المنتجات!$H$5:$H$24,MATCH($D573,المنتجات!$A$5:$A$24,0)),0))</f>
        <v/>
      </c>
      <c r="L573" s="25" t="str">
        <f aca="false">IF($D573="","",J573-K573)</f>
        <v/>
      </c>
      <c r="M573" s="29"/>
      <c r="N573" s="29"/>
    </row>
    <row r="574" customFormat="false" ht="15" hidden="false" customHeight="false" outlineLevel="0" collapsed="false">
      <c r="A574" s="32"/>
      <c r="B574" s="29"/>
      <c r="C574" s="29"/>
      <c r="D574" s="29"/>
      <c r="E574" s="28" t="str">
        <f aca="false">IF($D574="","",IFERROR(INDEX(المنتجات!$C$5:$C$24,MATCH($D574,المنتجات!$A$5:$A$24,0)),"كود غير موجود"))</f>
        <v/>
      </c>
      <c r="F574" s="28" t="str">
        <f aca="false">IF($D574="","",IFERROR(INDEX(المنتجات!$B$5:$B$24,MATCH($D574,المنتجات!$A$5:$A$24,0)),""))</f>
        <v/>
      </c>
      <c r="G574" s="24"/>
      <c r="H574" s="25" t="str">
        <f aca="false">IF($D574="","",IFERROR(INDEX(المنتجات!$F$5:$F$24,MATCH($D574,المنتجات!$A$5:$A$24,0)),0))</f>
        <v/>
      </c>
      <c r="I574" s="30"/>
      <c r="J574" s="25" t="str">
        <f aca="false">IF($D574="","",N(G574)*H574-N(I574))</f>
        <v/>
      </c>
      <c r="K574" s="25" t="str">
        <f aca="false">IF($D574="","",N(G574)*IFERROR(INDEX(المنتجات!$H$5:$H$24,MATCH($D574,المنتجات!$A$5:$A$24,0)),0))</f>
        <v/>
      </c>
      <c r="L574" s="25" t="str">
        <f aca="false">IF($D574="","",J574-K574)</f>
        <v/>
      </c>
      <c r="M574" s="29"/>
      <c r="N574" s="29"/>
    </row>
    <row r="575" customFormat="false" ht="15" hidden="false" customHeight="false" outlineLevel="0" collapsed="false">
      <c r="A575" s="32"/>
      <c r="B575" s="29"/>
      <c r="C575" s="29"/>
      <c r="D575" s="29"/>
      <c r="E575" s="28" t="str">
        <f aca="false">IF($D575="","",IFERROR(INDEX(المنتجات!$C$5:$C$24,MATCH($D575,المنتجات!$A$5:$A$24,0)),"كود غير موجود"))</f>
        <v/>
      </c>
      <c r="F575" s="28" t="str">
        <f aca="false">IF($D575="","",IFERROR(INDEX(المنتجات!$B$5:$B$24,MATCH($D575,المنتجات!$A$5:$A$24,0)),""))</f>
        <v/>
      </c>
      <c r="G575" s="24"/>
      <c r="H575" s="25" t="str">
        <f aca="false">IF($D575="","",IFERROR(INDEX(المنتجات!$F$5:$F$24,MATCH($D575,المنتجات!$A$5:$A$24,0)),0))</f>
        <v/>
      </c>
      <c r="I575" s="30"/>
      <c r="J575" s="25" t="str">
        <f aca="false">IF($D575="","",N(G575)*H575-N(I575))</f>
        <v/>
      </c>
      <c r="K575" s="25" t="str">
        <f aca="false">IF($D575="","",N(G575)*IFERROR(INDEX(المنتجات!$H$5:$H$24,MATCH($D575,المنتجات!$A$5:$A$24,0)),0))</f>
        <v/>
      </c>
      <c r="L575" s="25" t="str">
        <f aca="false">IF($D575="","",J575-K575)</f>
        <v/>
      </c>
      <c r="M575" s="29"/>
      <c r="N575" s="29"/>
    </row>
    <row r="576" customFormat="false" ht="15" hidden="false" customHeight="false" outlineLevel="0" collapsed="false">
      <c r="A576" s="32"/>
      <c r="B576" s="29"/>
      <c r="C576" s="29"/>
      <c r="D576" s="29"/>
      <c r="E576" s="28" t="str">
        <f aca="false">IF($D576="","",IFERROR(INDEX(المنتجات!$C$5:$C$24,MATCH($D576,المنتجات!$A$5:$A$24,0)),"كود غير موجود"))</f>
        <v/>
      </c>
      <c r="F576" s="28" t="str">
        <f aca="false">IF($D576="","",IFERROR(INDEX(المنتجات!$B$5:$B$24,MATCH($D576,المنتجات!$A$5:$A$24,0)),""))</f>
        <v/>
      </c>
      <c r="G576" s="24"/>
      <c r="H576" s="25" t="str">
        <f aca="false">IF($D576="","",IFERROR(INDEX(المنتجات!$F$5:$F$24,MATCH($D576,المنتجات!$A$5:$A$24,0)),0))</f>
        <v/>
      </c>
      <c r="I576" s="30"/>
      <c r="J576" s="25" t="str">
        <f aca="false">IF($D576="","",N(G576)*H576-N(I576))</f>
        <v/>
      </c>
      <c r="K576" s="25" t="str">
        <f aca="false">IF($D576="","",N(G576)*IFERROR(INDEX(المنتجات!$H$5:$H$24,MATCH($D576,المنتجات!$A$5:$A$24,0)),0))</f>
        <v/>
      </c>
      <c r="L576" s="25" t="str">
        <f aca="false">IF($D576="","",J576-K576)</f>
        <v/>
      </c>
      <c r="M576" s="29"/>
      <c r="N576" s="29"/>
    </row>
    <row r="577" customFormat="false" ht="15" hidden="false" customHeight="false" outlineLevel="0" collapsed="false">
      <c r="A577" s="32"/>
      <c r="B577" s="29"/>
      <c r="C577" s="29"/>
      <c r="D577" s="29"/>
      <c r="E577" s="28" t="str">
        <f aca="false">IF($D577="","",IFERROR(INDEX(المنتجات!$C$5:$C$24,MATCH($D577,المنتجات!$A$5:$A$24,0)),"كود غير موجود"))</f>
        <v/>
      </c>
      <c r="F577" s="28" t="str">
        <f aca="false">IF($D577="","",IFERROR(INDEX(المنتجات!$B$5:$B$24,MATCH($D577,المنتجات!$A$5:$A$24,0)),""))</f>
        <v/>
      </c>
      <c r="G577" s="24"/>
      <c r="H577" s="25" t="str">
        <f aca="false">IF($D577="","",IFERROR(INDEX(المنتجات!$F$5:$F$24,MATCH($D577,المنتجات!$A$5:$A$24,0)),0))</f>
        <v/>
      </c>
      <c r="I577" s="30"/>
      <c r="J577" s="25" t="str">
        <f aca="false">IF($D577="","",N(G577)*H577-N(I577))</f>
        <v/>
      </c>
      <c r="K577" s="25" t="str">
        <f aca="false">IF($D577="","",N(G577)*IFERROR(INDEX(المنتجات!$H$5:$H$24,MATCH($D577,المنتجات!$A$5:$A$24,0)),0))</f>
        <v/>
      </c>
      <c r="L577" s="25" t="str">
        <f aca="false">IF($D577="","",J577-K577)</f>
        <v/>
      </c>
      <c r="M577" s="29"/>
      <c r="N577" s="29"/>
    </row>
    <row r="578" customFormat="false" ht="15" hidden="false" customHeight="false" outlineLevel="0" collapsed="false">
      <c r="A578" s="32"/>
      <c r="B578" s="29"/>
      <c r="C578" s="29"/>
      <c r="D578" s="29"/>
      <c r="E578" s="28" t="str">
        <f aca="false">IF($D578="","",IFERROR(INDEX(المنتجات!$C$5:$C$24,MATCH($D578,المنتجات!$A$5:$A$24,0)),"كود غير موجود"))</f>
        <v/>
      </c>
      <c r="F578" s="28" t="str">
        <f aca="false">IF($D578="","",IFERROR(INDEX(المنتجات!$B$5:$B$24,MATCH($D578,المنتجات!$A$5:$A$24,0)),""))</f>
        <v/>
      </c>
      <c r="G578" s="24"/>
      <c r="H578" s="25" t="str">
        <f aca="false">IF($D578="","",IFERROR(INDEX(المنتجات!$F$5:$F$24,MATCH($D578,المنتجات!$A$5:$A$24,0)),0))</f>
        <v/>
      </c>
      <c r="I578" s="30"/>
      <c r="J578" s="25" t="str">
        <f aca="false">IF($D578="","",N(G578)*H578-N(I578))</f>
        <v/>
      </c>
      <c r="K578" s="25" t="str">
        <f aca="false">IF($D578="","",N(G578)*IFERROR(INDEX(المنتجات!$H$5:$H$24,MATCH($D578,المنتجات!$A$5:$A$24,0)),0))</f>
        <v/>
      </c>
      <c r="L578" s="25" t="str">
        <f aca="false">IF($D578="","",J578-K578)</f>
        <v/>
      </c>
      <c r="M578" s="29"/>
      <c r="N578" s="29"/>
    </row>
    <row r="579" customFormat="false" ht="15" hidden="false" customHeight="false" outlineLevel="0" collapsed="false">
      <c r="A579" s="32"/>
      <c r="B579" s="29"/>
      <c r="C579" s="29"/>
      <c r="D579" s="29"/>
      <c r="E579" s="28" t="str">
        <f aca="false">IF($D579="","",IFERROR(INDEX(المنتجات!$C$5:$C$24,MATCH($D579,المنتجات!$A$5:$A$24,0)),"كود غير موجود"))</f>
        <v/>
      </c>
      <c r="F579" s="28" t="str">
        <f aca="false">IF($D579="","",IFERROR(INDEX(المنتجات!$B$5:$B$24,MATCH($D579,المنتجات!$A$5:$A$24,0)),""))</f>
        <v/>
      </c>
      <c r="G579" s="24"/>
      <c r="H579" s="25" t="str">
        <f aca="false">IF($D579="","",IFERROR(INDEX(المنتجات!$F$5:$F$24,MATCH($D579,المنتجات!$A$5:$A$24,0)),0))</f>
        <v/>
      </c>
      <c r="I579" s="30"/>
      <c r="J579" s="25" t="str">
        <f aca="false">IF($D579="","",N(G579)*H579-N(I579))</f>
        <v/>
      </c>
      <c r="K579" s="25" t="str">
        <f aca="false">IF($D579="","",N(G579)*IFERROR(INDEX(المنتجات!$H$5:$H$24,MATCH($D579,المنتجات!$A$5:$A$24,0)),0))</f>
        <v/>
      </c>
      <c r="L579" s="25" t="str">
        <f aca="false">IF($D579="","",J579-K579)</f>
        <v/>
      </c>
      <c r="M579" s="29"/>
      <c r="N579" s="29"/>
    </row>
    <row r="580" customFormat="false" ht="15" hidden="false" customHeight="false" outlineLevel="0" collapsed="false">
      <c r="A580" s="32"/>
      <c r="B580" s="29"/>
      <c r="C580" s="29"/>
      <c r="D580" s="29"/>
      <c r="E580" s="28" t="str">
        <f aca="false">IF($D580="","",IFERROR(INDEX(المنتجات!$C$5:$C$24,MATCH($D580,المنتجات!$A$5:$A$24,0)),"كود غير موجود"))</f>
        <v/>
      </c>
      <c r="F580" s="28" t="str">
        <f aca="false">IF($D580="","",IFERROR(INDEX(المنتجات!$B$5:$B$24,MATCH($D580,المنتجات!$A$5:$A$24,0)),""))</f>
        <v/>
      </c>
      <c r="G580" s="24"/>
      <c r="H580" s="25" t="str">
        <f aca="false">IF($D580="","",IFERROR(INDEX(المنتجات!$F$5:$F$24,MATCH($D580,المنتجات!$A$5:$A$24,0)),0))</f>
        <v/>
      </c>
      <c r="I580" s="30"/>
      <c r="J580" s="25" t="str">
        <f aca="false">IF($D580="","",N(G580)*H580-N(I580))</f>
        <v/>
      </c>
      <c r="K580" s="25" t="str">
        <f aca="false">IF($D580="","",N(G580)*IFERROR(INDEX(المنتجات!$H$5:$H$24,MATCH($D580,المنتجات!$A$5:$A$24,0)),0))</f>
        <v/>
      </c>
      <c r="L580" s="25" t="str">
        <f aca="false">IF($D580="","",J580-K580)</f>
        <v/>
      </c>
      <c r="M580" s="29"/>
      <c r="N580" s="29"/>
    </row>
    <row r="581" customFormat="false" ht="15" hidden="false" customHeight="false" outlineLevel="0" collapsed="false">
      <c r="A581" s="32"/>
      <c r="B581" s="29"/>
      <c r="C581" s="29"/>
      <c r="D581" s="29"/>
      <c r="E581" s="28" t="str">
        <f aca="false">IF($D581="","",IFERROR(INDEX(المنتجات!$C$5:$C$24,MATCH($D581,المنتجات!$A$5:$A$24,0)),"كود غير موجود"))</f>
        <v/>
      </c>
      <c r="F581" s="28" t="str">
        <f aca="false">IF($D581="","",IFERROR(INDEX(المنتجات!$B$5:$B$24,MATCH($D581,المنتجات!$A$5:$A$24,0)),""))</f>
        <v/>
      </c>
      <c r="G581" s="24"/>
      <c r="H581" s="25" t="str">
        <f aca="false">IF($D581="","",IFERROR(INDEX(المنتجات!$F$5:$F$24,MATCH($D581,المنتجات!$A$5:$A$24,0)),0))</f>
        <v/>
      </c>
      <c r="I581" s="30"/>
      <c r="J581" s="25" t="str">
        <f aca="false">IF($D581="","",N(G581)*H581-N(I581))</f>
        <v/>
      </c>
      <c r="K581" s="25" t="str">
        <f aca="false">IF($D581="","",N(G581)*IFERROR(INDEX(المنتجات!$H$5:$H$24,MATCH($D581,المنتجات!$A$5:$A$24,0)),0))</f>
        <v/>
      </c>
      <c r="L581" s="25" t="str">
        <f aca="false">IF($D581="","",J581-K581)</f>
        <v/>
      </c>
      <c r="M581" s="29"/>
      <c r="N581" s="29"/>
    </row>
    <row r="582" customFormat="false" ht="15" hidden="false" customHeight="false" outlineLevel="0" collapsed="false">
      <c r="A582" s="32"/>
      <c r="B582" s="29"/>
      <c r="C582" s="29"/>
      <c r="D582" s="29"/>
      <c r="E582" s="28" t="str">
        <f aca="false">IF($D582="","",IFERROR(INDEX(المنتجات!$C$5:$C$24,MATCH($D582,المنتجات!$A$5:$A$24,0)),"كود غير موجود"))</f>
        <v/>
      </c>
      <c r="F582" s="28" t="str">
        <f aca="false">IF($D582="","",IFERROR(INDEX(المنتجات!$B$5:$B$24,MATCH($D582,المنتجات!$A$5:$A$24,0)),""))</f>
        <v/>
      </c>
      <c r="G582" s="24"/>
      <c r="H582" s="25" t="str">
        <f aca="false">IF($D582="","",IFERROR(INDEX(المنتجات!$F$5:$F$24,MATCH($D582,المنتجات!$A$5:$A$24,0)),0))</f>
        <v/>
      </c>
      <c r="I582" s="30"/>
      <c r="J582" s="25" t="str">
        <f aca="false">IF($D582="","",N(G582)*H582-N(I582))</f>
        <v/>
      </c>
      <c r="K582" s="25" t="str">
        <f aca="false">IF($D582="","",N(G582)*IFERROR(INDEX(المنتجات!$H$5:$H$24,MATCH($D582,المنتجات!$A$5:$A$24,0)),0))</f>
        <v/>
      </c>
      <c r="L582" s="25" t="str">
        <f aca="false">IF($D582="","",J582-K582)</f>
        <v/>
      </c>
      <c r="M582" s="29"/>
      <c r="N582" s="29"/>
    </row>
    <row r="583" customFormat="false" ht="15" hidden="false" customHeight="false" outlineLevel="0" collapsed="false">
      <c r="A583" s="32"/>
      <c r="B583" s="29"/>
      <c r="C583" s="29"/>
      <c r="D583" s="29"/>
      <c r="E583" s="28" t="str">
        <f aca="false">IF($D583="","",IFERROR(INDEX(المنتجات!$C$5:$C$24,MATCH($D583,المنتجات!$A$5:$A$24,0)),"كود غير موجود"))</f>
        <v/>
      </c>
      <c r="F583" s="28" t="str">
        <f aca="false">IF($D583="","",IFERROR(INDEX(المنتجات!$B$5:$B$24,MATCH($D583,المنتجات!$A$5:$A$24,0)),""))</f>
        <v/>
      </c>
      <c r="G583" s="24"/>
      <c r="H583" s="25" t="str">
        <f aca="false">IF($D583="","",IFERROR(INDEX(المنتجات!$F$5:$F$24,MATCH($D583,المنتجات!$A$5:$A$24,0)),0))</f>
        <v/>
      </c>
      <c r="I583" s="30"/>
      <c r="J583" s="25" t="str">
        <f aca="false">IF($D583="","",N(G583)*H583-N(I583))</f>
        <v/>
      </c>
      <c r="K583" s="25" t="str">
        <f aca="false">IF($D583="","",N(G583)*IFERROR(INDEX(المنتجات!$H$5:$H$24,MATCH($D583,المنتجات!$A$5:$A$24,0)),0))</f>
        <v/>
      </c>
      <c r="L583" s="25" t="str">
        <f aca="false">IF($D583="","",J583-K583)</f>
        <v/>
      </c>
      <c r="M583" s="29"/>
      <c r="N583" s="29"/>
    </row>
    <row r="584" customFormat="false" ht="15" hidden="false" customHeight="false" outlineLevel="0" collapsed="false">
      <c r="A584" s="32"/>
      <c r="B584" s="29"/>
      <c r="C584" s="29"/>
      <c r="D584" s="29"/>
      <c r="E584" s="28" t="str">
        <f aca="false">IF($D584="","",IFERROR(INDEX(المنتجات!$C$5:$C$24,MATCH($D584,المنتجات!$A$5:$A$24,0)),"كود غير موجود"))</f>
        <v/>
      </c>
      <c r="F584" s="28" t="str">
        <f aca="false">IF($D584="","",IFERROR(INDEX(المنتجات!$B$5:$B$24,MATCH($D584,المنتجات!$A$5:$A$24,0)),""))</f>
        <v/>
      </c>
      <c r="G584" s="24"/>
      <c r="H584" s="25" t="str">
        <f aca="false">IF($D584="","",IFERROR(INDEX(المنتجات!$F$5:$F$24,MATCH($D584,المنتجات!$A$5:$A$24,0)),0))</f>
        <v/>
      </c>
      <c r="I584" s="30"/>
      <c r="J584" s="25" t="str">
        <f aca="false">IF($D584="","",N(G584)*H584-N(I584))</f>
        <v/>
      </c>
      <c r="K584" s="25" t="str">
        <f aca="false">IF($D584="","",N(G584)*IFERROR(INDEX(المنتجات!$H$5:$H$24,MATCH($D584,المنتجات!$A$5:$A$24,0)),0))</f>
        <v/>
      </c>
      <c r="L584" s="25" t="str">
        <f aca="false">IF($D584="","",J584-K584)</f>
        <v/>
      </c>
      <c r="M584" s="29"/>
      <c r="N584" s="29"/>
    </row>
    <row r="585" customFormat="false" ht="15" hidden="false" customHeight="false" outlineLevel="0" collapsed="false">
      <c r="A585" s="32"/>
      <c r="B585" s="29"/>
      <c r="C585" s="29"/>
      <c r="D585" s="29"/>
      <c r="E585" s="28" t="str">
        <f aca="false">IF($D585="","",IFERROR(INDEX(المنتجات!$C$5:$C$24,MATCH($D585,المنتجات!$A$5:$A$24,0)),"كود غير موجود"))</f>
        <v/>
      </c>
      <c r="F585" s="28" t="str">
        <f aca="false">IF($D585="","",IFERROR(INDEX(المنتجات!$B$5:$B$24,MATCH($D585,المنتجات!$A$5:$A$24,0)),""))</f>
        <v/>
      </c>
      <c r="G585" s="24"/>
      <c r="H585" s="25" t="str">
        <f aca="false">IF($D585="","",IFERROR(INDEX(المنتجات!$F$5:$F$24,MATCH($D585,المنتجات!$A$5:$A$24,0)),0))</f>
        <v/>
      </c>
      <c r="I585" s="30"/>
      <c r="J585" s="25" t="str">
        <f aca="false">IF($D585="","",N(G585)*H585-N(I585))</f>
        <v/>
      </c>
      <c r="K585" s="25" t="str">
        <f aca="false">IF($D585="","",N(G585)*IFERROR(INDEX(المنتجات!$H$5:$H$24,MATCH($D585,المنتجات!$A$5:$A$24,0)),0))</f>
        <v/>
      </c>
      <c r="L585" s="25" t="str">
        <f aca="false">IF($D585="","",J585-K585)</f>
        <v/>
      </c>
      <c r="M585" s="29"/>
      <c r="N585" s="29"/>
    </row>
    <row r="586" customFormat="false" ht="15" hidden="false" customHeight="false" outlineLevel="0" collapsed="false">
      <c r="A586" s="32"/>
      <c r="B586" s="29"/>
      <c r="C586" s="29"/>
      <c r="D586" s="29"/>
      <c r="E586" s="28" t="str">
        <f aca="false">IF($D586="","",IFERROR(INDEX(المنتجات!$C$5:$C$24,MATCH($D586,المنتجات!$A$5:$A$24,0)),"كود غير موجود"))</f>
        <v/>
      </c>
      <c r="F586" s="28" t="str">
        <f aca="false">IF($D586="","",IFERROR(INDEX(المنتجات!$B$5:$B$24,MATCH($D586,المنتجات!$A$5:$A$24,0)),""))</f>
        <v/>
      </c>
      <c r="G586" s="24"/>
      <c r="H586" s="25" t="str">
        <f aca="false">IF($D586="","",IFERROR(INDEX(المنتجات!$F$5:$F$24,MATCH($D586,المنتجات!$A$5:$A$24,0)),0))</f>
        <v/>
      </c>
      <c r="I586" s="30"/>
      <c r="J586" s="25" t="str">
        <f aca="false">IF($D586="","",N(G586)*H586-N(I586))</f>
        <v/>
      </c>
      <c r="K586" s="25" t="str">
        <f aca="false">IF($D586="","",N(G586)*IFERROR(INDEX(المنتجات!$H$5:$H$24,MATCH($D586,المنتجات!$A$5:$A$24,0)),0))</f>
        <v/>
      </c>
      <c r="L586" s="25" t="str">
        <f aca="false">IF($D586="","",J586-K586)</f>
        <v/>
      </c>
      <c r="M586" s="29"/>
      <c r="N586" s="29"/>
    </row>
    <row r="587" customFormat="false" ht="15" hidden="false" customHeight="false" outlineLevel="0" collapsed="false">
      <c r="A587" s="32"/>
      <c r="B587" s="29"/>
      <c r="C587" s="29"/>
      <c r="D587" s="29"/>
      <c r="E587" s="28" t="str">
        <f aca="false">IF($D587="","",IFERROR(INDEX(المنتجات!$C$5:$C$24,MATCH($D587,المنتجات!$A$5:$A$24,0)),"كود غير موجود"))</f>
        <v/>
      </c>
      <c r="F587" s="28" t="str">
        <f aca="false">IF($D587="","",IFERROR(INDEX(المنتجات!$B$5:$B$24,MATCH($D587,المنتجات!$A$5:$A$24,0)),""))</f>
        <v/>
      </c>
      <c r="G587" s="24"/>
      <c r="H587" s="25" t="str">
        <f aca="false">IF($D587="","",IFERROR(INDEX(المنتجات!$F$5:$F$24,MATCH($D587,المنتجات!$A$5:$A$24,0)),0))</f>
        <v/>
      </c>
      <c r="I587" s="30"/>
      <c r="J587" s="25" t="str">
        <f aca="false">IF($D587="","",N(G587)*H587-N(I587))</f>
        <v/>
      </c>
      <c r="K587" s="25" t="str">
        <f aca="false">IF($D587="","",N(G587)*IFERROR(INDEX(المنتجات!$H$5:$H$24,MATCH($D587,المنتجات!$A$5:$A$24,0)),0))</f>
        <v/>
      </c>
      <c r="L587" s="25" t="str">
        <f aca="false">IF($D587="","",J587-K587)</f>
        <v/>
      </c>
      <c r="M587" s="29"/>
      <c r="N587" s="29"/>
    </row>
    <row r="588" customFormat="false" ht="15" hidden="false" customHeight="false" outlineLevel="0" collapsed="false">
      <c r="A588" s="32"/>
      <c r="B588" s="29"/>
      <c r="C588" s="29"/>
      <c r="D588" s="29"/>
      <c r="E588" s="28" t="str">
        <f aca="false">IF($D588="","",IFERROR(INDEX(المنتجات!$C$5:$C$24,MATCH($D588,المنتجات!$A$5:$A$24,0)),"كود غير موجود"))</f>
        <v/>
      </c>
      <c r="F588" s="28" t="str">
        <f aca="false">IF($D588="","",IFERROR(INDEX(المنتجات!$B$5:$B$24,MATCH($D588,المنتجات!$A$5:$A$24,0)),""))</f>
        <v/>
      </c>
      <c r="G588" s="24"/>
      <c r="H588" s="25" t="str">
        <f aca="false">IF($D588="","",IFERROR(INDEX(المنتجات!$F$5:$F$24,MATCH($D588,المنتجات!$A$5:$A$24,0)),0))</f>
        <v/>
      </c>
      <c r="I588" s="30"/>
      <c r="J588" s="25" t="str">
        <f aca="false">IF($D588="","",N(G588)*H588-N(I588))</f>
        <v/>
      </c>
      <c r="K588" s="25" t="str">
        <f aca="false">IF($D588="","",N(G588)*IFERROR(INDEX(المنتجات!$H$5:$H$24,MATCH($D588,المنتجات!$A$5:$A$24,0)),0))</f>
        <v/>
      </c>
      <c r="L588" s="25" t="str">
        <f aca="false">IF($D588="","",J588-K588)</f>
        <v/>
      </c>
      <c r="M588" s="29"/>
      <c r="N588" s="29"/>
    </row>
    <row r="589" customFormat="false" ht="15" hidden="false" customHeight="false" outlineLevel="0" collapsed="false">
      <c r="A589" s="32"/>
      <c r="B589" s="29"/>
      <c r="C589" s="29"/>
      <c r="D589" s="29"/>
      <c r="E589" s="28" t="str">
        <f aca="false">IF($D589="","",IFERROR(INDEX(المنتجات!$C$5:$C$24,MATCH($D589,المنتجات!$A$5:$A$24,0)),"كود غير موجود"))</f>
        <v/>
      </c>
      <c r="F589" s="28" t="str">
        <f aca="false">IF($D589="","",IFERROR(INDEX(المنتجات!$B$5:$B$24,MATCH($D589,المنتجات!$A$5:$A$24,0)),""))</f>
        <v/>
      </c>
      <c r="G589" s="24"/>
      <c r="H589" s="25" t="str">
        <f aca="false">IF($D589="","",IFERROR(INDEX(المنتجات!$F$5:$F$24,MATCH($D589,المنتجات!$A$5:$A$24,0)),0))</f>
        <v/>
      </c>
      <c r="I589" s="30"/>
      <c r="J589" s="25" t="str">
        <f aca="false">IF($D589="","",N(G589)*H589-N(I589))</f>
        <v/>
      </c>
      <c r="K589" s="25" t="str">
        <f aca="false">IF($D589="","",N(G589)*IFERROR(INDEX(المنتجات!$H$5:$H$24,MATCH($D589,المنتجات!$A$5:$A$24,0)),0))</f>
        <v/>
      </c>
      <c r="L589" s="25" t="str">
        <f aca="false">IF($D589="","",J589-K589)</f>
        <v/>
      </c>
      <c r="M589" s="29"/>
      <c r="N589" s="29"/>
    </row>
    <row r="590" customFormat="false" ht="15" hidden="false" customHeight="false" outlineLevel="0" collapsed="false">
      <c r="A590" s="32"/>
      <c r="B590" s="29"/>
      <c r="C590" s="29"/>
      <c r="D590" s="29"/>
      <c r="E590" s="28" t="str">
        <f aca="false">IF($D590="","",IFERROR(INDEX(المنتجات!$C$5:$C$24,MATCH($D590,المنتجات!$A$5:$A$24,0)),"كود غير موجود"))</f>
        <v/>
      </c>
      <c r="F590" s="28" t="str">
        <f aca="false">IF($D590="","",IFERROR(INDEX(المنتجات!$B$5:$B$24,MATCH($D590,المنتجات!$A$5:$A$24,0)),""))</f>
        <v/>
      </c>
      <c r="G590" s="24"/>
      <c r="H590" s="25" t="str">
        <f aca="false">IF($D590="","",IFERROR(INDEX(المنتجات!$F$5:$F$24,MATCH($D590,المنتجات!$A$5:$A$24,0)),0))</f>
        <v/>
      </c>
      <c r="I590" s="30"/>
      <c r="J590" s="25" t="str">
        <f aca="false">IF($D590="","",N(G590)*H590-N(I590))</f>
        <v/>
      </c>
      <c r="K590" s="25" t="str">
        <f aca="false">IF($D590="","",N(G590)*IFERROR(INDEX(المنتجات!$H$5:$H$24,MATCH($D590,المنتجات!$A$5:$A$24,0)),0))</f>
        <v/>
      </c>
      <c r="L590" s="25" t="str">
        <f aca="false">IF($D590="","",J590-K590)</f>
        <v/>
      </c>
      <c r="M590" s="29"/>
      <c r="N590" s="29"/>
    </row>
    <row r="591" customFormat="false" ht="15" hidden="false" customHeight="false" outlineLevel="0" collapsed="false">
      <c r="A591" s="32"/>
      <c r="B591" s="29"/>
      <c r="C591" s="29"/>
      <c r="D591" s="29"/>
      <c r="E591" s="28" t="str">
        <f aca="false">IF($D591="","",IFERROR(INDEX(المنتجات!$C$5:$C$24,MATCH($D591,المنتجات!$A$5:$A$24,0)),"كود غير موجود"))</f>
        <v/>
      </c>
      <c r="F591" s="28" t="str">
        <f aca="false">IF($D591="","",IFERROR(INDEX(المنتجات!$B$5:$B$24,MATCH($D591,المنتجات!$A$5:$A$24,0)),""))</f>
        <v/>
      </c>
      <c r="G591" s="24"/>
      <c r="H591" s="25" t="str">
        <f aca="false">IF($D591="","",IFERROR(INDEX(المنتجات!$F$5:$F$24,MATCH($D591,المنتجات!$A$5:$A$24,0)),0))</f>
        <v/>
      </c>
      <c r="I591" s="30"/>
      <c r="J591" s="25" t="str">
        <f aca="false">IF($D591="","",N(G591)*H591-N(I591))</f>
        <v/>
      </c>
      <c r="K591" s="25" t="str">
        <f aca="false">IF($D591="","",N(G591)*IFERROR(INDEX(المنتجات!$H$5:$H$24,MATCH($D591,المنتجات!$A$5:$A$24,0)),0))</f>
        <v/>
      </c>
      <c r="L591" s="25" t="str">
        <f aca="false">IF($D591="","",J591-K591)</f>
        <v/>
      </c>
      <c r="M591" s="29"/>
      <c r="N591" s="29"/>
    </row>
    <row r="592" customFormat="false" ht="15" hidden="false" customHeight="false" outlineLevel="0" collapsed="false">
      <c r="A592" s="32"/>
      <c r="B592" s="29"/>
      <c r="C592" s="29"/>
      <c r="D592" s="29"/>
      <c r="E592" s="28" t="str">
        <f aca="false">IF($D592="","",IFERROR(INDEX(المنتجات!$C$5:$C$24,MATCH($D592,المنتجات!$A$5:$A$24,0)),"كود غير موجود"))</f>
        <v/>
      </c>
      <c r="F592" s="28" t="str">
        <f aca="false">IF($D592="","",IFERROR(INDEX(المنتجات!$B$5:$B$24,MATCH($D592,المنتجات!$A$5:$A$24,0)),""))</f>
        <v/>
      </c>
      <c r="G592" s="24"/>
      <c r="H592" s="25" t="str">
        <f aca="false">IF($D592="","",IFERROR(INDEX(المنتجات!$F$5:$F$24,MATCH($D592,المنتجات!$A$5:$A$24,0)),0))</f>
        <v/>
      </c>
      <c r="I592" s="30"/>
      <c r="J592" s="25" t="str">
        <f aca="false">IF($D592="","",N(G592)*H592-N(I592))</f>
        <v/>
      </c>
      <c r="K592" s="25" t="str">
        <f aca="false">IF($D592="","",N(G592)*IFERROR(INDEX(المنتجات!$H$5:$H$24,MATCH($D592,المنتجات!$A$5:$A$24,0)),0))</f>
        <v/>
      </c>
      <c r="L592" s="25" t="str">
        <f aca="false">IF($D592="","",J592-K592)</f>
        <v/>
      </c>
      <c r="M592" s="29"/>
      <c r="N592" s="29"/>
    </row>
    <row r="593" customFormat="false" ht="15" hidden="false" customHeight="false" outlineLevel="0" collapsed="false">
      <c r="A593" s="32"/>
      <c r="B593" s="29"/>
      <c r="C593" s="29"/>
      <c r="D593" s="29"/>
      <c r="E593" s="28" t="str">
        <f aca="false">IF($D593="","",IFERROR(INDEX(المنتجات!$C$5:$C$24,MATCH($D593,المنتجات!$A$5:$A$24,0)),"كود غير موجود"))</f>
        <v/>
      </c>
      <c r="F593" s="28" t="str">
        <f aca="false">IF($D593="","",IFERROR(INDEX(المنتجات!$B$5:$B$24,MATCH($D593,المنتجات!$A$5:$A$24,0)),""))</f>
        <v/>
      </c>
      <c r="G593" s="24"/>
      <c r="H593" s="25" t="str">
        <f aca="false">IF($D593="","",IFERROR(INDEX(المنتجات!$F$5:$F$24,MATCH($D593,المنتجات!$A$5:$A$24,0)),0))</f>
        <v/>
      </c>
      <c r="I593" s="30"/>
      <c r="J593" s="25" t="str">
        <f aca="false">IF($D593="","",N(G593)*H593-N(I593))</f>
        <v/>
      </c>
      <c r="K593" s="25" t="str">
        <f aca="false">IF($D593="","",N(G593)*IFERROR(INDEX(المنتجات!$H$5:$H$24,MATCH($D593,المنتجات!$A$5:$A$24,0)),0))</f>
        <v/>
      </c>
      <c r="L593" s="25" t="str">
        <f aca="false">IF($D593="","",J593-K593)</f>
        <v/>
      </c>
      <c r="M593" s="29"/>
      <c r="N593" s="29"/>
    </row>
    <row r="594" customFormat="false" ht="15" hidden="false" customHeight="false" outlineLevel="0" collapsed="false">
      <c r="A594" s="32"/>
      <c r="B594" s="29"/>
      <c r="C594" s="29"/>
      <c r="D594" s="29"/>
      <c r="E594" s="28" t="str">
        <f aca="false">IF($D594="","",IFERROR(INDEX(المنتجات!$C$5:$C$24,MATCH($D594,المنتجات!$A$5:$A$24,0)),"كود غير موجود"))</f>
        <v/>
      </c>
      <c r="F594" s="28" t="str">
        <f aca="false">IF($D594="","",IFERROR(INDEX(المنتجات!$B$5:$B$24,MATCH($D594,المنتجات!$A$5:$A$24,0)),""))</f>
        <v/>
      </c>
      <c r="G594" s="24"/>
      <c r="H594" s="25" t="str">
        <f aca="false">IF($D594="","",IFERROR(INDEX(المنتجات!$F$5:$F$24,MATCH($D594,المنتجات!$A$5:$A$24,0)),0))</f>
        <v/>
      </c>
      <c r="I594" s="30"/>
      <c r="J594" s="25" t="str">
        <f aca="false">IF($D594="","",N(G594)*H594-N(I594))</f>
        <v/>
      </c>
      <c r="K594" s="25" t="str">
        <f aca="false">IF($D594="","",N(G594)*IFERROR(INDEX(المنتجات!$H$5:$H$24,MATCH($D594,المنتجات!$A$5:$A$24,0)),0))</f>
        <v/>
      </c>
      <c r="L594" s="25" t="str">
        <f aca="false">IF($D594="","",J594-K594)</f>
        <v/>
      </c>
      <c r="M594" s="29"/>
      <c r="N594" s="29"/>
    </row>
    <row r="595" customFormat="false" ht="15" hidden="false" customHeight="false" outlineLevel="0" collapsed="false">
      <c r="A595" s="32"/>
      <c r="B595" s="29"/>
      <c r="C595" s="29"/>
      <c r="D595" s="29"/>
      <c r="E595" s="28" t="str">
        <f aca="false">IF($D595="","",IFERROR(INDEX(المنتجات!$C$5:$C$24,MATCH($D595,المنتجات!$A$5:$A$24,0)),"كود غير موجود"))</f>
        <v/>
      </c>
      <c r="F595" s="28" t="str">
        <f aca="false">IF($D595="","",IFERROR(INDEX(المنتجات!$B$5:$B$24,MATCH($D595,المنتجات!$A$5:$A$24,0)),""))</f>
        <v/>
      </c>
      <c r="G595" s="24"/>
      <c r="H595" s="25" t="str">
        <f aca="false">IF($D595="","",IFERROR(INDEX(المنتجات!$F$5:$F$24,MATCH($D595,المنتجات!$A$5:$A$24,0)),0))</f>
        <v/>
      </c>
      <c r="I595" s="30"/>
      <c r="J595" s="25" t="str">
        <f aca="false">IF($D595="","",N(G595)*H595-N(I595))</f>
        <v/>
      </c>
      <c r="K595" s="25" t="str">
        <f aca="false">IF($D595="","",N(G595)*IFERROR(INDEX(المنتجات!$H$5:$H$24,MATCH($D595,المنتجات!$A$5:$A$24,0)),0))</f>
        <v/>
      </c>
      <c r="L595" s="25" t="str">
        <f aca="false">IF($D595="","",J595-K595)</f>
        <v/>
      </c>
      <c r="M595" s="29"/>
      <c r="N595" s="29"/>
    </row>
    <row r="596" customFormat="false" ht="15" hidden="false" customHeight="false" outlineLevel="0" collapsed="false">
      <c r="A596" s="32"/>
      <c r="B596" s="29"/>
      <c r="C596" s="29"/>
      <c r="D596" s="29"/>
      <c r="E596" s="28" t="str">
        <f aca="false">IF($D596="","",IFERROR(INDEX(المنتجات!$C$5:$C$24,MATCH($D596,المنتجات!$A$5:$A$24,0)),"كود غير موجود"))</f>
        <v/>
      </c>
      <c r="F596" s="28" t="str">
        <f aca="false">IF($D596="","",IFERROR(INDEX(المنتجات!$B$5:$B$24,MATCH($D596,المنتجات!$A$5:$A$24,0)),""))</f>
        <v/>
      </c>
      <c r="G596" s="24"/>
      <c r="H596" s="25" t="str">
        <f aca="false">IF($D596="","",IFERROR(INDEX(المنتجات!$F$5:$F$24,MATCH($D596,المنتجات!$A$5:$A$24,0)),0))</f>
        <v/>
      </c>
      <c r="I596" s="30"/>
      <c r="J596" s="25" t="str">
        <f aca="false">IF($D596="","",N(G596)*H596-N(I596))</f>
        <v/>
      </c>
      <c r="K596" s="25" t="str">
        <f aca="false">IF($D596="","",N(G596)*IFERROR(INDEX(المنتجات!$H$5:$H$24,MATCH($D596,المنتجات!$A$5:$A$24,0)),0))</f>
        <v/>
      </c>
      <c r="L596" s="25" t="str">
        <f aca="false">IF($D596="","",J596-K596)</f>
        <v/>
      </c>
      <c r="M596" s="29"/>
      <c r="N596" s="29"/>
    </row>
    <row r="597" customFormat="false" ht="15" hidden="false" customHeight="false" outlineLevel="0" collapsed="false">
      <c r="A597" s="32"/>
      <c r="B597" s="29"/>
      <c r="C597" s="29"/>
      <c r="D597" s="29"/>
      <c r="E597" s="28" t="str">
        <f aca="false">IF($D597="","",IFERROR(INDEX(المنتجات!$C$5:$C$24,MATCH($D597,المنتجات!$A$5:$A$24,0)),"كود غير موجود"))</f>
        <v/>
      </c>
      <c r="F597" s="28" t="str">
        <f aca="false">IF($D597="","",IFERROR(INDEX(المنتجات!$B$5:$B$24,MATCH($D597,المنتجات!$A$5:$A$24,0)),""))</f>
        <v/>
      </c>
      <c r="G597" s="24"/>
      <c r="H597" s="25" t="str">
        <f aca="false">IF($D597="","",IFERROR(INDEX(المنتجات!$F$5:$F$24,MATCH($D597,المنتجات!$A$5:$A$24,0)),0))</f>
        <v/>
      </c>
      <c r="I597" s="30"/>
      <c r="J597" s="25" t="str">
        <f aca="false">IF($D597="","",N(G597)*H597-N(I597))</f>
        <v/>
      </c>
      <c r="K597" s="25" t="str">
        <f aca="false">IF($D597="","",N(G597)*IFERROR(INDEX(المنتجات!$H$5:$H$24,MATCH($D597,المنتجات!$A$5:$A$24,0)),0))</f>
        <v/>
      </c>
      <c r="L597" s="25" t="str">
        <f aca="false">IF($D597="","",J597-K597)</f>
        <v/>
      </c>
      <c r="M597" s="29"/>
      <c r="N597" s="29"/>
    </row>
    <row r="598" customFormat="false" ht="15" hidden="false" customHeight="false" outlineLevel="0" collapsed="false">
      <c r="A598" s="32"/>
      <c r="B598" s="29"/>
      <c r="C598" s="29"/>
      <c r="D598" s="29"/>
      <c r="E598" s="28" t="str">
        <f aca="false">IF($D598="","",IFERROR(INDEX(المنتجات!$C$5:$C$24,MATCH($D598,المنتجات!$A$5:$A$24,0)),"كود غير موجود"))</f>
        <v/>
      </c>
      <c r="F598" s="28" t="str">
        <f aca="false">IF($D598="","",IFERROR(INDEX(المنتجات!$B$5:$B$24,MATCH($D598,المنتجات!$A$5:$A$24,0)),""))</f>
        <v/>
      </c>
      <c r="G598" s="24"/>
      <c r="H598" s="25" t="str">
        <f aca="false">IF($D598="","",IFERROR(INDEX(المنتجات!$F$5:$F$24,MATCH($D598,المنتجات!$A$5:$A$24,0)),0))</f>
        <v/>
      </c>
      <c r="I598" s="30"/>
      <c r="J598" s="25" t="str">
        <f aca="false">IF($D598="","",N(G598)*H598-N(I598))</f>
        <v/>
      </c>
      <c r="K598" s="25" t="str">
        <f aca="false">IF($D598="","",N(G598)*IFERROR(INDEX(المنتجات!$H$5:$H$24,MATCH($D598,المنتجات!$A$5:$A$24,0)),0))</f>
        <v/>
      </c>
      <c r="L598" s="25" t="str">
        <f aca="false">IF($D598="","",J598-K598)</f>
        <v/>
      </c>
      <c r="M598" s="29"/>
      <c r="N598" s="29"/>
    </row>
    <row r="599" customFormat="false" ht="15" hidden="false" customHeight="false" outlineLevel="0" collapsed="false">
      <c r="A599" s="32"/>
      <c r="B599" s="29"/>
      <c r="C599" s="29"/>
      <c r="D599" s="29"/>
      <c r="E599" s="28" t="str">
        <f aca="false">IF($D599="","",IFERROR(INDEX(المنتجات!$C$5:$C$24,MATCH($D599,المنتجات!$A$5:$A$24,0)),"كود غير موجود"))</f>
        <v/>
      </c>
      <c r="F599" s="28" t="str">
        <f aca="false">IF($D599="","",IFERROR(INDEX(المنتجات!$B$5:$B$24,MATCH($D599,المنتجات!$A$5:$A$24,0)),""))</f>
        <v/>
      </c>
      <c r="G599" s="24"/>
      <c r="H599" s="25" t="str">
        <f aca="false">IF($D599="","",IFERROR(INDEX(المنتجات!$F$5:$F$24,MATCH($D599,المنتجات!$A$5:$A$24,0)),0))</f>
        <v/>
      </c>
      <c r="I599" s="30"/>
      <c r="J599" s="25" t="str">
        <f aca="false">IF($D599="","",N(G599)*H599-N(I599))</f>
        <v/>
      </c>
      <c r="K599" s="25" t="str">
        <f aca="false">IF($D599="","",N(G599)*IFERROR(INDEX(المنتجات!$H$5:$H$24,MATCH($D599,المنتجات!$A$5:$A$24,0)),0))</f>
        <v/>
      </c>
      <c r="L599" s="25" t="str">
        <f aca="false">IF($D599="","",J599-K599)</f>
        <v/>
      </c>
      <c r="M599" s="29"/>
      <c r="N599" s="29"/>
    </row>
    <row r="600" customFormat="false" ht="15" hidden="false" customHeight="false" outlineLevel="0" collapsed="false">
      <c r="A600" s="32"/>
      <c r="B600" s="29"/>
      <c r="C600" s="29"/>
      <c r="D600" s="29"/>
      <c r="E600" s="28" t="str">
        <f aca="false">IF($D600="","",IFERROR(INDEX(المنتجات!$C$5:$C$24,MATCH($D600,المنتجات!$A$5:$A$24,0)),"كود غير موجود"))</f>
        <v/>
      </c>
      <c r="F600" s="28" t="str">
        <f aca="false">IF($D600="","",IFERROR(INDEX(المنتجات!$B$5:$B$24,MATCH($D600,المنتجات!$A$5:$A$24,0)),""))</f>
        <v/>
      </c>
      <c r="G600" s="24"/>
      <c r="H600" s="25" t="str">
        <f aca="false">IF($D600="","",IFERROR(INDEX(المنتجات!$F$5:$F$24,MATCH($D600,المنتجات!$A$5:$A$24,0)),0))</f>
        <v/>
      </c>
      <c r="I600" s="30"/>
      <c r="J600" s="25" t="str">
        <f aca="false">IF($D600="","",N(G600)*H600-N(I600))</f>
        <v/>
      </c>
      <c r="K600" s="25" t="str">
        <f aca="false">IF($D600="","",N(G600)*IFERROR(INDEX(المنتجات!$H$5:$H$24,MATCH($D600,المنتجات!$A$5:$A$24,0)),0))</f>
        <v/>
      </c>
      <c r="L600" s="25" t="str">
        <f aca="false">IF($D600="","",J600-K600)</f>
        <v/>
      </c>
      <c r="M600" s="29"/>
      <c r="N600" s="29"/>
    </row>
    <row r="601" customFormat="false" ht="15" hidden="false" customHeight="false" outlineLevel="0" collapsed="false">
      <c r="A601" s="32"/>
      <c r="B601" s="29"/>
      <c r="C601" s="29"/>
      <c r="D601" s="29"/>
      <c r="E601" s="28" t="str">
        <f aca="false">IF($D601="","",IFERROR(INDEX(المنتجات!$C$5:$C$24,MATCH($D601,المنتجات!$A$5:$A$24,0)),"كود غير موجود"))</f>
        <v/>
      </c>
      <c r="F601" s="28" t="str">
        <f aca="false">IF($D601="","",IFERROR(INDEX(المنتجات!$B$5:$B$24,MATCH($D601,المنتجات!$A$5:$A$24,0)),""))</f>
        <v/>
      </c>
      <c r="G601" s="24"/>
      <c r="H601" s="25" t="str">
        <f aca="false">IF($D601="","",IFERROR(INDEX(المنتجات!$F$5:$F$24,MATCH($D601,المنتجات!$A$5:$A$24,0)),0))</f>
        <v/>
      </c>
      <c r="I601" s="30"/>
      <c r="J601" s="25" t="str">
        <f aca="false">IF($D601="","",N(G601)*H601-N(I601))</f>
        <v/>
      </c>
      <c r="K601" s="25" t="str">
        <f aca="false">IF($D601="","",N(G601)*IFERROR(INDEX(المنتجات!$H$5:$H$24,MATCH($D601,المنتجات!$A$5:$A$24,0)),0))</f>
        <v/>
      </c>
      <c r="L601" s="25" t="str">
        <f aca="false">IF($D601="","",J601-K601)</f>
        <v/>
      </c>
      <c r="M601" s="29"/>
      <c r="N601" s="29"/>
    </row>
    <row r="602" customFormat="false" ht="15" hidden="false" customHeight="false" outlineLevel="0" collapsed="false">
      <c r="A602" s="32"/>
      <c r="B602" s="29"/>
      <c r="C602" s="29"/>
      <c r="D602" s="29"/>
      <c r="E602" s="28" t="str">
        <f aca="false">IF($D602="","",IFERROR(INDEX(المنتجات!$C$5:$C$24,MATCH($D602,المنتجات!$A$5:$A$24,0)),"كود غير موجود"))</f>
        <v/>
      </c>
      <c r="F602" s="28" t="str">
        <f aca="false">IF($D602="","",IFERROR(INDEX(المنتجات!$B$5:$B$24,MATCH($D602,المنتجات!$A$5:$A$24,0)),""))</f>
        <v/>
      </c>
      <c r="G602" s="24"/>
      <c r="H602" s="25" t="str">
        <f aca="false">IF($D602="","",IFERROR(INDEX(المنتجات!$F$5:$F$24,MATCH($D602,المنتجات!$A$5:$A$24,0)),0))</f>
        <v/>
      </c>
      <c r="I602" s="30"/>
      <c r="J602" s="25" t="str">
        <f aca="false">IF($D602="","",N(G602)*H602-N(I602))</f>
        <v/>
      </c>
      <c r="K602" s="25" t="str">
        <f aca="false">IF($D602="","",N(G602)*IFERROR(INDEX(المنتجات!$H$5:$H$24,MATCH($D602,المنتجات!$A$5:$A$24,0)),0))</f>
        <v/>
      </c>
      <c r="L602" s="25" t="str">
        <f aca="false">IF($D602="","",J602-K602)</f>
        <v/>
      </c>
      <c r="M602" s="29"/>
      <c r="N602" s="29"/>
    </row>
    <row r="603" customFormat="false" ht="15" hidden="false" customHeight="false" outlineLevel="0" collapsed="false">
      <c r="A603" s="32"/>
      <c r="B603" s="29"/>
      <c r="C603" s="29"/>
      <c r="D603" s="29"/>
      <c r="E603" s="28" t="str">
        <f aca="false">IF($D603="","",IFERROR(INDEX(المنتجات!$C$5:$C$24,MATCH($D603,المنتجات!$A$5:$A$24,0)),"كود غير موجود"))</f>
        <v/>
      </c>
      <c r="F603" s="28" t="str">
        <f aca="false">IF($D603="","",IFERROR(INDEX(المنتجات!$B$5:$B$24,MATCH($D603,المنتجات!$A$5:$A$24,0)),""))</f>
        <v/>
      </c>
      <c r="G603" s="24"/>
      <c r="H603" s="25" t="str">
        <f aca="false">IF($D603="","",IFERROR(INDEX(المنتجات!$F$5:$F$24,MATCH($D603,المنتجات!$A$5:$A$24,0)),0))</f>
        <v/>
      </c>
      <c r="I603" s="30"/>
      <c r="J603" s="25" t="str">
        <f aca="false">IF($D603="","",N(G603)*H603-N(I603))</f>
        <v/>
      </c>
      <c r="K603" s="25" t="str">
        <f aca="false">IF($D603="","",N(G603)*IFERROR(INDEX(المنتجات!$H$5:$H$24,MATCH($D603,المنتجات!$A$5:$A$24,0)),0))</f>
        <v/>
      </c>
      <c r="L603" s="25" t="str">
        <f aca="false">IF($D603="","",J603-K603)</f>
        <v/>
      </c>
      <c r="M603" s="29"/>
      <c r="N603" s="29"/>
    </row>
    <row r="604" customFormat="false" ht="15" hidden="false" customHeight="false" outlineLevel="0" collapsed="false">
      <c r="A604" s="32"/>
      <c r="B604" s="29"/>
      <c r="C604" s="29"/>
      <c r="D604" s="29"/>
      <c r="E604" s="28" t="str">
        <f aca="false">IF($D604="","",IFERROR(INDEX(المنتجات!$C$5:$C$24,MATCH($D604,المنتجات!$A$5:$A$24,0)),"كود غير موجود"))</f>
        <v/>
      </c>
      <c r="F604" s="28" t="str">
        <f aca="false">IF($D604="","",IFERROR(INDEX(المنتجات!$B$5:$B$24,MATCH($D604,المنتجات!$A$5:$A$24,0)),""))</f>
        <v/>
      </c>
      <c r="G604" s="24"/>
      <c r="H604" s="25" t="str">
        <f aca="false">IF($D604="","",IFERROR(INDEX(المنتجات!$F$5:$F$24,MATCH($D604,المنتجات!$A$5:$A$24,0)),0))</f>
        <v/>
      </c>
      <c r="I604" s="30"/>
      <c r="J604" s="25" t="str">
        <f aca="false">IF($D604="","",N(G604)*H604-N(I604))</f>
        <v/>
      </c>
      <c r="K604" s="25" t="str">
        <f aca="false">IF($D604="","",N(G604)*IFERROR(INDEX(المنتجات!$H$5:$H$24,MATCH($D604,المنتجات!$A$5:$A$24,0)),0))</f>
        <v/>
      </c>
      <c r="L604" s="25" t="str">
        <f aca="false">IF($D604="","",J604-K604)</f>
        <v/>
      </c>
      <c r="M604" s="29"/>
      <c r="N604" s="29"/>
    </row>
    <row r="605" customFormat="false" ht="15" hidden="false" customHeight="false" outlineLevel="0" collapsed="false">
      <c r="A605" s="32"/>
      <c r="B605" s="29"/>
      <c r="C605" s="29"/>
      <c r="D605" s="29"/>
      <c r="E605" s="28" t="str">
        <f aca="false">IF($D605="","",IFERROR(INDEX(المنتجات!$C$5:$C$24,MATCH($D605,المنتجات!$A$5:$A$24,0)),"كود غير موجود"))</f>
        <v/>
      </c>
      <c r="F605" s="28" t="str">
        <f aca="false">IF($D605="","",IFERROR(INDEX(المنتجات!$B$5:$B$24,MATCH($D605,المنتجات!$A$5:$A$24,0)),""))</f>
        <v/>
      </c>
      <c r="G605" s="24"/>
      <c r="H605" s="25" t="str">
        <f aca="false">IF($D605="","",IFERROR(INDEX(المنتجات!$F$5:$F$24,MATCH($D605,المنتجات!$A$5:$A$24,0)),0))</f>
        <v/>
      </c>
      <c r="I605" s="30"/>
      <c r="J605" s="25" t="str">
        <f aca="false">IF($D605="","",N(G605)*H605-N(I605))</f>
        <v/>
      </c>
      <c r="K605" s="25" t="str">
        <f aca="false">IF($D605="","",N(G605)*IFERROR(INDEX(المنتجات!$H$5:$H$24,MATCH($D605,المنتجات!$A$5:$A$24,0)),0))</f>
        <v/>
      </c>
      <c r="L605" s="25" t="str">
        <f aca="false">IF($D605="","",J605-K605)</f>
        <v/>
      </c>
      <c r="M605" s="29"/>
      <c r="N605" s="29"/>
    </row>
    <row r="606" customFormat="false" ht="15" hidden="false" customHeight="false" outlineLevel="0" collapsed="false">
      <c r="A606" s="32"/>
      <c r="B606" s="29"/>
      <c r="C606" s="29"/>
      <c r="D606" s="29"/>
      <c r="E606" s="28" t="str">
        <f aca="false">IF($D606="","",IFERROR(INDEX(المنتجات!$C$5:$C$24,MATCH($D606,المنتجات!$A$5:$A$24,0)),"كود غير موجود"))</f>
        <v/>
      </c>
      <c r="F606" s="28" t="str">
        <f aca="false">IF($D606="","",IFERROR(INDEX(المنتجات!$B$5:$B$24,MATCH($D606,المنتجات!$A$5:$A$24,0)),""))</f>
        <v/>
      </c>
      <c r="G606" s="24"/>
      <c r="H606" s="25" t="str">
        <f aca="false">IF($D606="","",IFERROR(INDEX(المنتجات!$F$5:$F$24,MATCH($D606,المنتجات!$A$5:$A$24,0)),0))</f>
        <v/>
      </c>
      <c r="I606" s="30"/>
      <c r="J606" s="25" t="str">
        <f aca="false">IF($D606="","",N(G606)*H606-N(I606))</f>
        <v/>
      </c>
      <c r="K606" s="25" t="str">
        <f aca="false">IF($D606="","",N(G606)*IFERROR(INDEX(المنتجات!$H$5:$H$24,MATCH($D606,المنتجات!$A$5:$A$24,0)),0))</f>
        <v/>
      </c>
      <c r="L606" s="25" t="str">
        <f aca="false">IF($D606="","",J606-K606)</f>
        <v/>
      </c>
      <c r="M606" s="29"/>
      <c r="N606" s="29"/>
    </row>
    <row r="607" customFormat="false" ht="15" hidden="false" customHeight="false" outlineLevel="0" collapsed="false">
      <c r="A607" s="32"/>
      <c r="B607" s="29"/>
      <c r="C607" s="29"/>
      <c r="D607" s="29"/>
      <c r="E607" s="28" t="str">
        <f aca="false">IF($D607="","",IFERROR(INDEX(المنتجات!$C$5:$C$24,MATCH($D607,المنتجات!$A$5:$A$24,0)),"كود غير موجود"))</f>
        <v/>
      </c>
      <c r="F607" s="28" t="str">
        <f aca="false">IF($D607="","",IFERROR(INDEX(المنتجات!$B$5:$B$24,MATCH($D607,المنتجات!$A$5:$A$24,0)),""))</f>
        <v/>
      </c>
      <c r="G607" s="24"/>
      <c r="H607" s="25" t="str">
        <f aca="false">IF($D607="","",IFERROR(INDEX(المنتجات!$F$5:$F$24,MATCH($D607,المنتجات!$A$5:$A$24,0)),0))</f>
        <v/>
      </c>
      <c r="I607" s="30"/>
      <c r="J607" s="25" t="str">
        <f aca="false">IF($D607="","",N(G607)*H607-N(I607))</f>
        <v/>
      </c>
      <c r="K607" s="25" t="str">
        <f aca="false">IF($D607="","",N(G607)*IFERROR(INDEX(المنتجات!$H$5:$H$24,MATCH($D607,المنتجات!$A$5:$A$24,0)),0))</f>
        <v/>
      </c>
      <c r="L607" s="25" t="str">
        <f aca="false">IF($D607="","",J607-K607)</f>
        <v/>
      </c>
      <c r="M607" s="29"/>
      <c r="N607" s="29"/>
    </row>
    <row r="608" customFormat="false" ht="15" hidden="false" customHeight="false" outlineLevel="0" collapsed="false">
      <c r="A608" s="32"/>
      <c r="B608" s="29"/>
      <c r="C608" s="29"/>
      <c r="D608" s="29"/>
      <c r="E608" s="28" t="str">
        <f aca="false">IF($D608="","",IFERROR(INDEX(المنتجات!$C$5:$C$24,MATCH($D608,المنتجات!$A$5:$A$24,0)),"كود غير موجود"))</f>
        <v/>
      </c>
      <c r="F608" s="28" t="str">
        <f aca="false">IF($D608="","",IFERROR(INDEX(المنتجات!$B$5:$B$24,MATCH($D608,المنتجات!$A$5:$A$24,0)),""))</f>
        <v/>
      </c>
      <c r="G608" s="24"/>
      <c r="H608" s="25" t="str">
        <f aca="false">IF($D608="","",IFERROR(INDEX(المنتجات!$F$5:$F$24,MATCH($D608,المنتجات!$A$5:$A$24,0)),0))</f>
        <v/>
      </c>
      <c r="I608" s="30"/>
      <c r="J608" s="25" t="str">
        <f aca="false">IF($D608="","",N(G608)*H608-N(I608))</f>
        <v/>
      </c>
      <c r="K608" s="25" t="str">
        <f aca="false">IF($D608="","",N(G608)*IFERROR(INDEX(المنتجات!$H$5:$H$24,MATCH($D608,المنتجات!$A$5:$A$24,0)),0))</f>
        <v/>
      </c>
      <c r="L608" s="25" t="str">
        <f aca="false">IF($D608="","",J608-K608)</f>
        <v/>
      </c>
      <c r="M608" s="29"/>
      <c r="N608" s="29"/>
    </row>
    <row r="609" customFormat="false" ht="15" hidden="false" customHeight="false" outlineLevel="0" collapsed="false">
      <c r="A609" s="32"/>
      <c r="B609" s="29"/>
      <c r="C609" s="29"/>
      <c r="D609" s="29"/>
      <c r="E609" s="28" t="str">
        <f aca="false">IF($D609="","",IFERROR(INDEX(المنتجات!$C$5:$C$24,MATCH($D609,المنتجات!$A$5:$A$24,0)),"كود غير موجود"))</f>
        <v/>
      </c>
      <c r="F609" s="28" t="str">
        <f aca="false">IF($D609="","",IFERROR(INDEX(المنتجات!$B$5:$B$24,MATCH($D609,المنتجات!$A$5:$A$24,0)),""))</f>
        <v/>
      </c>
      <c r="G609" s="24"/>
      <c r="H609" s="25" t="str">
        <f aca="false">IF($D609="","",IFERROR(INDEX(المنتجات!$F$5:$F$24,MATCH($D609,المنتجات!$A$5:$A$24,0)),0))</f>
        <v/>
      </c>
      <c r="I609" s="30"/>
      <c r="J609" s="25" t="str">
        <f aca="false">IF($D609="","",N(G609)*H609-N(I609))</f>
        <v/>
      </c>
      <c r="K609" s="25" t="str">
        <f aca="false">IF($D609="","",N(G609)*IFERROR(INDEX(المنتجات!$H$5:$H$24,MATCH($D609,المنتجات!$A$5:$A$24,0)),0))</f>
        <v/>
      </c>
      <c r="L609" s="25" t="str">
        <f aca="false">IF($D609="","",J609-K609)</f>
        <v/>
      </c>
      <c r="M609" s="29"/>
      <c r="N609" s="29"/>
    </row>
    <row r="610" customFormat="false" ht="15" hidden="false" customHeight="false" outlineLevel="0" collapsed="false">
      <c r="A610" s="32"/>
      <c r="B610" s="29"/>
      <c r="C610" s="29"/>
      <c r="D610" s="29"/>
      <c r="E610" s="28" t="str">
        <f aca="false">IF($D610="","",IFERROR(INDEX(المنتجات!$C$5:$C$24,MATCH($D610,المنتجات!$A$5:$A$24,0)),"كود غير موجود"))</f>
        <v/>
      </c>
      <c r="F610" s="28" t="str">
        <f aca="false">IF($D610="","",IFERROR(INDEX(المنتجات!$B$5:$B$24,MATCH($D610,المنتجات!$A$5:$A$24,0)),""))</f>
        <v/>
      </c>
      <c r="G610" s="24"/>
      <c r="H610" s="25" t="str">
        <f aca="false">IF($D610="","",IFERROR(INDEX(المنتجات!$F$5:$F$24,MATCH($D610,المنتجات!$A$5:$A$24,0)),0))</f>
        <v/>
      </c>
      <c r="I610" s="30"/>
      <c r="J610" s="25" t="str">
        <f aca="false">IF($D610="","",N(G610)*H610-N(I610))</f>
        <v/>
      </c>
      <c r="K610" s="25" t="str">
        <f aca="false">IF($D610="","",N(G610)*IFERROR(INDEX(المنتجات!$H$5:$H$24,MATCH($D610,المنتجات!$A$5:$A$24,0)),0))</f>
        <v/>
      </c>
      <c r="L610" s="25" t="str">
        <f aca="false">IF($D610="","",J610-K610)</f>
        <v/>
      </c>
      <c r="M610" s="29"/>
      <c r="N610" s="29"/>
    </row>
    <row r="611" customFormat="false" ht="15" hidden="false" customHeight="false" outlineLevel="0" collapsed="false">
      <c r="A611" s="32"/>
      <c r="B611" s="29"/>
      <c r="C611" s="29"/>
      <c r="D611" s="29"/>
      <c r="E611" s="28" t="str">
        <f aca="false">IF($D611="","",IFERROR(INDEX(المنتجات!$C$5:$C$24,MATCH($D611,المنتجات!$A$5:$A$24,0)),"كود غير موجود"))</f>
        <v/>
      </c>
      <c r="F611" s="28" t="str">
        <f aca="false">IF($D611="","",IFERROR(INDEX(المنتجات!$B$5:$B$24,MATCH($D611,المنتجات!$A$5:$A$24,0)),""))</f>
        <v/>
      </c>
      <c r="G611" s="24"/>
      <c r="H611" s="25" t="str">
        <f aca="false">IF($D611="","",IFERROR(INDEX(المنتجات!$F$5:$F$24,MATCH($D611,المنتجات!$A$5:$A$24,0)),0))</f>
        <v/>
      </c>
      <c r="I611" s="30"/>
      <c r="J611" s="25" t="str">
        <f aca="false">IF($D611="","",N(G611)*H611-N(I611))</f>
        <v/>
      </c>
      <c r="K611" s="25" t="str">
        <f aca="false">IF($D611="","",N(G611)*IFERROR(INDEX(المنتجات!$H$5:$H$24,MATCH($D611,المنتجات!$A$5:$A$24,0)),0))</f>
        <v/>
      </c>
      <c r="L611" s="25" t="str">
        <f aca="false">IF($D611="","",J611-K611)</f>
        <v/>
      </c>
      <c r="M611" s="29"/>
      <c r="N611" s="29"/>
    </row>
    <row r="612" customFormat="false" ht="15" hidden="false" customHeight="false" outlineLevel="0" collapsed="false">
      <c r="A612" s="32"/>
      <c r="B612" s="29"/>
      <c r="C612" s="29"/>
      <c r="D612" s="29"/>
      <c r="E612" s="28" t="str">
        <f aca="false">IF($D612="","",IFERROR(INDEX(المنتجات!$C$5:$C$24,MATCH($D612,المنتجات!$A$5:$A$24,0)),"كود غير موجود"))</f>
        <v/>
      </c>
      <c r="F612" s="28" t="str">
        <f aca="false">IF($D612="","",IFERROR(INDEX(المنتجات!$B$5:$B$24,MATCH($D612,المنتجات!$A$5:$A$24,0)),""))</f>
        <v/>
      </c>
      <c r="G612" s="24"/>
      <c r="H612" s="25" t="str">
        <f aca="false">IF($D612="","",IFERROR(INDEX(المنتجات!$F$5:$F$24,MATCH($D612,المنتجات!$A$5:$A$24,0)),0))</f>
        <v/>
      </c>
      <c r="I612" s="30"/>
      <c r="J612" s="25" t="str">
        <f aca="false">IF($D612="","",N(G612)*H612-N(I612))</f>
        <v/>
      </c>
      <c r="K612" s="25" t="str">
        <f aca="false">IF($D612="","",N(G612)*IFERROR(INDEX(المنتجات!$H$5:$H$24,MATCH($D612,المنتجات!$A$5:$A$24,0)),0))</f>
        <v/>
      </c>
      <c r="L612" s="25" t="str">
        <f aca="false">IF($D612="","",J612-K612)</f>
        <v/>
      </c>
      <c r="M612" s="29"/>
      <c r="N612" s="29"/>
    </row>
    <row r="613" customFormat="false" ht="15" hidden="false" customHeight="false" outlineLevel="0" collapsed="false">
      <c r="A613" s="32"/>
      <c r="B613" s="29"/>
      <c r="C613" s="29"/>
      <c r="D613" s="29"/>
      <c r="E613" s="28" t="str">
        <f aca="false">IF($D613="","",IFERROR(INDEX(المنتجات!$C$5:$C$24,MATCH($D613,المنتجات!$A$5:$A$24,0)),"كود غير موجود"))</f>
        <v/>
      </c>
      <c r="F613" s="28" t="str">
        <f aca="false">IF($D613="","",IFERROR(INDEX(المنتجات!$B$5:$B$24,MATCH($D613,المنتجات!$A$5:$A$24,0)),""))</f>
        <v/>
      </c>
      <c r="G613" s="24"/>
      <c r="H613" s="25" t="str">
        <f aca="false">IF($D613="","",IFERROR(INDEX(المنتجات!$F$5:$F$24,MATCH($D613,المنتجات!$A$5:$A$24,0)),0))</f>
        <v/>
      </c>
      <c r="I613" s="30"/>
      <c r="J613" s="25" t="str">
        <f aca="false">IF($D613="","",N(G613)*H613-N(I613))</f>
        <v/>
      </c>
      <c r="K613" s="25" t="str">
        <f aca="false">IF($D613="","",N(G613)*IFERROR(INDEX(المنتجات!$H$5:$H$24,MATCH($D613,المنتجات!$A$5:$A$24,0)),0))</f>
        <v/>
      </c>
      <c r="L613" s="25" t="str">
        <f aca="false">IF($D613="","",J613-K613)</f>
        <v/>
      </c>
      <c r="M613" s="29"/>
      <c r="N613" s="29"/>
    </row>
    <row r="614" customFormat="false" ht="15" hidden="false" customHeight="false" outlineLevel="0" collapsed="false">
      <c r="A614" s="32"/>
      <c r="B614" s="29"/>
      <c r="C614" s="29"/>
      <c r="D614" s="29"/>
      <c r="E614" s="28" t="str">
        <f aca="false">IF($D614="","",IFERROR(INDEX(المنتجات!$C$5:$C$24,MATCH($D614,المنتجات!$A$5:$A$24,0)),"كود غير موجود"))</f>
        <v/>
      </c>
      <c r="F614" s="28" t="str">
        <f aca="false">IF($D614="","",IFERROR(INDEX(المنتجات!$B$5:$B$24,MATCH($D614,المنتجات!$A$5:$A$24,0)),""))</f>
        <v/>
      </c>
      <c r="G614" s="24"/>
      <c r="H614" s="25" t="str">
        <f aca="false">IF($D614="","",IFERROR(INDEX(المنتجات!$F$5:$F$24,MATCH($D614,المنتجات!$A$5:$A$24,0)),0))</f>
        <v/>
      </c>
      <c r="I614" s="30"/>
      <c r="J614" s="25" t="str">
        <f aca="false">IF($D614="","",N(G614)*H614-N(I614))</f>
        <v/>
      </c>
      <c r="K614" s="25" t="str">
        <f aca="false">IF($D614="","",N(G614)*IFERROR(INDEX(المنتجات!$H$5:$H$24,MATCH($D614,المنتجات!$A$5:$A$24,0)),0))</f>
        <v/>
      </c>
      <c r="L614" s="25" t="str">
        <f aca="false">IF($D614="","",J614-K614)</f>
        <v/>
      </c>
      <c r="M614" s="29"/>
      <c r="N614" s="29"/>
    </row>
    <row r="615" customFormat="false" ht="15" hidden="false" customHeight="false" outlineLevel="0" collapsed="false">
      <c r="A615" s="32"/>
      <c r="B615" s="29"/>
      <c r="C615" s="29"/>
      <c r="D615" s="29"/>
      <c r="E615" s="28" t="str">
        <f aca="false">IF($D615="","",IFERROR(INDEX(المنتجات!$C$5:$C$24,MATCH($D615,المنتجات!$A$5:$A$24,0)),"كود غير موجود"))</f>
        <v/>
      </c>
      <c r="F615" s="28" t="str">
        <f aca="false">IF($D615="","",IFERROR(INDEX(المنتجات!$B$5:$B$24,MATCH($D615,المنتجات!$A$5:$A$24,0)),""))</f>
        <v/>
      </c>
      <c r="G615" s="24"/>
      <c r="H615" s="25" t="str">
        <f aca="false">IF($D615="","",IFERROR(INDEX(المنتجات!$F$5:$F$24,MATCH($D615,المنتجات!$A$5:$A$24,0)),0))</f>
        <v/>
      </c>
      <c r="I615" s="30"/>
      <c r="J615" s="25" t="str">
        <f aca="false">IF($D615="","",N(G615)*H615-N(I615))</f>
        <v/>
      </c>
      <c r="K615" s="25" t="str">
        <f aca="false">IF($D615="","",N(G615)*IFERROR(INDEX(المنتجات!$H$5:$H$24,MATCH($D615,المنتجات!$A$5:$A$24,0)),0))</f>
        <v/>
      </c>
      <c r="L615" s="25" t="str">
        <f aca="false">IF($D615="","",J615-K615)</f>
        <v/>
      </c>
      <c r="M615" s="29"/>
      <c r="N615" s="29"/>
    </row>
    <row r="616" customFormat="false" ht="15" hidden="false" customHeight="false" outlineLevel="0" collapsed="false">
      <c r="A616" s="32"/>
      <c r="B616" s="29"/>
      <c r="C616" s="29"/>
      <c r="D616" s="29"/>
      <c r="E616" s="28" t="str">
        <f aca="false">IF($D616="","",IFERROR(INDEX(المنتجات!$C$5:$C$24,MATCH($D616,المنتجات!$A$5:$A$24,0)),"كود غير موجود"))</f>
        <v/>
      </c>
      <c r="F616" s="28" t="str">
        <f aca="false">IF($D616="","",IFERROR(INDEX(المنتجات!$B$5:$B$24,MATCH($D616,المنتجات!$A$5:$A$24,0)),""))</f>
        <v/>
      </c>
      <c r="G616" s="24"/>
      <c r="H616" s="25" t="str">
        <f aca="false">IF($D616="","",IFERROR(INDEX(المنتجات!$F$5:$F$24,MATCH($D616,المنتجات!$A$5:$A$24,0)),0))</f>
        <v/>
      </c>
      <c r="I616" s="30"/>
      <c r="J616" s="25" t="str">
        <f aca="false">IF($D616="","",N(G616)*H616-N(I616))</f>
        <v/>
      </c>
      <c r="K616" s="25" t="str">
        <f aca="false">IF($D616="","",N(G616)*IFERROR(INDEX(المنتجات!$H$5:$H$24,MATCH($D616,المنتجات!$A$5:$A$24,0)),0))</f>
        <v/>
      </c>
      <c r="L616" s="25" t="str">
        <f aca="false">IF($D616="","",J616-K616)</f>
        <v/>
      </c>
      <c r="M616" s="29"/>
      <c r="N616" s="29"/>
    </row>
    <row r="617" customFormat="false" ht="15" hidden="false" customHeight="false" outlineLevel="0" collapsed="false">
      <c r="A617" s="32"/>
      <c r="B617" s="29"/>
      <c r="C617" s="29"/>
      <c r="D617" s="29"/>
      <c r="E617" s="28" t="str">
        <f aca="false">IF($D617="","",IFERROR(INDEX(المنتجات!$C$5:$C$24,MATCH($D617,المنتجات!$A$5:$A$24,0)),"كود غير موجود"))</f>
        <v/>
      </c>
      <c r="F617" s="28" t="str">
        <f aca="false">IF($D617="","",IFERROR(INDEX(المنتجات!$B$5:$B$24,MATCH($D617,المنتجات!$A$5:$A$24,0)),""))</f>
        <v/>
      </c>
      <c r="G617" s="24"/>
      <c r="H617" s="25" t="str">
        <f aca="false">IF($D617="","",IFERROR(INDEX(المنتجات!$F$5:$F$24,MATCH($D617,المنتجات!$A$5:$A$24,0)),0))</f>
        <v/>
      </c>
      <c r="I617" s="30"/>
      <c r="J617" s="25" t="str">
        <f aca="false">IF($D617="","",N(G617)*H617-N(I617))</f>
        <v/>
      </c>
      <c r="K617" s="25" t="str">
        <f aca="false">IF($D617="","",N(G617)*IFERROR(INDEX(المنتجات!$H$5:$H$24,MATCH($D617,المنتجات!$A$5:$A$24,0)),0))</f>
        <v/>
      </c>
      <c r="L617" s="25" t="str">
        <f aca="false">IF($D617="","",J617-K617)</f>
        <v/>
      </c>
      <c r="M617" s="29"/>
      <c r="N617" s="29"/>
    </row>
    <row r="618" customFormat="false" ht="15" hidden="false" customHeight="false" outlineLevel="0" collapsed="false">
      <c r="A618" s="32"/>
      <c r="B618" s="29"/>
      <c r="C618" s="29"/>
      <c r="D618" s="29"/>
      <c r="E618" s="28" t="str">
        <f aca="false">IF($D618="","",IFERROR(INDEX(المنتجات!$C$5:$C$24,MATCH($D618,المنتجات!$A$5:$A$24,0)),"كود غير موجود"))</f>
        <v/>
      </c>
      <c r="F618" s="28" t="str">
        <f aca="false">IF($D618="","",IFERROR(INDEX(المنتجات!$B$5:$B$24,MATCH($D618,المنتجات!$A$5:$A$24,0)),""))</f>
        <v/>
      </c>
      <c r="G618" s="24"/>
      <c r="H618" s="25" t="str">
        <f aca="false">IF($D618="","",IFERROR(INDEX(المنتجات!$F$5:$F$24,MATCH($D618,المنتجات!$A$5:$A$24,0)),0))</f>
        <v/>
      </c>
      <c r="I618" s="30"/>
      <c r="J618" s="25" t="str">
        <f aca="false">IF($D618="","",N(G618)*H618-N(I618))</f>
        <v/>
      </c>
      <c r="K618" s="25" t="str">
        <f aca="false">IF($D618="","",N(G618)*IFERROR(INDEX(المنتجات!$H$5:$H$24,MATCH($D618,المنتجات!$A$5:$A$24,0)),0))</f>
        <v/>
      </c>
      <c r="L618" s="25" t="str">
        <f aca="false">IF($D618="","",J618-K618)</f>
        <v/>
      </c>
      <c r="M618" s="29"/>
      <c r="N618" s="29"/>
    </row>
    <row r="619" customFormat="false" ht="15" hidden="false" customHeight="false" outlineLevel="0" collapsed="false">
      <c r="A619" s="32"/>
      <c r="B619" s="29"/>
      <c r="C619" s="29"/>
      <c r="D619" s="29"/>
      <c r="E619" s="28" t="str">
        <f aca="false">IF($D619="","",IFERROR(INDEX(المنتجات!$C$5:$C$24,MATCH($D619,المنتجات!$A$5:$A$24,0)),"كود غير موجود"))</f>
        <v/>
      </c>
      <c r="F619" s="28" t="str">
        <f aca="false">IF($D619="","",IFERROR(INDEX(المنتجات!$B$5:$B$24,MATCH($D619,المنتجات!$A$5:$A$24,0)),""))</f>
        <v/>
      </c>
      <c r="G619" s="24"/>
      <c r="H619" s="25" t="str">
        <f aca="false">IF($D619="","",IFERROR(INDEX(المنتجات!$F$5:$F$24,MATCH($D619,المنتجات!$A$5:$A$24,0)),0))</f>
        <v/>
      </c>
      <c r="I619" s="30"/>
      <c r="J619" s="25" t="str">
        <f aca="false">IF($D619="","",N(G619)*H619-N(I619))</f>
        <v/>
      </c>
      <c r="K619" s="25" t="str">
        <f aca="false">IF($D619="","",N(G619)*IFERROR(INDEX(المنتجات!$H$5:$H$24,MATCH($D619,المنتجات!$A$5:$A$24,0)),0))</f>
        <v/>
      </c>
      <c r="L619" s="25" t="str">
        <f aca="false">IF($D619="","",J619-K619)</f>
        <v/>
      </c>
      <c r="M619" s="29"/>
      <c r="N619" s="29"/>
    </row>
    <row r="620" customFormat="false" ht="15" hidden="false" customHeight="false" outlineLevel="0" collapsed="false">
      <c r="A620" s="32"/>
      <c r="B620" s="29"/>
      <c r="C620" s="29"/>
      <c r="D620" s="29"/>
      <c r="E620" s="28" t="str">
        <f aca="false">IF($D620="","",IFERROR(INDEX(المنتجات!$C$5:$C$24,MATCH($D620,المنتجات!$A$5:$A$24,0)),"كود غير موجود"))</f>
        <v/>
      </c>
      <c r="F620" s="28" t="str">
        <f aca="false">IF($D620="","",IFERROR(INDEX(المنتجات!$B$5:$B$24,MATCH($D620,المنتجات!$A$5:$A$24,0)),""))</f>
        <v/>
      </c>
      <c r="G620" s="24"/>
      <c r="H620" s="25" t="str">
        <f aca="false">IF($D620="","",IFERROR(INDEX(المنتجات!$F$5:$F$24,MATCH($D620,المنتجات!$A$5:$A$24,0)),0))</f>
        <v/>
      </c>
      <c r="I620" s="30"/>
      <c r="J620" s="25" t="str">
        <f aca="false">IF($D620="","",N(G620)*H620-N(I620))</f>
        <v/>
      </c>
      <c r="K620" s="25" t="str">
        <f aca="false">IF($D620="","",N(G620)*IFERROR(INDEX(المنتجات!$H$5:$H$24,MATCH($D620,المنتجات!$A$5:$A$24,0)),0))</f>
        <v/>
      </c>
      <c r="L620" s="25" t="str">
        <f aca="false">IF($D620="","",J620-K620)</f>
        <v/>
      </c>
      <c r="M620" s="29"/>
      <c r="N620" s="29"/>
    </row>
    <row r="621" customFormat="false" ht="15" hidden="false" customHeight="false" outlineLevel="0" collapsed="false">
      <c r="A621" s="32"/>
      <c r="B621" s="29"/>
      <c r="C621" s="29"/>
      <c r="D621" s="29"/>
      <c r="E621" s="28" t="str">
        <f aca="false">IF($D621="","",IFERROR(INDEX(المنتجات!$C$5:$C$24,MATCH($D621,المنتجات!$A$5:$A$24,0)),"كود غير موجود"))</f>
        <v/>
      </c>
      <c r="F621" s="28" t="str">
        <f aca="false">IF($D621="","",IFERROR(INDEX(المنتجات!$B$5:$B$24,MATCH($D621,المنتجات!$A$5:$A$24,0)),""))</f>
        <v/>
      </c>
      <c r="G621" s="24"/>
      <c r="H621" s="25" t="str">
        <f aca="false">IF($D621="","",IFERROR(INDEX(المنتجات!$F$5:$F$24,MATCH($D621,المنتجات!$A$5:$A$24,0)),0))</f>
        <v/>
      </c>
      <c r="I621" s="30"/>
      <c r="J621" s="25" t="str">
        <f aca="false">IF($D621="","",N(G621)*H621-N(I621))</f>
        <v/>
      </c>
      <c r="K621" s="25" t="str">
        <f aca="false">IF($D621="","",N(G621)*IFERROR(INDEX(المنتجات!$H$5:$H$24,MATCH($D621,المنتجات!$A$5:$A$24,0)),0))</f>
        <v/>
      </c>
      <c r="L621" s="25" t="str">
        <f aca="false">IF($D621="","",J621-K621)</f>
        <v/>
      </c>
      <c r="M621" s="29"/>
      <c r="N621" s="29"/>
    </row>
    <row r="622" customFormat="false" ht="15" hidden="false" customHeight="false" outlineLevel="0" collapsed="false">
      <c r="A622" s="32"/>
      <c r="B622" s="29"/>
      <c r="C622" s="29"/>
      <c r="D622" s="29"/>
      <c r="E622" s="28" t="str">
        <f aca="false">IF($D622="","",IFERROR(INDEX(المنتجات!$C$5:$C$24,MATCH($D622,المنتجات!$A$5:$A$24,0)),"كود غير موجود"))</f>
        <v/>
      </c>
      <c r="F622" s="28" t="str">
        <f aca="false">IF($D622="","",IFERROR(INDEX(المنتجات!$B$5:$B$24,MATCH($D622,المنتجات!$A$5:$A$24,0)),""))</f>
        <v/>
      </c>
      <c r="G622" s="24"/>
      <c r="H622" s="25" t="str">
        <f aca="false">IF($D622="","",IFERROR(INDEX(المنتجات!$F$5:$F$24,MATCH($D622,المنتجات!$A$5:$A$24,0)),0))</f>
        <v/>
      </c>
      <c r="I622" s="30"/>
      <c r="J622" s="25" t="str">
        <f aca="false">IF($D622="","",N(G622)*H622-N(I622))</f>
        <v/>
      </c>
      <c r="K622" s="25" t="str">
        <f aca="false">IF($D622="","",N(G622)*IFERROR(INDEX(المنتجات!$H$5:$H$24,MATCH($D622,المنتجات!$A$5:$A$24,0)),0))</f>
        <v/>
      </c>
      <c r="L622" s="25" t="str">
        <f aca="false">IF($D622="","",J622-K622)</f>
        <v/>
      </c>
      <c r="M622" s="29"/>
      <c r="N622" s="29"/>
    </row>
    <row r="623" customFormat="false" ht="15" hidden="false" customHeight="false" outlineLevel="0" collapsed="false">
      <c r="A623" s="32"/>
      <c r="B623" s="29"/>
      <c r="C623" s="29"/>
      <c r="D623" s="29"/>
      <c r="E623" s="28" t="str">
        <f aca="false">IF($D623="","",IFERROR(INDEX(المنتجات!$C$5:$C$24,MATCH($D623,المنتجات!$A$5:$A$24,0)),"كود غير موجود"))</f>
        <v/>
      </c>
      <c r="F623" s="28" t="str">
        <f aca="false">IF($D623="","",IFERROR(INDEX(المنتجات!$B$5:$B$24,MATCH($D623,المنتجات!$A$5:$A$24,0)),""))</f>
        <v/>
      </c>
      <c r="G623" s="24"/>
      <c r="H623" s="25" t="str">
        <f aca="false">IF($D623="","",IFERROR(INDEX(المنتجات!$F$5:$F$24,MATCH($D623,المنتجات!$A$5:$A$24,0)),0))</f>
        <v/>
      </c>
      <c r="I623" s="30"/>
      <c r="J623" s="25" t="str">
        <f aca="false">IF($D623="","",N(G623)*H623-N(I623))</f>
        <v/>
      </c>
      <c r="K623" s="25" t="str">
        <f aca="false">IF($D623="","",N(G623)*IFERROR(INDEX(المنتجات!$H$5:$H$24,MATCH($D623,المنتجات!$A$5:$A$24,0)),0))</f>
        <v/>
      </c>
      <c r="L623" s="25" t="str">
        <f aca="false">IF($D623="","",J623-K623)</f>
        <v/>
      </c>
      <c r="M623" s="29"/>
      <c r="N623" s="29"/>
    </row>
    <row r="624" customFormat="false" ht="15" hidden="false" customHeight="false" outlineLevel="0" collapsed="false">
      <c r="A624" s="32"/>
      <c r="B624" s="29"/>
      <c r="C624" s="29"/>
      <c r="D624" s="29"/>
      <c r="E624" s="28" t="str">
        <f aca="false">IF($D624="","",IFERROR(INDEX(المنتجات!$C$5:$C$24,MATCH($D624,المنتجات!$A$5:$A$24,0)),"كود غير موجود"))</f>
        <v/>
      </c>
      <c r="F624" s="28" t="str">
        <f aca="false">IF($D624="","",IFERROR(INDEX(المنتجات!$B$5:$B$24,MATCH($D624,المنتجات!$A$5:$A$24,0)),""))</f>
        <v/>
      </c>
      <c r="G624" s="24"/>
      <c r="H624" s="25" t="str">
        <f aca="false">IF($D624="","",IFERROR(INDEX(المنتجات!$F$5:$F$24,MATCH($D624,المنتجات!$A$5:$A$24,0)),0))</f>
        <v/>
      </c>
      <c r="I624" s="30"/>
      <c r="J624" s="25" t="str">
        <f aca="false">IF($D624="","",N(G624)*H624-N(I624))</f>
        <v/>
      </c>
      <c r="K624" s="25" t="str">
        <f aca="false">IF($D624="","",N(G624)*IFERROR(INDEX(المنتجات!$H$5:$H$24,MATCH($D624,المنتجات!$A$5:$A$24,0)),0))</f>
        <v/>
      </c>
      <c r="L624" s="25" t="str">
        <f aca="false">IF($D624="","",J624-K624)</f>
        <v/>
      </c>
      <c r="M624" s="29"/>
      <c r="N624" s="29"/>
    </row>
    <row r="625" customFormat="false" ht="15" hidden="false" customHeight="false" outlineLevel="0" collapsed="false">
      <c r="A625" s="32"/>
      <c r="B625" s="29"/>
      <c r="C625" s="29"/>
      <c r="D625" s="29"/>
      <c r="E625" s="28" t="str">
        <f aca="false">IF($D625="","",IFERROR(INDEX(المنتجات!$C$5:$C$24,MATCH($D625,المنتجات!$A$5:$A$24,0)),"كود غير موجود"))</f>
        <v/>
      </c>
      <c r="F625" s="28" t="str">
        <f aca="false">IF($D625="","",IFERROR(INDEX(المنتجات!$B$5:$B$24,MATCH($D625,المنتجات!$A$5:$A$24,0)),""))</f>
        <v/>
      </c>
      <c r="G625" s="24"/>
      <c r="H625" s="25" t="str">
        <f aca="false">IF($D625="","",IFERROR(INDEX(المنتجات!$F$5:$F$24,MATCH($D625,المنتجات!$A$5:$A$24,0)),0))</f>
        <v/>
      </c>
      <c r="I625" s="30"/>
      <c r="J625" s="25" t="str">
        <f aca="false">IF($D625="","",N(G625)*H625-N(I625))</f>
        <v/>
      </c>
      <c r="K625" s="25" t="str">
        <f aca="false">IF($D625="","",N(G625)*IFERROR(INDEX(المنتجات!$H$5:$H$24,MATCH($D625,المنتجات!$A$5:$A$24,0)),0))</f>
        <v/>
      </c>
      <c r="L625" s="25" t="str">
        <f aca="false">IF($D625="","",J625-K625)</f>
        <v/>
      </c>
      <c r="M625" s="29"/>
      <c r="N625" s="29"/>
    </row>
    <row r="626" customFormat="false" ht="15" hidden="false" customHeight="false" outlineLevel="0" collapsed="false">
      <c r="A626" s="32"/>
      <c r="B626" s="29"/>
      <c r="C626" s="29"/>
      <c r="D626" s="29"/>
      <c r="E626" s="28" t="str">
        <f aca="false">IF($D626="","",IFERROR(INDEX(المنتجات!$C$5:$C$24,MATCH($D626,المنتجات!$A$5:$A$24,0)),"كود غير موجود"))</f>
        <v/>
      </c>
      <c r="F626" s="28" t="str">
        <f aca="false">IF($D626="","",IFERROR(INDEX(المنتجات!$B$5:$B$24,MATCH($D626,المنتجات!$A$5:$A$24,0)),""))</f>
        <v/>
      </c>
      <c r="G626" s="24"/>
      <c r="H626" s="25" t="str">
        <f aca="false">IF($D626="","",IFERROR(INDEX(المنتجات!$F$5:$F$24,MATCH($D626,المنتجات!$A$5:$A$24,0)),0))</f>
        <v/>
      </c>
      <c r="I626" s="30"/>
      <c r="J626" s="25" t="str">
        <f aca="false">IF($D626="","",N(G626)*H626-N(I626))</f>
        <v/>
      </c>
      <c r="K626" s="25" t="str">
        <f aca="false">IF($D626="","",N(G626)*IFERROR(INDEX(المنتجات!$H$5:$H$24,MATCH($D626,المنتجات!$A$5:$A$24,0)),0))</f>
        <v/>
      </c>
      <c r="L626" s="25" t="str">
        <f aca="false">IF($D626="","",J626-K626)</f>
        <v/>
      </c>
      <c r="M626" s="29"/>
      <c r="N626" s="29"/>
    </row>
    <row r="627" customFormat="false" ht="15" hidden="false" customHeight="false" outlineLevel="0" collapsed="false">
      <c r="A627" s="32"/>
      <c r="B627" s="29"/>
      <c r="C627" s="29"/>
      <c r="D627" s="29"/>
      <c r="E627" s="28" t="str">
        <f aca="false">IF($D627="","",IFERROR(INDEX(المنتجات!$C$5:$C$24,MATCH($D627,المنتجات!$A$5:$A$24,0)),"كود غير موجود"))</f>
        <v/>
      </c>
      <c r="F627" s="28" t="str">
        <f aca="false">IF($D627="","",IFERROR(INDEX(المنتجات!$B$5:$B$24,MATCH($D627,المنتجات!$A$5:$A$24,0)),""))</f>
        <v/>
      </c>
      <c r="G627" s="24"/>
      <c r="H627" s="25" t="str">
        <f aca="false">IF($D627="","",IFERROR(INDEX(المنتجات!$F$5:$F$24,MATCH($D627,المنتجات!$A$5:$A$24,0)),0))</f>
        <v/>
      </c>
      <c r="I627" s="30"/>
      <c r="J627" s="25" t="str">
        <f aca="false">IF($D627="","",N(G627)*H627-N(I627))</f>
        <v/>
      </c>
      <c r="K627" s="25" t="str">
        <f aca="false">IF($D627="","",N(G627)*IFERROR(INDEX(المنتجات!$H$5:$H$24,MATCH($D627,المنتجات!$A$5:$A$24,0)),0))</f>
        <v/>
      </c>
      <c r="L627" s="25" t="str">
        <f aca="false">IF($D627="","",J627-K627)</f>
        <v/>
      </c>
      <c r="M627" s="29"/>
      <c r="N627" s="29"/>
    </row>
    <row r="628" customFormat="false" ht="15" hidden="false" customHeight="false" outlineLevel="0" collapsed="false">
      <c r="A628" s="32"/>
      <c r="B628" s="29"/>
      <c r="C628" s="29"/>
      <c r="D628" s="29"/>
      <c r="E628" s="28" t="str">
        <f aca="false">IF($D628="","",IFERROR(INDEX(المنتجات!$C$5:$C$24,MATCH($D628,المنتجات!$A$5:$A$24,0)),"كود غير موجود"))</f>
        <v/>
      </c>
      <c r="F628" s="28" t="str">
        <f aca="false">IF($D628="","",IFERROR(INDEX(المنتجات!$B$5:$B$24,MATCH($D628,المنتجات!$A$5:$A$24,0)),""))</f>
        <v/>
      </c>
      <c r="G628" s="24"/>
      <c r="H628" s="25" t="str">
        <f aca="false">IF($D628="","",IFERROR(INDEX(المنتجات!$F$5:$F$24,MATCH($D628,المنتجات!$A$5:$A$24,0)),0))</f>
        <v/>
      </c>
      <c r="I628" s="30"/>
      <c r="J628" s="25" t="str">
        <f aca="false">IF($D628="","",N(G628)*H628-N(I628))</f>
        <v/>
      </c>
      <c r="K628" s="25" t="str">
        <f aca="false">IF($D628="","",N(G628)*IFERROR(INDEX(المنتجات!$H$5:$H$24,MATCH($D628,المنتجات!$A$5:$A$24,0)),0))</f>
        <v/>
      </c>
      <c r="L628" s="25" t="str">
        <f aca="false">IF($D628="","",J628-K628)</f>
        <v/>
      </c>
      <c r="M628" s="29"/>
      <c r="N628" s="29"/>
    </row>
    <row r="629" customFormat="false" ht="15" hidden="false" customHeight="false" outlineLevel="0" collapsed="false">
      <c r="A629" s="32"/>
      <c r="B629" s="29"/>
      <c r="C629" s="29"/>
      <c r="D629" s="29"/>
      <c r="E629" s="28" t="str">
        <f aca="false">IF($D629="","",IFERROR(INDEX(المنتجات!$C$5:$C$24,MATCH($D629,المنتجات!$A$5:$A$24,0)),"كود غير موجود"))</f>
        <v/>
      </c>
      <c r="F629" s="28" t="str">
        <f aca="false">IF($D629="","",IFERROR(INDEX(المنتجات!$B$5:$B$24,MATCH($D629,المنتجات!$A$5:$A$24,0)),""))</f>
        <v/>
      </c>
      <c r="G629" s="24"/>
      <c r="H629" s="25" t="str">
        <f aca="false">IF($D629="","",IFERROR(INDEX(المنتجات!$F$5:$F$24,MATCH($D629,المنتجات!$A$5:$A$24,0)),0))</f>
        <v/>
      </c>
      <c r="I629" s="30"/>
      <c r="J629" s="25" t="str">
        <f aca="false">IF($D629="","",N(G629)*H629-N(I629))</f>
        <v/>
      </c>
      <c r="K629" s="25" t="str">
        <f aca="false">IF($D629="","",N(G629)*IFERROR(INDEX(المنتجات!$H$5:$H$24,MATCH($D629,المنتجات!$A$5:$A$24,0)),0))</f>
        <v/>
      </c>
      <c r="L629" s="25" t="str">
        <f aca="false">IF($D629="","",J629-K629)</f>
        <v/>
      </c>
      <c r="M629" s="29"/>
      <c r="N629" s="29"/>
    </row>
    <row r="630" customFormat="false" ht="15" hidden="false" customHeight="false" outlineLevel="0" collapsed="false">
      <c r="A630" s="32"/>
      <c r="B630" s="29"/>
      <c r="C630" s="29"/>
      <c r="D630" s="29"/>
      <c r="E630" s="28" t="str">
        <f aca="false">IF($D630="","",IFERROR(INDEX(المنتجات!$C$5:$C$24,MATCH($D630,المنتجات!$A$5:$A$24,0)),"كود غير موجود"))</f>
        <v/>
      </c>
      <c r="F630" s="28" t="str">
        <f aca="false">IF($D630="","",IFERROR(INDEX(المنتجات!$B$5:$B$24,MATCH($D630,المنتجات!$A$5:$A$24,0)),""))</f>
        <v/>
      </c>
      <c r="G630" s="24"/>
      <c r="H630" s="25" t="str">
        <f aca="false">IF($D630="","",IFERROR(INDEX(المنتجات!$F$5:$F$24,MATCH($D630,المنتجات!$A$5:$A$24,0)),0))</f>
        <v/>
      </c>
      <c r="I630" s="30"/>
      <c r="J630" s="25" t="str">
        <f aca="false">IF($D630="","",N(G630)*H630-N(I630))</f>
        <v/>
      </c>
      <c r="K630" s="25" t="str">
        <f aca="false">IF($D630="","",N(G630)*IFERROR(INDEX(المنتجات!$H$5:$H$24,MATCH($D630,المنتجات!$A$5:$A$24,0)),0))</f>
        <v/>
      </c>
      <c r="L630" s="25" t="str">
        <f aca="false">IF($D630="","",J630-K630)</f>
        <v/>
      </c>
      <c r="M630" s="29"/>
      <c r="N630" s="29"/>
    </row>
    <row r="631" customFormat="false" ht="15" hidden="false" customHeight="false" outlineLevel="0" collapsed="false">
      <c r="A631" s="32"/>
      <c r="B631" s="29"/>
      <c r="C631" s="29"/>
      <c r="D631" s="29"/>
      <c r="E631" s="28" t="str">
        <f aca="false">IF($D631="","",IFERROR(INDEX(المنتجات!$C$5:$C$24,MATCH($D631,المنتجات!$A$5:$A$24,0)),"كود غير موجود"))</f>
        <v/>
      </c>
      <c r="F631" s="28" t="str">
        <f aca="false">IF($D631="","",IFERROR(INDEX(المنتجات!$B$5:$B$24,MATCH($D631,المنتجات!$A$5:$A$24,0)),""))</f>
        <v/>
      </c>
      <c r="G631" s="24"/>
      <c r="H631" s="25" t="str">
        <f aca="false">IF($D631="","",IFERROR(INDEX(المنتجات!$F$5:$F$24,MATCH($D631,المنتجات!$A$5:$A$24,0)),0))</f>
        <v/>
      </c>
      <c r="I631" s="30"/>
      <c r="J631" s="25" t="str">
        <f aca="false">IF($D631="","",N(G631)*H631-N(I631))</f>
        <v/>
      </c>
      <c r="K631" s="25" t="str">
        <f aca="false">IF($D631="","",N(G631)*IFERROR(INDEX(المنتجات!$H$5:$H$24,MATCH($D631,المنتجات!$A$5:$A$24,0)),0))</f>
        <v/>
      </c>
      <c r="L631" s="25" t="str">
        <f aca="false">IF($D631="","",J631-K631)</f>
        <v/>
      </c>
      <c r="M631" s="29"/>
      <c r="N631" s="29"/>
    </row>
    <row r="632" customFormat="false" ht="15" hidden="false" customHeight="false" outlineLevel="0" collapsed="false">
      <c r="A632" s="32"/>
      <c r="B632" s="29"/>
      <c r="C632" s="29"/>
      <c r="D632" s="29"/>
      <c r="E632" s="28" t="str">
        <f aca="false">IF($D632="","",IFERROR(INDEX(المنتجات!$C$5:$C$24,MATCH($D632,المنتجات!$A$5:$A$24,0)),"كود غير موجود"))</f>
        <v/>
      </c>
      <c r="F632" s="28" t="str">
        <f aca="false">IF($D632="","",IFERROR(INDEX(المنتجات!$B$5:$B$24,MATCH($D632,المنتجات!$A$5:$A$24,0)),""))</f>
        <v/>
      </c>
      <c r="G632" s="24"/>
      <c r="H632" s="25" t="str">
        <f aca="false">IF($D632="","",IFERROR(INDEX(المنتجات!$F$5:$F$24,MATCH($D632,المنتجات!$A$5:$A$24,0)),0))</f>
        <v/>
      </c>
      <c r="I632" s="30"/>
      <c r="J632" s="25" t="str">
        <f aca="false">IF($D632="","",N(G632)*H632-N(I632))</f>
        <v/>
      </c>
      <c r="K632" s="25" t="str">
        <f aca="false">IF($D632="","",N(G632)*IFERROR(INDEX(المنتجات!$H$5:$H$24,MATCH($D632,المنتجات!$A$5:$A$24,0)),0))</f>
        <v/>
      </c>
      <c r="L632" s="25" t="str">
        <f aca="false">IF($D632="","",J632-K632)</f>
        <v/>
      </c>
      <c r="M632" s="29"/>
      <c r="N632" s="29"/>
    </row>
    <row r="633" customFormat="false" ht="15" hidden="false" customHeight="false" outlineLevel="0" collapsed="false">
      <c r="A633" s="32"/>
      <c r="B633" s="29"/>
      <c r="C633" s="29"/>
      <c r="D633" s="29"/>
      <c r="E633" s="28" t="str">
        <f aca="false">IF($D633="","",IFERROR(INDEX(المنتجات!$C$5:$C$24,MATCH($D633,المنتجات!$A$5:$A$24,0)),"كود غير موجود"))</f>
        <v/>
      </c>
      <c r="F633" s="28" t="str">
        <f aca="false">IF($D633="","",IFERROR(INDEX(المنتجات!$B$5:$B$24,MATCH($D633,المنتجات!$A$5:$A$24,0)),""))</f>
        <v/>
      </c>
      <c r="G633" s="24"/>
      <c r="H633" s="25" t="str">
        <f aca="false">IF($D633="","",IFERROR(INDEX(المنتجات!$F$5:$F$24,MATCH($D633,المنتجات!$A$5:$A$24,0)),0))</f>
        <v/>
      </c>
      <c r="I633" s="30"/>
      <c r="J633" s="25" t="str">
        <f aca="false">IF($D633="","",N(G633)*H633-N(I633))</f>
        <v/>
      </c>
      <c r="K633" s="25" t="str">
        <f aca="false">IF($D633="","",N(G633)*IFERROR(INDEX(المنتجات!$H$5:$H$24,MATCH($D633,المنتجات!$A$5:$A$24,0)),0))</f>
        <v/>
      </c>
      <c r="L633" s="25" t="str">
        <f aca="false">IF($D633="","",J633-K633)</f>
        <v/>
      </c>
      <c r="M633" s="29"/>
      <c r="N633" s="29"/>
    </row>
    <row r="634" customFormat="false" ht="15" hidden="false" customHeight="false" outlineLevel="0" collapsed="false">
      <c r="A634" s="32"/>
      <c r="B634" s="29"/>
      <c r="C634" s="29"/>
      <c r="D634" s="29"/>
      <c r="E634" s="28" t="str">
        <f aca="false">IF($D634="","",IFERROR(INDEX(المنتجات!$C$5:$C$24,MATCH($D634,المنتجات!$A$5:$A$24,0)),"كود غير موجود"))</f>
        <v/>
      </c>
      <c r="F634" s="28" t="str">
        <f aca="false">IF($D634="","",IFERROR(INDEX(المنتجات!$B$5:$B$24,MATCH($D634,المنتجات!$A$5:$A$24,0)),""))</f>
        <v/>
      </c>
      <c r="G634" s="24"/>
      <c r="H634" s="25" t="str">
        <f aca="false">IF($D634="","",IFERROR(INDEX(المنتجات!$F$5:$F$24,MATCH($D634,المنتجات!$A$5:$A$24,0)),0))</f>
        <v/>
      </c>
      <c r="I634" s="30"/>
      <c r="J634" s="25" t="str">
        <f aca="false">IF($D634="","",N(G634)*H634-N(I634))</f>
        <v/>
      </c>
      <c r="K634" s="25" t="str">
        <f aca="false">IF($D634="","",N(G634)*IFERROR(INDEX(المنتجات!$H$5:$H$24,MATCH($D634,المنتجات!$A$5:$A$24,0)),0))</f>
        <v/>
      </c>
      <c r="L634" s="25" t="str">
        <f aca="false">IF($D634="","",J634-K634)</f>
        <v/>
      </c>
      <c r="M634" s="29"/>
      <c r="N634" s="29"/>
    </row>
    <row r="635" customFormat="false" ht="15" hidden="false" customHeight="false" outlineLevel="0" collapsed="false">
      <c r="A635" s="32"/>
      <c r="B635" s="29"/>
      <c r="C635" s="29"/>
      <c r="D635" s="29"/>
      <c r="E635" s="28" t="str">
        <f aca="false">IF($D635="","",IFERROR(INDEX(المنتجات!$C$5:$C$24,MATCH($D635,المنتجات!$A$5:$A$24,0)),"كود غير موجود"))</f>
        <v/>
      </c>
      <c r="F635" s="28" t="str">
        <f aca="false">IF($D635="","",IFERROR(INDEX(المنتجات!$B$5:$B$24,MATCH($D635,المنتجات!$A$5:$A$24,0)),""))</f>
        <v/>
      </c>
      <c r="G635" s="24"/>
      <c r="H635" s="25" t="str">
        <f aca="false">IF($D635="","",IFERROR(INDEX(المنتجات!$F$5:$F$24,MATCH($D635,المنتجات!$A$5:$A$24,0)),0))</f>
        <v/>
      </c>
      <c r="I635" s="30"/>
      <c r="J635" s="25" t="str">
        <f aca="false">IF($D635="","",N(G635)*H635-N(I635))</f>
        <v/>
      </c>
      <c r="K635" s="25" t="str">
        <f aca="false">IF($D635="","",N(G635)*IFERROR(INDEX(المنتجات!$H$5:$H$24,MATCH($D635,المنتجات!$A$5:$A$24,0)),0))</f>
        <v/>
      </c>
      <c r="L635" s="25" t="str">
        <f aca="false">IF($D635="","",J635-K635)</f>
        <v/>
      </c>
      <c r="M635" s="29"/>
      <c r="N635" s="29"/>
    </row>
    <row r="636" customFormat="false" ht="15" hidden="false" customHeight="false" outlineLevel="0" collapsed="false">
      <c r="A636" s="32"/>
      <c r="B636" s="29"/>
      <c r="C636" s="29"/>
      <c r="D636" s="29"/>
      <c r="E636" s="28" t="str">
        <f aca="false">IF($D636="","",IFERROR(INDEX(المنتجات!$C$5:$C$24,MATCH($D636,المنتجات!$A$5:$A$24,0)),"كود غير موجود"))</f>
        <v/>
      </c>
      <c r="F636" s="28" t="str">
        <f aca="false">IF($D636="","",IFERROR(INDEX(المنتجات!$B$5:$B$24,MATCH($D636,المنتجات!$A$5:$A$24,0)),""))</f>
        <v/>
      </c>
      <c r="G636" s="24"/>
      <c r="H636" s="25" t="str">
        <f aca="false">IF($D636="","",IFERROR(INDEX(المنتجات!$F$5:$F$24,MATCH($D636,المنتجات!$A$5:$A$24,0)),0))</f>
        <v/>
      </c>
      <c r="I636" s="30"/>
      <c r="J636" s="25" t="str">
        <f aca="false">IF($D636="","",N(G636)*H636-N(I636))</f>
        <v/>
      </c>
      <c r="K636" s="25" t="str">
        <f aca="false">IF($D636="","",N(G636)*IFERROR(INDEX(المنتجات!$H$5:$H$24,MATCH($D636,المنتجات!$A$5:$A$24,0)),0))</f>
        <v/>
      </c>
      <c r="L636" s="25" t="str">
        <f aca="false">IF($D636="","",J636-K636)</f>
        <v/>
      </c>
      <c r="M636" s="29"/>
      <c r="N636" s="29"/>
    </row>
    <row r="637" customFormat="false" ht="15" hidden="false" customHeight="false" outlineLevel="0" collapsed="false">
      <c r="A637" s="32"/>
      <c r="B637" s="29"/>
      <c r="C637" s="29"/>
      <c r="D637" s="29"/>
      <c r="E637" s="28" t="str">
        <f aca="false">IF($D637="","",IFERROR(INDEX(المنتجات!$C$5:$C$24,MATCH($D637,المنتجات!$A$5:$A$24,0)),"كود غير موجود"))</f>
        <v/>
      </c>
      <c r="F637" s="28" t="str">
        <f aca="false">IF($D637="","",IFERROR(INDEX(المنتجات!$B$5:$B$24,MATCH($D637,المنتجات!$A$5:$A$24,0)),""))</f>
        <v/>
      </c>
      <c r="G637" s="24"/>
      <c r="H637" s="25" t="str">
        <f aca="false">IF($D637="","",IFERROR(INDEX(المنتجات!$F$5:$F$24,MATCH($D637,المنتجات!$A$5:$A$24,0)),0))</f>
        <v/>
      </c>
      <c r="I637" s="30"/>
      <c r="J637" s="25" t="str">
        <f aca="false">IF($D637="","",N(G637)*H637-N(I637))</f>
        <v/>
      </c>
      <c r="K637" s="25" t="str">
        <f aca="false">IF($D637="","",N(G637)*IFERROR(INDEX(المنتجات!$H$5:$H$24,MATCH($D637,المنتجات!$A$5:$A$24,0)),0))</f>
        <v/>
      </c>
      <c r="L637" s="25" t="str">
        <f aca="false">IF($D637="","",J637-K637)</f>
        <v/>
      </c>
      <c r="M637" s="29"/>
      <c r="N637" s="29"/>
    </row>
    <row r="638" customFormat="false" ht="15" hidden="false" customHeight="false" outlineLevel="0" collapsed="false">
      <c r="A638" s="32"/>
      <c r="B638" s="29"/>
      <c r="C638" s="29"/>
      <c r="D638" s="29"/>
      <c r="E638" s="28" t="str">
        <f aca="false">IF($D638="","",IFERROR(INDEX(المنتجات!$C$5:$C$24,MATCH($D638,المنتجات!$A$5:$A$24,0)),"كود غير موجود"))</f>
        <v/>
      </c>
      <c r="F638" s="28" t="str">
        <f aca="false">IF($D638="","",IFERROR(INDEX(المنتجات!$B$5:$B$24,MATCH($D638,المنتجات!$A$5:$A$24,0)),""))</f>
        <v/>
      </c>
      <c r="G638" s="24"/>
      <c r="H638" s="25" t="str">
        <f aca="false">IF($D638="","",IFERROR(INDEX(المنتجات!$F$5:$F$24,MATCH($D638,المنتجات!$A$5:$A$24,0)),0))</f>
        <v/>
      </c>
      <c r="I638" s="30"/>
      <c r="J638" s="25" t="str">
        <f aca="false">IF($D638="","",N(G638)*H638-N(I638))</f>
        <v/>
      </c>
      <c r="K638" s="25" t="str">
        <f aca="false">IF($D638="","",N(G638)*IFERROR(INDEX(المنتجات!$H$5:$H$24,MATCH($D638,المنتجات!$A$5:$A$24,0)),0))</f>
        <v/>
      </c>
      <c r="L638" s="25" t="str">
        <f aca="false">IF($D638="","",J638-K638)</f>
        <v/>
      </c>
      <c r="M638" s="29"/>
      <c r="N638" s="29"/>
    </row>
    <row r="639" customFormat="false" ht="15" hidden="false" customHeight="false" outlineLevel="0" collapsed="false">
      <c r="A639" s="32"/>
      <c r="B639" s="29"/>
      <c r="C639" s="29"/>
      <c r="D639" s="29"/>
      <c r="E639" s="28" t="str">
        <f aca="false">IF($D639="","",IFERROR(INDEX(المنتجات!$C$5:$C$24,MATCH($D639,المنتجات!$A$5:$A$24,0)),"كود غير موجود"))</f>
        <v/>
      </c>
      <c r="F639" s="28" t="str">
        <f aca="false">IF($D639="","",IFERROR(INDEX(المنتجات!$B$5:$B$24,MATCH($D639,المنتجات!$A$5:$A$24,0)),""))</f>
        <v/>
      </c>
      <c r="G639" s="24"/>
      <c r="H639" s="25" t="str">
        <f aca="false">IF($D639="","",IFERROR(INDEX(المنتجات!$F$5:$F$24,MATCH($D639,المنتجات!$A$5:$A$24,0)),0))</f>
        <v/>
      </c>
      <c r="I639" s="30"/>
      <c r="J639" s="25" t="str">
        <f aca="false">IF($D639="","",N(G639)*H639-N(I639))</f>
        <v/>
      </c>
      <c r="K639" s="25" t="str">
        <f aca="false">IF($D639="","",N(G639)*IFERROR(INDEX(المنتجات!$H$5:$H$24,MATCH($D639,المنتجات!$A$5:$A$24,0)),0))</f>
        <v/>
      </c>
      <c r="L639" s="25" t="str">
        <f aca="false">IF($D639="","",J639-K639)</f>
        <v/>
      </c>
      <c r="M639" s="29"/>
      <c r="N639" s="29"/>
    </row>
    <row r="640" customFormat="false" ht="15" hidden="false" customHeight="false" outlineLevel="0" collapsed="false">
      <c r="A640" s="32"/>
      <c r="B640" s="29"/>
      <c r="C640" s="29"/>
      <c r="D640" s="29"/>
      <c r="E640" s="28" t="str">
        <f aca="false">IF($D640="","",IFERROR(INDEX(المنتجات!$C$5:$C$24,MATCH($D640,المنتجات!$A$5:$A$24,0)),"كود غير موجود"))</f>
        <v/>
      </c>
      <c r="F640" s="28" t="str">
        <f aca="false">IF($D640="","",IFERROR(INDEX(المنتجات!$B$5:$B$24,MATCH($D640,المنتجات!$A$5:$A$24,0)),""))</f>
        <v/>
      </c>
      <c r="G640" s="24"/>
      <c r="H640" s="25" t="str">
        <f aca="false">IF($D640="","",IFERROR(INDEX(المنتجات!$F$5:$F$24,MATCH($D640,المنتجات!$A$5:$A$24,0)),0))</f>
        <v/>
      </c>
      <c r="I640" s="30"/>
      <c r="J640" s="25" t="str">
        <f aca="false">IF($D640="","",N(G640)*H640-N(I640))</f>
        <v/>
      </c>
      <c r="K640" s="25" t="str">
        <f aca="false">IF($D640="","",N(G640)*IFERROR(INDEX(المنتجات!$H$5:$H$24,MATCH($D640,المنتجات!$A$5:$A$24,0)),0))</f>
        <v/>
      </c>
      <c r="L640" s="25" t="str">
        <f aca="false">IF($D640="","",J640-K640)</f>
        <v/>
      </c>
      <c r="M640" s="29"/>
      <c r="N640" s="29"/>
    </row>
    <row r="641" customFormat="false" ht="15" hidden="false" customHeight="false" outlineLevel="0" collapsed="false">
      <c r="A641" s="32"/>
      <c r="B641" s="29"/>
      <c r="C641" s="29"/>
      <c r="D641" s="29"/>
      <c r="E641" s="28" t="str">
        <f aca="false">IF($D641="","",IFERROR(INDEX(المنتجات!$C$5:$C$24,MATCH($D641,المنتجات!$A$5:$A$24,0)),"كود غير موجود"))</f>
        <v/>
      </c>
      <c r="F641" s="28" t="str">
        <f aca="false">IF($D641="","",IFERROR(INDEX(المنتجات!$B$5:$B$24,MATCH($D641,المنتجات!$A$5:$A$24,0)),""))</f>
        <v/>
      </c>
      <c r="G641" s="24"/>
      <c r="H641" s="25" t="str">
        <f aca="false">IF($D641="","",IFERROR(INDEX(المنتجات!$F$5:$F$24,MATCH($D641,المنتجات!$A$5:$A$24,0)),0))</f>
        <v/>
      </c>
      <c r="I641" s="30"/>
      <c r="J641" s="25" t="str">
        <f aca="false">IF($D641="","",N(G641)*H641-N(I641))</f>
        <v/>
      </c>
      <c r="K641" s="25" t="str">
        <f aca="false">IF($D641="","",N(G641)*IFERROR(INDEX(المنتجات!$H$5:$H$24,MATCH($D641,المنتجات!$A$5:$A$24,0)),0))</f>
        <v/>
      </c>
      <c r="L641" s="25" t="str">
        <f aca="false">IF($D641="","",J641-K641)</f>
        <v/>
      </c>
      <c r="M641" s="29"/>
      <c r="N641" s="29"/>
    </row>
    <row r="642" customFormat="false" ht="15" hidden="false" customHeight="false" outlineLevel="0" collapsed="false">
      <c r="A642" s="32"/>
      <c r="B642" s="29"/>
      <c r="C642" s="29"/>
      <c r="D642" s="29"/>
      <c r="E642" s="28" t="str">
        <f aca="false">IF($D642="","",IFERROR(INDEX(المنتجات!$C$5:$C$24,MATCH($D642,المنتجات!$A$5:$A$24,0)),"كود غير موجود"))</f>
        <v/>
      </c>
      <c r="F642" s="28" t="str">
        <f aca="false">IF($D642="","",IFERROR(INDEX(المنتجات!$B$5:$B$24,MATCH($D642,المنتجات!$A$5:$A$24,0)),""))</f>
        <v/>
      </c>
      <c r="G642" s="24"/>
      <c r="H642" s="25" t="str">
        <f aca="false">IF($D642="","",IFERROR(INDEX(المنتجات!$F$5:$F$24,MATCH($D642,المنتجات!$A$5:$A$24,0)),0))</f>
        <v/>
      </c>
      <c r="I642" s="30"/>
      <c r="J642" s="25" t="str">
        <f aca="false">IF($D642="","",N(G642)*H642-N(I642))</f>
        <v/>
      </c>
      <c r="K642" s="25" t="str">
        <f aca="false">IF($D642="","",N(G642)*IFERROR(INDEX(المنتجات!$H$5:$H$24,MATCH($D642,المنتجات!$A$5:$A$24,0)),0))</f>
        <v/>
      </c>
      <c r="L642" s="25" t="str">
        <f aca="false">IF($D642="","",J642-K642)</f>
        <v/>
      </c>
      <c r="M642" s="29"/>
      <c r="N642" s="29"/>
    </row>
    <row r="643" customFormat="false" ht="15" hidden="false" customHeight="false" outlineLevel="0" collapsed="false">
      <c r="A643" s="32"/>
      <c r="B643" s="29"/>
      <c r="C643" s="29"/>
      <c r="D643" s="29"/>
      <c r="E643" s="28" t="str">
        <f aca="false">IF($D643="","",IFERROR(INDEX(المنتجات!$C$5:$C$24,MATCH($D643,المنتجات!$A$5:$A$24,0)),"كود غير موجود"))</f>
        <v/>
      </c>
      <c r="F643" s="28" t="str">
        <f aca="false">IF($D643="","",IFERROR(INDEX(المنتجات!$B$5:$B$24,MATCH($D643,المنتجات!$A$5:$A$24,0)),""))</f>
        <v/>
      </c>
      <c r="G643" s="24"/>
      <c r="H643" s="25" t="str">
        <f aca="false">IF($D643="","",IFERROR(INDEX(المنتجات!$F$5:$F$24,MATCH($D643,المنتجات!$A$5:$A$24,0)),0))</f>
        <v/>
      </c>
      <c r="I643" s="30"/>
      <c r="J643" s="25" t="str">
        <f aca="false">IF($D643="","",N(G643)*H643-N(I643))</f>
        <v/>
      </c>
      <c r="K643" s="25" t="str">
        <f aca="false">IF($D643="","",N(G643)*IFERROR(INDEX(المنتجات!$H$5:$H$24,MATCH($D643,المنتجات!$A$5:$A$24,0)),0))</f>
        <v/>
      </c>
      <c r="L643" s="25" t="str">
        <f aca="false">IF($D643="","",J643-K643)</f>
        <v/>
      </c>
      <c r="M643" s="29"/>
      <c r="N643" s="29"/>
    </row>
    <row r="644" customFormat="false" ht="15" hidden="false" customHeight="false" outlineLevel="0" collapsed="false">
      <c r="A644" s="32"/>
      <c r="B644" s="29"/>
      <c r="C644" s="29"/>
      <c r="D644" s="29"/>
      <c r="E644" s="28" t="str">
        <f aca="false">IF($D644="","",IFERROR(INDEX(المنتجات!$C$5:$C$24,MATCH($D644,المنتجات!$A$5:$A$24,0)),"كود غير موجود"))</f>
        <v/>
      </c>
      <c r="F644" s="28" t="str">
        <f aca="false">IF($D644="","",IFERROR(INDEX(المنتجات!$B$5:$B$24,MATCH($D644,المنتجات!$A$5:$A$24,0)),""))</f>
        <v/>
      </c>
      <c r="G644" s="24"/>
      <c r="H644" s="25" t="str">
        <f aca="false">IF($D644="","",IFERROR(INDEX(المنتجات!$F$5:$F$24,MATCH($D644,المنتجات!$A$5:$A$24,0)),0))</f>
        <v/>
      </c>
      <c r="I644" s="30"/>
      <c r="J644" s="25" t="str">
        <f aca="false">IF($D644="","",N(G644)*H644-N(I644))</f>
        <v/>
      </c>
      <c r="K644" s="25" t="str">
        <f aca="false">IF($D644="","",N(G644)*IFERROR(INDEX(المنتجات!$H$5:$H$24,MATCH($D644,المنتجات!$A$5:$A$24,0)),0))</f>
        <v/>
      </c>
      <c r="L644" s="25" t="str">
        <f aca="false">IF($D644="","",J644-K644)</f>
        <v/>
      </c>
      <c r="M644" s="29"/>
      <c r="N644" s="29"/>
    </row>
    <row r="645" customFormat="false" ht="15" hidden="false" customHeight="false" outlineLevel="0" collapsed="false">
      <c r="A645" s="32"/>
      <c r="B645" s="29"/>
      <c r="C645" s="29"/>
      <c r="D645" s="29"/>
      <c r="E645" s="28" t="str">
        <f aca="false">IF($D645="","",IFERROR(INDEX(المنتجات!$C$5:$C$24,MATCH($D645,المنتجات!$A$5:$A$24,0)),"كود غير موجود"))</f>
        <v/>
      </c>
      <c r="F645" s="28" t="str">
        <f aca="false">IF($D645="","",IFERROR(INDEX(المنتجات!$B$5:$B$24,MATCH($D645,المنتجات!$A$5:$A$24,0)),""))</f>
        <v/>
      </c>
      <c r="G645" s="24"/>
      <c r="H645" s="25" t="str">
        <f aca="false">IF($D645="","",IFERROR(INDEX(المنتجات!$F$5:$F$24,MATCH($D645,المنتجات!$A$5:$A$24,0)),0))</f>
        <v/>
      </c>
      <c r="I645" s="30"/>
      <c r="J645" s="25" t="str">
        <f aca="false">IF($D645="","",N(G645)*H645-N(I645))</f>
        <v/>
      </c>
      <c r="K645" s="25" t="str">
        <f aca="false">IF($D645="","",N(G645)*IFERROR(INDEX(المنتجات!$H$5:$H$24,MATCH($D645,المنتجات!$A$5:$A$24,0)),0))</f>
        <v/>
      </c>
      <c r="L645" s="25" t="str">
        <f aca="false">IF($D645="","",J645-K645)</f>
        <v/>
      </c>
      <c r="M645" s="29"/>
      <c r="N645" s="29"/>
    </row>
    <row r="646" customFormat="false" ht="15" hidden="false" customHeight="false" outlineLevel="0" collapsed="false">
      <c r="A646" s="32"/>
      <c r="B646" s="29"/>
      <c r="C646" s="29"/>
      <c r="D646" s="29"/>
      <c r="E646" s="28" t="str">
        <f aca="false">IF($D646="","",IFERROR(INDEX(المنتجات!$C$5:$C$24,MATCH($D646,المنتجات!$A$5:$A$24,0)),"كود غير موجود"))</f>
        <v/>
      </c>
      <c r="F646" s="28" t="str">
        <f aca="false">IF($D646="","",IFERROR(INDEX(المنتجات!$B$5:$B$24,MATCH($D646,المنتجات!$A$5:$A$24,0)),""))</f>
        <v/>
      </c>
      <c r="G646" s="24"/>
      <c r="H646" s="25" t="str">
        <f aca="false">IF($D646="","",IFERROR(INDEX(المنتجات!$F$5:$F$24,MATCH($D646,المنتجات!$A$5:$A$24,0)),0))</f>
        <v/>
      </c>
      <c r="I646" s="30"/>
      <c r="J646" s="25" t="str">
        <f aca="false">IF($D646="","",N(G646)*H646-N(I646))</f>
        <v/>
      </c>
      <c r="K646" s="25" t="str">
        <f aca="false">IF($D646="","",N(G646)*IFERROR(INDEX(المنتجات!$H$5:$H$24,MATCH($D646,المنتجات!$A$5:$A$24,0)),0))</f>
        <v/>
      </c>
      <c r="L646" s="25" t="str">
        <f aca="false">IF($D646="","",J646-K646)</f>
        <v/>
      </c>
      <c r="M646" s="29"/>
      <c r="N646" s="29"/>
    </row>
    <row r="647" customFormat="false" ht="15" hidden="false" customHeight="false" outlineLevel="0" collapsed="false">
      <c r="A647" s="32"/>
      <c r="B647" s="29"/>
      <c r="C647" s="29"/>
      <c r="D647" s="29"/>
      <c r="E647" s="28" t="str">
        <f aca="false">IF($D647="","",IFERROR(INDEX(المنتجات!$C$5:$C$24,MATCH($D647,المنتجات!$A$5:$A$24,0)),"كود غير موجود"))</f>
        <v/>
      </c>
      <c r="F647" s="28" t="str">
        <f aca="false">IF($D647="","",IFERROR(INDEX(المنتجات!$B$5:$B$24,MATCH($D647,المنتجات!$A$5:$A$24,0)),""))</f>
        <v/>
      </c>
      <c r="G647" s="24"/>
      <c r="H647" s="25" t="str">
        <f aca="false">IF($D647="","",IFERROR(INDEX(المنتجات!$F$5:$F$24,MATCH($D647,المنتجات!$A$5:$A$24,0)),0))</f>
        <v/>
      </c>
      <c r="I647" s="30"/>
      <c r="J647" s="25" t="str">
        <f aca="false">IF($D647="","",N(G647)*H647-N(I647))</f>
        <v/>
      </c>
      <c r="K647" s="25" t="str">
        <f aca="false">IF($D647="","",N(G647)*IFERROR(INDEX(المنتجات!$H$5:$H$24,MATCH($D647,المنتجات!$A$5:$A$24,0)),0))</f>
        <v/>
      </c>
      <c r="L647" s="25" t="str">
        <f aca="false">IF($D647="","",J647-K647)</f>
        <v/>
      </c>
      <c r="M647" s="29"/>
      <c r="N647" s="29"/>
    </row>
    <row r="648" customFormat="false" ht="15" hidden="false" customHeight="false" outlineLevel="0" collapsed="false">
      <c r="A648" s="32"/>
      <c r="B648" s="29"/>
      <c r="C648" s="29"/>
      <c r="D648" s="29"/>
      <c r="E648" s="28" t="str">
        <f aca="false">IF($D648="","",IFERROR(INDEX(المنتجات!$C$5:$C$24,MATCH($D648,المنتجات!$A$5:$A$24,0)),"كود غير موجود"))</f>
        <v/>
      </c>
      <c r="F648" s="28" t="str">
        <f aca="false">IF($D648="","",IFERROR(INDEX(المنتجات!$B$5:$B$24,MATCH($D648,المنتجات!$A$5:$A$24,0)),""))</f>
        <v/>
      </c>
      <c r="G648" s="24"/>
      <c r="H648" s="25" t="str">
        <f aca="false">IF($D648="","",IFERROR(INDEX(المنتجات!$F$5:$F$24,MATCH($D648,المنتجات!$A$5:$A$24,0)),0))</f>
        <v/>
      </c>
      <c r="I648" s="30"/>
      <c r="J648" s="25" t="str">
        <f aca="false">IF($D648="","",N(G648)*H648-N(I648))</f>
        <v/>
      </c>
      <c r="K648" s="25" t="str">
        <f aca="false">IF($D648="","",N(G648)*IFERROR(INDEX(المنتجات!$H$5:$H$24,MATCH($D648,المنتجات!$A$5:$A$24,0)),0))</f>
        <v/>
      </c>
      <c r="L648" s="25" t="str">
        <f aca="false">IF($D648="","",J648-K648)</f>
        <v/>
      </c>
      <c r="M648" s="29"/>
      <c r="N648" s="29"/>
    </row>
    <row r="649" customFormat="false" ht="15" hidden="false" customHeight="false" outlineLevel="0" collapsed="false">
      <c r="A649" s="32"/>
      <c r="B649" s="29"/>
      <c r="C649" s="29"/>
      <c r="D649" s="29"/>
      <c r="E649" s="28" t="str">
        <f aca="false">IF($D649="","",IFERROR(INDEX(المنتجات!$C$5:$C$24,MATCH($D649,المنتجات!$A$5:$A$24,0)),"كود غير موجود"))</f>
        <v/>
      </c>
      <c r="F649" s="28" t="str">
        <f aca="false">IF($D649="","",IFERROR(INDEX(المنتجات!$B$5:$B$24,MATCH($D649,المنتجات!$A$5:$A$24,0)),""))</f>
        <v/>
      </c>
      <c r="G649" s="24"/>
      <c r="H649" s="25" t="str">
        <f aca="false">IF($D649="","",IFERROR(INDEX(المنتجات!$F$5:$F$24,MATCH($D649,المنتجات!$A$5:$A$24,0)),0))</f>
        <v/>
      </c>
      <c r="I649" s="30"/>
      <c r="J649" s="25" t="str">
        <f aca="false">IF($D649="","",N(G649)*H649-N(I649))</f>
        <v/>
      </c>
      <c r="K649" s="25" t="str">
        <f aca="false">IF($D649="","",N(G649)*IFERROR(INDEX(المنتجات!$H$5:$H$24,MATCH($D649,المنتجات!$A$5:$A$24,0)),0))</f>
        <v/>
      </c>
      <c r="L649" s="25" t="str">
        <f aca="false">IF($D649="","",J649-K649)</f>
        <v/>
      </c>
      <c r="M649" s="29"/>
      <c r="N649" s="29"/>
    </row>
    <row r="650" customFormat="false" ht="15" hidden="false" customHeight="false" outlineLevel="0" collapsed="false">
      <c r="A650" s="32"/>
      <c r="B650" s="29"/>
      <c r="C650" s="29"/>
      <c r="D650" s="29"/>
      <c r="E650" s="28" t="str">
        <f aca="false">IF($D650="","",IFERROR(INDEX(المنتجات!$C$5:$C$24,MATCH($D650,المنتجات!$A$5:$A$24,0)),"كود غير موجود"))</f>
        <v/>
      </c>
      <c r="F650" s="28" t="str">
        <f aca="false">IF($D650="","",IFERROR(INDEX(المنتجات!$B$5:$B$24,MATCH($D650,المنتجات!$A$5:$A$24,0)),""))</f>
        <v/>
      </c>
      <c r="G650" s="24"/>
      <c r="H650" s="25" t="str">
        <f aca="false">IF($D650="","",IFERROR(INDEX(المنتجات!$F$5:$F$24,MATCH($D650,المنتجات!$A$5:$A$24,0)),0))</f>
        <v/>
      </c>
      <c r="I650" s="30"/>
      <c r="J650" s="25" t="str">
        <f aca="false">IF($D650="","",N(G650)*H650-N(I650))</f>
        <v/>
      </c>
      <c r="K650" s="25" t="str">
        <f aca="false">IF($D650="","",N(G650)*IFERROR(INDEX(المنتجات!$H$5:$H$24,MATCH($D650,المنتجات!$A$5:$A$24,0)),0))</f>
        <v/>
      </c>
      <c r="L650" s="25" t="str">
        <f aca="false">IF($D650="","",J650-K650)</f>
        <v/>
      </c>
      <c r="M650" s="29"/>
      <c r="N650" s="29"/>
    </row>
    <row r="651" customFormat="false" ht="15" hidden="false" customHeight="false" outlineLevel="0" collapsed="false">
      <c r="A651" s="32"/>
      <c r="B651" s="29"/>
      <c r="C651" s="29"/>
      <c r="D651" s="29"/>
      <c r="E651" s="28" t="str">
        <f aca="false">IF($D651="","",IFERROR(INDEX(المنتجات!$C$5:$C$24,MATCH($D651,المنتجات!$A$5:$A$24,0)),"كود غير موجود"))</f>
        <v/>
      </c>
      <c r="F651" s="28" t="str">
        <f aca="false">IF($D651="","",IFERROR(INDEX(المنتجات!$B$5:$B$24,MATCH($D651,المنتجات!$A$5:$A$24,0)),""))</f>
        <v/>
      </c>
      <c r="G651" s="24"/>
      <c r="H651" s="25" t="str">
        <f aca="false">IF($D651="","",IFERROR(INDEX(المنتجات!$F$5:$F$24,MATCH($D651,المنتجات!$A$5:$A$24,0)),0))</f>
        <v/>
      </c>
      <c r="I651" s="30"/>
      <c r="J651" s="25" t="str">
        <f aca="false">IF($D651="","",N(G651)*H651-N(I651))</f>
        <v/>
      </c>
      <c r="K651" s="25" t="str">
        <f aca="false">IF($D651="","",N(G651)*IFERROR(INDEX(المنتجات!$H$5:$H$24,MATCH($D651,المنتجات!$A$5:$A$24,0)),0))</f>
        <v/>
      </c>
      <c r="L651" s="25" t="str">
        <f aca="false">IF($D651="","",J651-K651)</f>
        <v/>
      </c>
      <c r="M651" s="29"/>
      <c r="N651" s="29"/>
    </row>
    <row r="652" customFormat="false" ht="15" hidden="false" customHeight="false" outlineLevel="0" collapsed="false">
      <c r="A652" s="32"/>
      <c r="B652" s="29"/>
      <c r="C652" s="29"/>
      <c r="D652" s="29"/>
      <c r="E652" s="28" t="str">
        <f aca="false">IF($D652="","",IFERROR(INDEX(المنتجات!$C$5:$C$24,MATCH($D652,المنتجات!$A$5:$A$24,0)),"كود غير موجود"))</f>
        <v/>
      </c>
      <c r="F652" s="28" t="str">
        <f aca="false">IF($D652="","",IFERROR(INDEX(المنتجات!$B$5:$B$24,MATCH($D652,المنتجات!$A$5:$A$24,0)),""))</f>
        <v/>
      </c>
      <c r="G652" s="24"/>
      <c r="H652" s="25" t="str">
        <f aca="false">IF($D652="","",IFERROR(INDEX(المنتجات!$F$5:$F$24,MATCH($D652,المنتجات!$A$5:$A$24,0)),0))</f>
        <v/>
      </c>
      <c r="I652" s="30"/>
      <c r="J652" s="25" t="str">
        <f aca="false">IF($D652="","",N(G652)*H652-N(I652))</f>
        <v/>
      </c>
      <c r="K652" s="25" t="str">
        <f aca="false">IF($D652="","",N(G652)*IFERROR(INDEX(المنتجات!$H$5:$H$24,MATCH($D652,المنتجات!$A$5:$A$24,0)),0))</f>
        <v/>
      </c>
      <c r="L652" s="25" t="str">
        <f aca="false">IF($D652="","",J652-K652)</f>
        <v/>
      </c>
      <c r="M652" s="29"/>
      <c r="N652" s="29"/>
    </row>
    <row r="653" customFormat="false" ht="15" hidden="false" customHeight="false" outlineLevel="0" collapsed="false">
      <c r="A653" s="32"/>
      <c r="B653" s="29"/>
      <c r="C653" s="29"/>
      <c r="D653" s="29"/>
      <c r="E653" s="28" t="str">
        <f aca="false">IF($D653="","",IFERROR(INDEX(المنتجات!$C$5:$C$24,MATCH($D653,المنتجات!$A$5:$A$24,0)),"كود غير موجود"))</f>
        <v/>
      </c>
      <c r="F653" s="28" t="str">
        <f aca="false">IF($D653="","",IFERROR(INDEX(المنتجات!$B$5:$B$24,MATCH($D653,المنتجات!$A$5:$A$24,0)),""))</f>
        <v/>
      </c>
      <c r="G653" s="24"/>
      <c r="H653" s="25" t="str">
        <f aca="false">IF($D653="","",IFERROR(INDEX(المنتجات!$F$5:$F$24,MATCH($D653,المنتجات!$A$5:$A$24,0)),0))</f>
        <v/>
      </c>
      <c r="I653" s="30"/>
      <c r="J653" s="25" t="str">
        <f aca="false">IF($D653="","",N(G653)*H653-N(I653))</f>
        <v/>
      </c>
      <c r="K653" s="25" t="str">
        <f aca="false">IF($D653="","",N(G653)*IFERROR(INDEX(المنتجات!$H$5:$H$24,MATCH($D653,المنتجات!$A$5:$A$24,0)),0))</f>
        <v/>
      </c>
      <c r="L653" s="25" t="str">
        <f aca="false">IF($D653="","",J653-K653)</f>
        <v/>
      </c>
      <c r="M653" s="29"/>
      <c r="N653" s="29"/>
    </row>
    <row r="654" customFormat="false" ht="15" hidden="false" customHeight="false" outlineLevel="0" collapsed="false">
      <c r="A654" s="32"/>
      <c r="B654" s="29"/>
      <c r="C654" s="29"/>
      <c r="D654" s="29"/>
      <c r="E654" s="28" t="str">
        <f aca="false">IF($D654="","",IFERROR(INDEX(المنتجات!$C$5:$C$24,MATCH($D654,المنتجات!$A$5:$A$24,0)),"كود غير موجود"))</f>
        <v/>
      </c>
      <c r="F654" s="28" t="str">
        <f aca="false">IF($D654="","",IFERROR(INDEX(المنتجات!$B$5:$B$24,MATCH($D654,المنتجات!$A$5:$A$24,0)),""))</f>
        <v/>
      </c>
      <c r="G654" s="24"/>
      <c r="H654" s="25" t="str">
        <f aca="false">IF($D654="","",IFERROR(INDEX(المنتجات!$F$5:$F$24,MATCH($D654,المنتجات!$A$5:$A$24,0)),0))</f>
        <v/>
      </c>
      <c r="I654" s="30"/>
      <c r="J654" s="25" t="str">
        <f aca="false">IF($D654="","",N(G654)*H654-N(I654))</f>
        <v/>
      </c>
      <c r="K654" s="25" t="str">
        <f aca="false">IF($D654="","",N(G654)*IFERROR(INDEX(المنتجات!$H$5:$H$24,MATCH($D654,المنتجات!$A$5:$A$24,0)),0))</f>
        <v/>
      </c>
      <c r="L654" s="25" t="str">
        <f aca="false">IF($D654="","",J654-K654)</f>
        <v/>
      </c>
      <c r="M654" s="29"/>
      <c r="N654" s="29"/>
    </row>
    <row r="655" customFormat="false" ht="15" hidden="false" customHeight="false" outlineLevel="0" collapsed="false">
      <c r="A655" s="32"/>
      <c r="B655" s="29"/>
      <c r="C655" s="29"/>
      <c r="D655" s="29"/>
      <c r="E655" s="28" t="str">
        <f aca="false">IF($D655="","",IFERROR(INDEX(المنتجات!$C$5:$C$24,MATCH($D655,المنتجات!$A$5:$A$24,0)),"كود غير موجود"))</f>
        <v/>
      </c>
      <c r="F655" s="28" t="str">
        <f aca="false">IF($D655="","",IFERROR(INDEX(المنتجات!$B$5:$B$24,MATCH($D655,المنتجات!$A$5:$A$24,0)),""))</f>
        <v/>
      </c>
      <c r="G655" s="24"/>
      <c r="H655" s="25" t="str">
        <f aca="false">IF($D655="","",IFERROR(INDEX(المنتجات!$F$5:$F$24,MATCH($D655,المنتجات!$A$5:$A$24,0)),0))</f>
        <v/>
      </c>
      <c r="I655" s="30"/>
      <c r="J655" s="25" t="str">
        <f aca="false">IF($D655="","",N(G655)*H655-N(I655))</f>
        <v/>
      </c>
      <c r="K655" s="25" t="str">
        <f aca="false">IF($D655="","",N(G655)*IFERROR(INDEX(المنتجات!$H$5:$H$24,MATCH($D655,المنتجات!$A$5:$A$24,0)),0))</f>
        <v/>
      </c>
      <c r="L655" s="25" t="str">
        <f aca="false">IF($D655="","",J655-K655)</f>
        <v/>
      </c>
      <c r="M655" s="29"/>
      <c r="N655" s="29"/>
    </row>
    <row r="656" customFormat="false" ht="15" hidden="false" customHeight="false" outlineLevel="0" collapsed="false">
      <c r="A656" s="32"/>
      <c r="B656" s="29"/>
      <c r="C656" s="29"/>
      <c r="D656" s="29"/>
      <c r="E656" s="28" t="str">
        <f aca="false">IF($D656="","",IFERROR(INDEX(المنتجات!$C$5:$C$24,MATCH($D656,المنتجات!$A$5:$A$24,0)),"كود غير موجود"))</f>
        <v/>
      </c>
      <c r="F656" s="28" t="str">
        <f aca="false">IF($D656="","",IFERROR(INDEX(المنتجات!$B$5:$B$24,MATCH($D656,المنتجات!$A$5:$A$24,0)),""))</f>
        <v/>
      </c>
      <c r="G656" s="24"/>
      <c r="H656" s="25" t="str">
        <f aca="false">IF($D656="","",IFERROR(INDEX(المنتجات!$F$5:$F$24,MATCH($D656,المنتجات!$A$5:$A$24,0)),0))</f>
        <v/>
      </c>
      <c r="I656" s="30"/>
      <c r="J656" s="25" t="str">
        <f aca="false">IF($D656="","",N(G656)*H656-N(I656))</f>
        <v/>
      </c>
      <c r="K656" s="25" t="str">
        <f aca="false">IF($D656="","",N(G656)*IFERROR(INDEX(المنتجات!$H$5:$H$24,MATCH($D656,المنتجات!$A$5:$A$24,0)),0))</f>
        <v/>
      </c>
      <c r="L656" s="25" t="str">
        <f aca="false">IF($D656="","",J656-K656)</f>
        <v/>
      </c>
      <c r="M656" s="29"/>
      <c r="N656" s="29"/>
    </row>
    <row r="657" customFormat="false" ht="15" hidden="false" customHeight="false" outlineLevel="0" collapsed="false">
      <c r="A657" s="32"/>
      <c r="B657" s="29"/>
      <c r="C657" s="29"/>
      <c r="D657" s="29"/>
      <c r="E657" s="28" t="str">
        <f aca="false">IF($D657="","",IFERROR(INDEX(المنتجات!$C$5:$C$24,MATCH($D657,المنتجات!$A$5:$A$24,0)),"كود غير موجود"))</f>
        <v/>
      </c>
      <c r="F657" s="28" t="str">
        <f aca="false">IF($D657="","",IFERROR(INDEX(المنتجات!$B$5:$B$24,MATCH($D657,المنتجات!$A$5:$A$24,0)),""))</f>
        <v/>
      </c>
      <c r="G657" s="24"/>
      <c r="H657" s="25" t="str">
        <f aca="false">IF($D657="","",IFERROR(INDEX(المنتجات!$F$5:$F$24,MATCH($D657,المنتجات!$A$5:$A$24,0)),0))</f>
        <v/>
      </c>
      <c r="I657" s="30"/>
      <c r="J657" s="25" t="str">
        <f aca="false">IF($D657="","",N(G657)*H657-N(I657))</f>
        <v/>
      </c>
      <c r="K657" s="25" t="str">
        <f aca="false">IF($D657="","",N(G657)*IFERROR(INDEX(المنتجات!$H$5:$H$24,MATCH($D657,المنتجات!$A$5:$A$24,0)),0))</f>
        <v/>
      </c>
      <c r="L657" s="25" t="str">
        <f aca="false">IF($D657="","",J657-K657)</f>
        <v/>
      </c>
      <c r="M657" s="29"/>
      <c r="N657" s="29"/>
    </row>
    <row r="658" customFormat="false" ht="15" hidden="false" customHeight="false" outlineLevel="0" collapsed="false">
      <c r="A658" s="32"/>
      <c r="B658" s="29"/>
      <c r="C658" s="29"/>
      <c r="D658" s="29"/>
      <c r="E658" s="28" t="str">
        <f aca="false">IF($D658="","",IFERROR(INDEX(المنتجات!$C$5:$C$24,MATCH($D658,المنتجات!$A$5:$A$24,0)),"كود غير موجود"))</f>
        <v/>
      </c>
      <c r="F658" s="28" t="str">
        <f aca="false">IF($D658="","",IFERROR(INDEX(المنتجات!$B$5:$B$24,MATCH($D658,المنتجات!$A$5:$A$24,0)),""))</f>
        <v/>
      </c>
      <c r="G658" s="24"/>
      <c r="H658" s="25" t="str">
        <f aca="false">IF($D658="","",IFERROR(INDEX(المنتجات!$F$5:$F$24,MATCH($D658,المنتجات!$A$5:$A$24,0)),0))</f>
        <v/>
      </c>
      <c r="I658" s="30"/>
      <c r="J658" s="25" t="str">
        <f aca="false">IF($D658="","",N(G658)*H658-N(I658))</f>
        <v/>
      </c>
      <c r="K658" s="25" t="str">
        <f aca="false">IF($D658="","",N(G658)*IFERROR(INDEX(المنتجات!$H$5:$H$24,MATCH($D658,المنتجات!$A$5:$A$24,0)),0))</f>
        <v/>
      </c>
      <c r="L658" s="25" t="str">
        <f aca="false">IF($D658="","",J658-K658)</f>
        <v/>
      </c>
      <c r="M658" s="29"/>
      <c r="N658" s="29"/>
    </row>
    <row r="659" customFormat="false" ht="15" hidden="false" customHeight="false" outlineLevel="0" collapsed="false">
      <c r="A659" s="32"/>
      <c r="B659" s="29"/>
      <c r="C659" s="29"/>
      <c r="D659" s="29"/>
      <c r="E659" s="28" t="str">
        <f aca="false">IF($D659="","",IFERROR(INDEX(المنتجات!$C$5:$C$24,MATCH($D659,المنتجات!$A$5:$A$24,0)),"كود غير موجود"))</f>
        <v/>
      </c>
      <c r="F659" s="28" t="str">
        <f aca="false">IF($D659="","",IFERROR(INDEX(المنتجات!$B$5:$B$24,MATCH($D659,المنتجات!$A$5:$A$24,0)),""))</f>
        <v/>
      </c>
      <c r="G659" s="24"/>
      <c r="H659" s="25" t="str">
        <f aca="false">IF($D659="","",IFERROR(INDEX(المنتجات!$F$5:$F$24,MATCH($D659,المنتجات!$A$5:$A$24,0)),0))</f>
        <v/>
      </c>
      <c r="I659" s="30"/>
      <c r="J659" s="25" t="str">
        <f aca="false">IF($D659="","",N(G659)*H659-N(I659))</f>
        <v/>
      </c>
      <c r="K659" s="25" t="str">
        <f aca="false">IF($D659="","",N(G659)*IFERROR(INDEX(المنتجات!$H$5:$H$24,MATCH($D659,المنتجات!$A$5:$A$24,0)),0))</f>
        <v/>
      </c>
      <c r="L659" s="25" t="str">
        <f aca="false">IF($D659="","",J659-K659)</f>
        <v/>
      </c>
      <c r="M659" s="29"/>
      <c r="N659" s="29"/>
    </row>
    <row r="660" customFormat="false" ht="15" hidden="false" customHeight="false" outlineLevel="0" collapsed="false">
      <c r="A660" s="32"/>
      <c r="B660" s="29"/>
      <c r="C660" s="29"/>
      <c r="D660" s="29"/>
      <c r="E660" s="28" t="str">
        <f aca="false">IF($D660="","",IFERROR(INDEX(المنتجات!$C$5:$C$24,MATCH($D660,المنتجات!$A$5:$A$24,0)),"كود غير موجود"))</f>
        <v/>
      </c>
      <c r="F660" s="28" t="str">
        <f aca="false">IF($D660="","",IFERROR(INDEX(المنتجات!$B$5:$B$24,MATCH($D660,المنتجات!$A$5:$A$24,0)),""))</f>
        <v/>
      </c>
      <c r="G660" s="24"/>
      <c r="H660" s="25" t="str">
        <f aca="false">IF($D660="","",IFERROR(INDEX(المنتجات!$F$5:$F$24,MATCH($D660,المنتجات!$A$5:$A$24,0)),0))</f>
        <v/>
      </c>
      <c r="I660" s="30"/>
      <c r="J660" s="25" t="str">
        <f aca="false">IF($D660="","",N(G660)*H660-N(I660))</f>
        <v/>
      </c>
      <c r="K660" s="25" t="str">
        <f aca="false">IF($D660="","",N(G660)*IFERROR(INDEX(المنتجات!$H$5:$H$24,MATCH($D660,المنتجات!$A$5:$A$24,0)),0))</f>
        <v/>
      </c>
      <c r="L660" s="25" t="str">
        <f aca="false">IF($D660="","",J660-K660)</f>
        <v/>
      </c>
      <c r="M660" s="29"/>
      <c r="N660" s="29"/>
    </row>
    <row r="661" customFormat="false" ht="15" hidden="false" customHeight="false" outlineLevel="0" collapsed="false">
      <c r="A661" s="32"/>
      <c r="B661" s="29"/>
      <c r="C661" s="29"/>
      <c r="D661" s="29"/>
      <c r="E661" s="28" t="str">
        <f aca="false">IF($D661="","",IFERROR(INDEX(المنتجات!$C$5:$C$24,MATCH($D661,المنتجات!$A$5:$A$24,0)),"كود غير موجود"))</f>
        <v/>
      </c>
      <c r="F661" s="28" t="str">
        <f aca="false">IF($D661="","",IFERROR(INDEX(المنتجات!$B$5:$B$24,MATCH($D661,المنتجات!$A$5:$A$24,0)),""))</f>
        <v/>
      </c>
      <c r="G661" s="24"/>
      <c r="H661" s="25" t="str">
        <f aca="false">IF($D661="","",IFERROR(INDEX(المنتجات!$F$5:$F$24,MATCH($D661,المنتجات!$A$5:$A$24,0)),0))</f>
        <v/>
      </c>
      <c r="I661" s="30"/>
      <c r="J661" s="25" t="str">
        <f aca="false">IF($D661="","",N(G661)*H661-N(I661))</f>
        <v/>
      </c>
      <c r="K661" s="25" t="str">
        <f aca="false">IF($D661="","",N(G661)*IFERROR(INDEX(المنتجات!$H$5:$H$24,MATCH($D661,المنتجات!$A$5:$A$24,0)),0))</f>
        <v/>
      </c>
      <c r="L661" s="25" t="str">
        <f aca="false">IF($D661="","",J661-K661)</f>
        <v/>
      </c>
      <c r="M661" s="29"/>
      <c r="N661" s="29"/>
    </row>
    <row r="662" customFormat="false" ht="15" hidden="false" customHeight="false" outlineLevel="0" collapsed="false">
      <c r="A662" s="32"/>
      <c r="B662" s="29"/>
      <c r="C662" s="29"/>
      <c r="D662" s="29"/>
      <c r="E662" s="28" t="str">
        <f aca="false">IF($D662="","",IFERROR(INDEX(المنتجات!$C$5:$C$24,MATCH($D662,المنتجات!$A$5:$A$24,0)),"كود غير موجود"))</f>
        <v/>
      </c>
      <c r="F662" s="28" t="str">
        <f aca="false">IF($D662="","",IFERROR(INDEX(المنتجات!$B$5:$B$24,MATCH($D662,المنتجات!$A$5:$A$24,0)),""))</f>
        <v/>
      </c>
      <c r="G662" s="24"/>
      <c r="H662" s="25" t="str">
        <f aca="false">IF($D662="","",IFERROR(INDEX(المنتجات!$F$5:$F$24,MATCH($D662,المنتجات!$A$5:$A$24,0)),0))</f>
        <v/>
      </c>
      <c r="I662" s="30"/>
      <c r="J662" s="25" t="str">
        <f aca="false">IF($D662="","",N(G662)*H662-N(I662))</f>
        <v/>
      </c>
      <c r="K662" s="25" t="str">
        <f aca="false">IF($D662="","",N(G662)*IFERROR(INDEX(المنتجات!$H$5:$H$24,MATCH($D662,المنتجات!$A$5:$A$24,0)),0))</f>
        <v/>
      </c>
      <c r="L662" s="25" t="str">
        <f aca="false">IF($D662="","",J662-K662)</f>
        <v/>
      </c>
      <c r="M662" s="29"/>
      <c r="N662" s="29"/>
    </row>
    <row r="663" customFormat="false" ht="15" hidden="false" customHeight="false" outlineLevel="0" collapsed="false">
      <c r="A663" s="32"/>
      <c r="B663" s="29"/>
      <c r="C663" s="29"/>
      <c r="D663" s="29"/>
      <c r="E663" s="28" t="str">
        <f aca="false">IF($D663="","",IFERROR(INDEX(المنتجات!$C$5:$C$24,MATCH($D663,المنتجات!$A$5:$A$24,0)),"كود غير موجود"))</f>
        <v/>
      </c>
      <c r="F663" s="28" t="str">
        <f aca="false">IF($D663="","",IFERROR(INDEX(المنتجات!$B$5:$B$24,MATCH($D663,المنتجات!$A$5:$A$24,0)),""))</f>
        <v/>
      </c>
      <c r="G663" s="24"/>
      <c r="H663" s="25" t="str">
        <f aca="false">IF($D663="","",IFERROR(INDEX(المنتجات!$F$5:$F$24,MATCH($D663,المنتجات!$A$5:$A$24,0)),0))</f>
        <v/>
      </c>
      <c r="I663" s="30"/>
      <c r="J663" s="25" t="str">
        <f aca="false">IF($D663="","",N(G663)*H663-N(I663))</f>
        <v/>
      </c>
      <c r="K663" s="25" t="str">
        <f aca="false">IF($D663="","",N(G663)*IFERROR(INDEX(المنتجات!$H$5:$H$24,MATCH($D663,المنتجات!$A$5:$A$24,0)),0))</f>
        <v/>
      </c>
      <c r="L663" s="25" t="str">
        <f aca="false">IF($D663="","",J663-K663)</f>
        <v/>
      </c>
      <c r="M663" s="29"/>
      <c r="N663" s="29"/>
    </row>
    <row r="664" customFormat="false" ht="15" hidden="false" customHeight="false" outlineLevel="0" collapsed="false">
      <c r="A664" s="32"/>
      <c r="B664" s="29"/>
      <c r="C664" s="29"/>
      <c r="D664" s="29"/>
      <c r="E664" s="28" t="str">
        <f aca="false">IF($D664="","",IFERROR(INDEX(المنتجات!$C$5:$C$24,MATCH($D664,المنتجات!$A$5:$A$24,0)),"كود غير موجود"))</f>
        <v/>
      </c>
      <c r="F664" s="28" t="str">
        <f aca="false">IF($D664="","",IFERROR(INDEX(المنتجات!$B$5:$B$24,MATCH($D664,المنتجات!$A$5:$A$24,0)),""))</f>
        <v/>
      </c>
      <c r="G664" s="24"/>
      <c r="H664" s="25" t="str">
        <f aca="false">IF($D664="","",IFERROR(INDEX(المنتجات!$F$5:$F$24,MATCH($D664,المنتجات!$A$5:$A$24,0)),0))</f>
        <v/>
      </c>
      <c r="I664" s="30"/>
      <c r="J664" s="25" t="str">
        <f aca="false">IF($D664="","",N(G664)*H664-N(I664))</f>
        <v/>
      </c>
      <c r="K664" s="25" t="str">
        <f aca="false">IF($D664="","",N(G664)*IFERROR(INDEX(المنتجات!$H$5:$H$24,MATCH($D664,المنتجات!$A$5:$A$24,0)),0))</f>
        <v/>
      </c>
      <c r="L664" s="25" t="str">
        <f aca="false">IF($D664="","",J664-K664)</f>
        <v/>
      </c>
      <c r="M664" s="29"/>
      <c r="N664" s="29"/>
    </row>
    <row r="665" customFormat="false" ht="15" hidden="false" customHeight="false" outlineLevel="0" collapsed="false">
      <c r="A665" s="32"/>
      <c r="B665" s="29"/>
      <c r="C665" s="29"/>
      <c r="D665" s="29"/>
      <c r="E665" s="28" t="str">
        <f aca="false">IF($D665="","",IFERROR(INDEX(المنتجات!$C$5:$C$24,MATCH($D665,المنتجات!$A$5:$A$24,0)),"كود غير موجود"))</f>
        <v/>
      </c>
      <c r="F665" s="28" t="str">
        <f aca="false">IF($D665="","",IFERROR(INDEX(المنتجات!$B$5:$B$24,MATCH($D665,المنتجات!$A$5:$A$24,0)),""))</f>
        <v/>
      </c>
      <c r="G665" s="24"/>
      <c r="H665" s="25" t="str">
        <f aca="false">IF($D665="","",IFERROR(INDEX(المنتجات!$F$5:$F$24,MATCH($D665,المنتجات!$A$5:$A$24,0)),0))</f>
        <v/>
      </c>
      <c r="I665" s="30"/>
      <c r="J665" s="25" t="str">
        <f aca="false">IF($D665="","",N(G665)*H665-N(I665))</f>
        <v/>
      </c>
      <c r="K665" s="25" t="str">
        <f aca="false">IF($D665="","",N(G665)*IFERROR(INDEX(المنتجات!$H$5:$H$24,MATCH($D665,المنتجات!$A$5:$A$24,0)),0))</f>
        <v/>
      </c>
      <c r="L665" s="25" t="str">
        <f aca="false">IF($D665="","",J665-K665)</f>
        <v/>
      </c>
      <c r="M665" s="29"/>
      <c r="N665" s="29"/>
    </row>
    <row r="666" customFormat="false" ht="15" hidden="false" customHeight="false" outlineLevel="0" collapsed="false">
      <c r="A666" s="32"/>
      <c r="B666" s="29"/>
      <c r="C666" s="29"/>
      <c r="D666" s="29"/>
      <c r="E666" s="28" t="str">
        <f aca="false">IF($D666="","",IFERROR(INDEX(المنتجات!$C$5:$C$24,MATCH($D666,المنتجات!$A$5:$A$24,0)),"كود غير موجود"))</f>
        <v/>
      </c>
      <c r="F666" s="28" t="str">
        <f aca="false">IF($D666="","",IFERROR(INDEX(المنتجات!$B$5:$B$24,MATCH($D666,المنتجات!$A$5:$A$24,0)),""))</f>
        <v/>
      </c>
      <c r="G666" s="24"/>
      <c r="H666" s="25" t="str">
        <f aca="false">IF($D666="","",IFERROR(INDEX(المنتجات!$F$5:$F$24,MATCH($D666,المنتجات!$A$5:$A$24,0)),0))</f>
        <v/>
      </c>
      <c r="I666" s="30"/>
      <c r="J666" s="25" t="str">
        <f aca="false">IF($D666="","",N(G666)*H666-N(I666))</f>
        <v/>
      </c>
      <c r="K666" s="25" t="str">
        <f aca="false">IF($D666="","",N(G666)*IFERROR(INDEX(المنتجات!$H$5:$H$24,MATCH($D666,المنتجات!$A$5:$A$24,0)),0))</f>
        <v/>
      </c>
      <c r="L666" s="25" t="str">
        <f aca="false">IF($D666="","",J666-K666)</f>
        <v/>
      </c>
      <c r="M666" s="29"/>
      <c r="N666" s="29"/>
    </row>
    <row r="667" customFormat="false" ht="15" hidden="false" customHeight="false" outlineLevel="0" collapsed="false">
      <c r="A667" s="32"/>
      <c r="B667" s="29"/>
      <c r="C667" s="29"/>
      <c r="D667" s="29"/>
      <c r="E667" s="28" t="str">
        <f aca="false">IF($D667="","",IFERROR(INDEX(المنتجات!$C$5:$C$24,MATCH($D667,المنتجات!$A$5:$A$24,0)),"كود غير موجود"))</f>
        <v/>
      </c>
      <c r="F667" s="28" t="str">
        <f aca="false">IF($D667="","",IFERROR(INDEX(المنتجات!$B$5:$B$24,MATCH($D667,المنتجات!$A$5:$A$24,0)),""))</f>
        <v/>
      </c>
      <c r="G667" s="24"/>
      <c r="H667" s="25" t="str">
        <f aca="false">IF($D667="","",IFERROR(INDEX(المنتجات!$F$5:$F$24,MATCH($D667,المنتجات!$A$5:$A$24,0)),0))</f>
        <v/>
      </c>
      <c r="I667" s="30"/>
      <c r="J667" s="25" t="str">
        <f aca="false">IF($D667="","",N(G667)*H667-N(I667))</f>
        <v/>
      </c>
      <c r="K667" s="25" t="str">
        <f aca="false">IF($D667="","",N(G667)*IFERROR(INDEX(المنتجات!$H$5:$H$24,MATCH($D667,المنتجات!$A$5:$A$24,0)),0))</f>
        <v/>
      </c>
      <c r="L667" s="25" t="str">
        <f aca="false">IF($D667="","",J667-K667)</f>
        <v/>
      </c>
      <c r="M667" s="29"/>
      <c r="N667" s="29"/>
    </row>
    <row r="668" customFormat="false" ht="15" hidden="false" customHeight="false" outlineLevel="0" collapsed="false">
      <c r="A668" s="32"/>
      <c r="B668" s="29"/>
      <c r="C668" s="29"/>
      <c r="D668" s="29"/>
      <c r="E668" s="28" t="str">
        <f aca="false">IF($D668="","",IFERROR(INDEX(المنتجات!$C$5:$C$24,MATCH($D668,المنتجات!$A$5:$A$24,0)),"كود غير موجود"))</f>
        <v/>
      </c>
      <c r="F668" s="28" t="str">
        <f aca="false">IF($D668="","",IFERROR(INDEX(المنتجات!$B$5:$B$24,MATCH($D668,المنتجات!$A$5:$A$24,0)),""))</f>
        <v/>
      </c>
      <c r="G668" s="24"/>
      <c r="H668" s="25" t="str">
        <f aca="false">IF($D668="","",IFERROR(INDEX(المنتجات!$F$5:$F$24,MATCH($D668,المنتجات!$A$5:$A$24,0)),0))</f>
        <v/>
      </c>
      <c r="I668" s="30"/>
      <c r="J668" s="25" t="str">
        <f aca="false">IF($D668="","",N(G668)*H668-N(I668))</f>
        <v/>
      </c>
      <c r="K668" s="25" t="str">
        <f aca="false">IF($D668="","",N(G668)*IFERROR(INDEX(المنتجات!$H$5:$H$24,MATCH($D668,المنتجات!$A$5:$A$24,0)),0))</f>
        <v/>
      </c>
      <c r="L668" s="25" t="str">
        <f aca="false">IF($D668="","",J668-K668)</f>
        <v/>
      </c>
      <c r="M668" s="29"/>
      <c r="N668" s="29"/>
    </row>
    <row r="669" customFormat="false" ht="15" hidden="false" customHeight="false" outlineLevel="0" collapsed="false">
      <c r="A669" s="32"/>
      <c r="B669" s="29"/>
      <c r="C669" s="29"/>
      <c r="D669" s="29"/>
      <c r="E669" s="28" t="str">
        <f aca="false">IF($D669="","",IFERROR(INDEX(المنتجات!$C$5:$C$24,MATCH($D669,المنتجات!$A$5:$A$24,0)),"كود غير موجود"))</f>
        <v/>
      </c>
      <c r="F669" s="28" t="str">
        <f aca="false">IF($D669="","",IFERROR(INDEX(المنتجات!$B$5:$B$24,MATCH($D669,المنتجات!$A$5:$A$24,0)),""))</f>
        <v/>
      </c>
      <c r="G669" s="24"/>
      <c r="H669" s="25" t="str">
        <f aca="false">IF($D669="","",IFERROR(INDEX(المنتجات!$F$5:$F$24,MATCH($D669,المنتجات!$A$5:$A$24,0)),0))</f>
        <v/>
      </c>
      <c r="I669" s="30"/>
      <c r="J669" s="25" t="str">
        <f aca="false">IF($D669="","",N(G669)*H669-N(I669))</f>
        <v/>
      </c>
      <c r="K669" s="25" t="str">
        <f aca="false">IF($D669="","",N(G669)*IFERROR(INDEX(المنتجات!$H$5:$H$24,MATCH($D669,المنتجات!$A$5:$A$24,0)),0))</f>
        <v/>
      </c>
      <c r="L669" s="25" t="str">
        <f aca="false">IF($D669="","",J669-K669)</f>
        <v/>
      </c>
      <c r="M669" s="29"/>
      <c r="N669" s="29"/>
    </row>
    <row r="670" customFormat="false" ht="15" hidden="false" customHeight="false" outlineLevel="0" collapsed="false">
      <c r="A670" s="32"/>
      <c r="B670" s="29"/>
      <c r="C670" s="29"/>
      <c r="D670" s="29"/>
      <c r="E670" s="28" t="str">
        <f aca="false">IF($D670="","",IFERROR(INDEX(المنتجات!$C$5:$C$24,MATCH($D670,المنتجات!$A$5:$A$24,0)),"كود غير موجود"))</f>
        <v/>
      </c>
      <c r="F670" s="28" t="str">
        <f aca="false">IF($D670="","",IFERROR(INDEX(المنتجات!$B$5:$B$24,MATCH($D670,المنتجات!$A$5:$A$24,0)),""))</f>
        <v/>
      </c>
      <c r="G670" s="24"/>
      <c r="H670" s="25" t="str">
        <f aca="false">IF($D670="","",IFERROR(INDEX(المنتجات!$F$5:$F$24,MATCH($D670,المنتجات!$A$5:$A$24,0)),0))</f>
        <v/>
      </c>
      <c r="I670" s="30"/>
      <c r="J670" s="25" t="str">
        <f aca="false">IF($D670="","",N(G670)*H670-N(I670))</f>
        <v/>
      </c>
      <c r="K670" s="25" t="str">
        <f aca="false">IF($D670="","",N(G670)*IFERROR(INDEX(المنتجات!$H$5:$H$24,MATCH($D670,المنتجات!$A$5:$A$24,0)),0))</f>
        <v/>
      </c>
      <c r="L670" s="25" t="str">
        <f aca="false">IF($D670="","",J670-K670)</f>
        <v/>
      </c>
      <c r="M670" s="29"/>
      <c r="N670" s="29"/>
    </row>
    <row r="671" customFormat="false" ht="15" hidden="false" customHeight="false" outlineLevel="0" collapsed="false">
      <c r="A671" s="32"/>
      <c r="B671" s="29"/>
      <c r="C671" s="29"/>
      <c r="D671" s="29"/>
      <c r="E671" s="28" t="str">
        <f aca="false">IF($D671="","",IFERROR(INDEX(المنتجات!$C$5:$C$24,MATCH($D671,المنتجات!$A$5:$A$24,0)),"كود غير موجود"))</f>
        <v/>
      </c>
      <c r="F671" s="28" t="str">
        <f aca="false">IF($D671="","",IFERROR(INDEX(المنتجات!$B$5:$B$24,MATCH($D671,المنتجات!$A$5:$A$24,0)),""))</f>
        <v/>
      </c>
      <c r="G671" s="24"/>
      <c r="H671" s="25" t="str">
        <f aca="false">IF($D671="","",IFERROR(INDEX(المنتجات!$F$5:$F$24,MATCH($D671,المنتجات!$A$5:$A$24,0)),0))</f>
        <v/>
      </c>
      <c r="I671" s="30"/>
      <c r="J671" s="25" t="str">
        <f aca="false">IF($D671="","",N(G671)*H671-N(I671))</f>
        <v/>
      </c>
      <c r="K671" s="25" t="str">
        <f aca="false">IF($D671="","",N(G671)*IFERROR(INDEX(المنتجات!$H$5:$H$24,MATCH($D671,المنتجات!$A$5:$A$24,0)),0))</f>
        <v/>
      </c>
      <c r="L671" s="25" t="str">
        <f aca="false">IF($D671="","",J671-K671)</f>
        <v/>
      </c>
      <c r="M671" s="29"/>
      <c r="N671" s="29"/>
    </row>
    <row r="672" customFormat="false" ht="15" hidden="false" customHeight="false" outlineLevel="0" collapsed="false">
      <c r="A672" s="32"/>
      <c r="B672" s="29"/>
      <c r="C672" s="29"/>
      <c r="D672" s="29"/>
      <c r="E672" s="28" t="str">
        <f aca="false">IF($D672="","",IFERROR(INDEX(المنتجات!$C$5:$C$24,MATCH($D672,المنتجات!$A$5:$A$24,0)),"كود غير موجود"))</f>
        <v/>
      </c>
      <c r="F672" s="28" t="str">
        <f aca="false">IF($D672="","",IFERROR(INDEX(المنتجات!$B$5:$B$24,MATCH($D672,المنتجات!$A$5:$A$24,0)),""))</f>
        <v/>
      </c>
      <c r="G672" s="24"/>
      <c r="H672" s="25" t="str">
        <f aca="false">IF($D672="","",IFERROR(INDEX(المنتجات!$F$5:$F$24,MATCH($D672,المنتجات!$A$5:$A$24,0)),0))</f>
        <v/>
      </c>
      <c r="I672" s="30"/>
      <c r="J672" s="25" t="str">
        <f aca="false">IF($D672="","",N(G672)*H672-N(I672))</f>
        <v/>
      </c>
      <c r="K672" s="25" t="str">
        <f aca="false">IF($D672="","",N(G672)*IFERROR(INDEX(المنتجات!$H$5:$H$24,MATCH($D672,المنتجات!$A$5:$A$24,0)),0))</f>
        <v/>
      </c>
      <c r="L672" s="25" t="str">
        <f aca="false">IF($D672="","",J672-K672)</f>
        <v/>
      </c>
      <c r="M672" s="29"/>
      <c r="N672" s="29"/>
    </row>
    <row r="673" customFormat="false" ht="15" hidden="false" customHeight="false" outlineLevel="0" collapsed="false">
      <c r="A673" s="32"/>
      <c r="B673" s="29"/>
      <c r="C673" s="29"/>
      <c r="D673" s="29"/>
      <c r="E673" s="28" t="str">
        <f aca="false">IF($D673="","",IFERROR(INDEX(المنتجات!$C$5:$C$24,MATCH($D673,المنتجات!$A$5:$A$24,0)),"كود غير موجود"))</f>
        <v/>
      </c>
      <c r="F673" s="28" t="str">
        <f aca="false">IF($D673="","",IFERROR(INDEX(المنتجات!$B$5:$B$24,MATCH($D673,المنتجات!$A$5:$A$24,0)),""))</f>
        <v/>
      </c>
      <c r="G673" s="24"/>
      <c r="H673" s="25" t="str">
        <f aca="false">IF($D673="","",IFERROR(INDEX(المنتجات!$F$5:$F$24,MATCH($D673,المنتجات!$A$5:$A$24,0)),0))</f>
        <v/>
      </c>
      <c r="I673" s="30"/>
      <c r="J673" s="25" t="str">
        <f aca="false">IF($D673="","",N(G673)*H673-N(I673))</f>
        <v/>
      </c>
      <c r="K673" s="25" t="str">
        <f aca="false">IF($D673="","",N(G673)*IFERROR(INDEX(المنتجات!$H$5:$H$24,MATCH($D673,المنتجات!$A$5:$A$24,0)),0))</f>
        <v/>
      </c>
      <c r="L673" s="25" t="str">
        <f aca="false">IF($D673="","",J673-K673)</f>
        <v/>
      </c>
      <c r="M673" s="29"/>
      <c r="N673" s="29"/>
    </row>
    <row r="674" customFormat="false" ht="15" hidden="false" customHeight="false" outlineLevel="0" collapsed="false">
      <c r="A674" s="32"/>
      <c r="B674" s="29"/>
      <c r="C674" s="29"/>
      <c r="D674" s="29"/>
      <c r="E674" s="28" t="str">
        <f aca="false">IF($D674="","",IFERROR(INDEX(المنتجات!$C$5:$C$24,MATCH($D674,المنتجات!$A$5:$A$24,0)),"كود غير موجود"))</f>
        <v/>
      </c>
      <c r="F674" s="28" t="str">
        <f aca="false">IF($D674="","",IFERROR(INDEX(المنتجات!$B$5:$B$24,MATCH($D674,المنتجات!$A$5:$A$24,0)),""))</f>
        <v/>
      </c>
      <c r="G674" s="24"/>
      <c r="H674" s="25" t="str">
        <f aca="false">IF($D674="","",IFERROR(INDEX(المنتجات!$F$5:$F$24,MATCH($D674,المنتجات!$A$5:$A$24,0)),0))</f>
        <v/>
      </c>
      <c r="I674" s="30"/>
      <c r="J674" s="25" t="str">
        <f aca="false">IF($D674="","",N(G674)*H674-N(I674))</f>
        <v/>
      </c>
      <c r="K674" s="25" t="str">
        <f aca="false">IF($D674="","",N(G674)*IFERROR(INDEX(المنتجات!$H$5:$H$24,MATCH($D674,المنتجات!$A$5:$A$24,0)),0))</f>
        <v/>
      </c>
      <c r="L674" s="25" t="str">
        <f aca="false">IF($D674="","",J674-K674)</f>
        <v/>
      </c>
      <c r="M674" s="29"/>
      <c r="N674" s="29"/>
    </row>
    <row r="675" customFormat="false" ht="15" hidden="false" customHeight="false" outlineLevel="0" collapsed="false">
      <c r="A675" s="32"/>
      <c r="B675" s="29"/>
      <c r="C675" s="29"/>
      <c r="D675" s="29"/>
      <c r="E675" s="28" t="str">
        <f aca="false">IF($D675="","",IFERROR(INDEX(المنتجات!$C$5:$C$24,MATCH($D675,المنتجات!$A$5:$A$24,0)),"كود غير موجود"))</f>
        <v/>
      </c>
      <c r="F675" s="28" t="str">
        <f aca="false">IF($D675="","",IFERROR(INDEX(المنتجات!$B$5:$B$24,MATCH($D675,المنتجات!$A$5:$A$24,0)),""))</f>
        <v/>
      </c>
      <c r="G675" s="24"/>
      <c r="H675" s="25" t="str">
        <f aca="false">IF($D675="","",IFERROR(INDEX(المنتجات!$F$5:$F$24,MATCH($D675,المنتجات!$A$5:$A$24,0)),0))</f>
        <v/>
      </c>
      <c r="I675" s="30"/>
      <c r="J675" s="25" t="str">
        <f aca="false">IF($D675="","",N(G675)*H675-N(I675))</f>
        <v/>
      </c>
      <c r="K675" s="25" t="str">
        <f aca="false">IF($D675="","",N(G675)*IFERROR(INDEX(المنتجات!$H$5:$H$24,MATCH($D675,المنتجات!$A$5:$A$24,0)),0))</f>
        <v/>
      </c>
      <c r="L675" s="25" t="str">
        <f aca="false">IF($D675="","",J675-K675)</f>
        <v/>
      </c>
      <c r="M675" s="29"/>
      <c r="N675" s="29"/>
    </row>
    <row r="676" customFormat="false" ht="15" hidden="false" customHeight="false" outlineLevel="0" collapsed="false">
      <c r="A676" s="32"/>
      <c r="B676" s="29"/>
      <c r="C676" s="29"/>
      <c r="D676" s="29"/>
      <c r="E676" s="28" t="str">
        <f aca="false">IF($D676="","",IFERROR(INDEX(المنتجات!$C$5:$C$24,MATCH($D676,المنتجات!$A$5:$A$24,0)),"كود غير موجود"))</f>
        <v/>
      </c>
      <c r="F676" s="28" t="str">
        <f aca="false">IF($D676="","",IFERROR(INDEX(المنتجات!$B$5:$B$24,MATCH($D676,المنتجات!$A$5:$A$24,0)),""))</f>
        <v/>
      </c>
      <c r="G676" s="24"/>
      <c r="H676" s="25" t="str">
        <f aca="false">IF($D676="","",IFERROR(INDEX(المنتجات!$F$5:$F$24,MATCH($D676,المنتجات!$A$5:$A$24,0)),0))</f>
        <v/>
      </c>
      <c r="I676" s="30"/>
      <c r="J676" s="25" t="str">
        <f aca="false">IF($D676="","",N(G676)*H676-N(I676))</f>
        <v/>
      </c>
      <c r="K676" s="25" t="str">
        <f aca="false">IF($D676="","",N(G676)*IFERROR(INDEX(المنتجات!$H$5:$H$24,MATCH($D676,المنتجات!$A$5:$A$24,0)),0))</f>
        <v/>
      </c>
      <c r="L676" s="25" t="str">
        <f aca="false">IF($D676="","",J676-K676)</f>
        <v/>
      </c>
      <c r="M676" s="29"/>
      <c r="N676" s="29"/>
    </row>
    <row r="677" customFormat="false" ht="15" hidden="false" customHeight="false" outlineLevel="0" collapsed="false">
      <c r="A677" s="32"/>
      <c r="B677" s="29"/>
      <c r="C677" s="29"/>
      <c r="D677" s="29"/>
      <c r="E677" s="28" t="str">
        <f aca="false">IF($D677="","",IFERROR(INDEX(المنتجات!$C$5:$C$24,MATCH($D677,المنتجات!$A$5:$A$24,0)),"كود غير موجود"))</f>
        <v/>
      </c>
      <c r="F677" s="28" t="str">
        <f aca="false">IF($D677="","",IFERROR(INDEX(المنتجات!$B$5:$B$24,MATCH($D677,المنتجات!$A$5:$A$24,0)),""))</f>
        <v/>
      </c>
      <c r="G677" s="24"/>
      <c r="H677" s="25" t="str">
        <f aca="false">IF($D677="","",IFERROR(INDEX(المنتجات!$F$5:$F$24,MATCH($D677,المنتجات!$A$5:$A$24,0)),0))</f>
        <v/>
      </c>
      <c r="I677" s="30"/>
      <c r="J677" s="25" t="str">
        <f aca="false">IF($D677="","",N(G677)*H677-N(I677))</f>
        <v/>
      </c>
      <c r="K677" s="25" t="str">
        <f aca="false">IF($D677="","",N(G677)*IFERROR(INDEX(المنتجات!$H$5:$H$24,MATCH($D677,المنتجات!$A$5:$A$24,0)),0))</f>
        <v/>
      </c>
      <c r="L677" s="25" t="str">
        <f aca="false">IF($D677="","",J677-K677)</f>
        <v/>
      </c>
      <c r="M677" s="29"/>
      <c r="N677" s="29"/>
    </row>
    <row r="678" customFormat="false" ht="15" hidden="false" customHeight="false" outlineLevel="0" collapsed="false">
      <c r="A678" s="32"/>
      <c r="B678" s="29"/>
      <c r="C678" s="29"/>
      <c r="D678" s="29"/>
      <c r="E678" s="28" t="str">
        <f aca="false">IF($D678="","",IFERROR(INDEX(المنتجات!$C$5:$C$24,MATCH($D678,المنتجات!$A$5:$A$24,0)),"كود غير موجود"))</f>
        <v/>
      </c>
      <c r="F678" s="28" t="str">
        <f aca="false">IF($D678="","",IFERROR(INDEX(المنتجات!$B$5:$B$24,MATCH($D678,المنتجات!$A$5:$A$24,0)),""))</f>
        <v/>
      </c>
      <c r="G678" s="24"/>
      <c r="H678" s="25" t="str">
        <f aca="false">IF($D678="","",IFERROR(INDEX(المنتجات!$F$5:$F$24,MATCH($D678,المنتجات!$A$5:$A$24,0)),0))</f>
        <v/>
      </c>
      <c r="I678" s="30"/>
      <c r="J678" s="25" t="str">
        <f aca="false">IF($D678="","",N(G678)*H678-N(I678))</f>
        <v/>
      </c>
      <c r="K678" s="25" t="str">
        <f aca="false">IF($D678="","",N(G678)*IFERROR(INDEX(المنتجات!$H$5:$H$24,MATCH($D678,المنتجات!$A$5:$A$24,0)),0))</f>
        <v/>
      </c>
      <c r="L678" s="25" t="str">
        <f aca="false">IF($D678="","",J678-K678)</f>
        <v/>
      </c>
      <c r="M678" s="29"/>
      <c r="N678" s="29"/>
    </row>
    <row r="679" customFormat="false" ht="15" hidden="false" customHeight="false" outlineLevel="0" collapsed="false">
      <c r="A679" s="32"/>
      <c r="B679" s="29"/>
      <c r="C679" s="29"/>
      <c r="D679" s="29"/>
      <c r="E679" s="28" t="str">
        <f aca="false">IF($D679="","",IFERROR(INDEX(المنتجات!$C$5:$C$24,MATCH($D679,المنتجات!$A$5:$A$24,0)),"كود غير موجود"))</f>
        <v/>
      </c>
      <c r="F679" s="28" t="str">
        <f aca="false">IF($D679="","",IFERROR(INDEX(المنتجات!$B$5:$B$24,MATCH($D679,المنتجات!$A$5:$A$24,0)),""))</f>
        <v/>
      </c>
      <c r="G679" s="24"/>
      <c r="H679" s="25" t="str">
        <f aca="false">IF($D679="","",IFERROR(INDEX(المنتجات!$F$5:$F$24,MATCH($D679,المنتجات!$A$5:$A$24,0)),0))</f>
        <v/>
      </c>
      <c r="I679" s="30"/>
      <c r="J679" s="25" t="str">
        <f aca="false">IF($D679="","",N(G679)*H679-N(I679))</f>
        <v/>
      </c>
      <c r="K679" s="25" t="str">
        <f aca="false">IF($D679="","",N(G679)*IFERROR(INDEX(المنتجات!$H$5:$H$24,MATCH($D679,المنتجات!$A$5:$A$24,0)),0))</f>
        <v/>
      </c>
      <c r="L679" s="25" t="str">
        <f aca="false">IF($D679="","",J679-K679)</f>
        <v/>
      </c>
      <c r="M679" s="29"/>
      <c r="N679" s="29"/>
    </row>
    <row r="680" customFormat="false" ht="15" hidden="false" customHeight="false" outlineLevel="0" collapsed="false">
      <c r="A680" s="32"/>
      <c r="B680" s="29"/>
      <c r="C680" s="29"/>
      <c r="D680" s="29"/>
      <c r="E680" s="28" t="str">
        <f aca="false">IF($D680="","",IFERROR(INDEX(المنتجات!$C$5:$C$24,MATCH($D680,المنتجات!$A$5:$A$24,0)),"كود غير موجود"))</f>
        <v/>
      </c>
      <c r="F680" s="28" t="str">
        <f aca="false">IF($D680="","",IFERROR(INDEX(المنتجات!$B$5:$B$24,MATCH($D680,المنتجات!$A$5:$A$24,0)),""))</f>
        <v/>
      </c>
      <c r="G680" s="24"/>
      <c r="H680" s="25" t="str">
        <f aca="false">IF($D680="","",IFERROR(INDEX(المنتجات!$F$5:$F$24,MATCH($D680,المنتجات!$A$5:$A$24,0)),0))</f>
        <v/>
      </c>
      <c r="I680" s="30"/>
      <c r="J680" s="25" t="str">
        <f aca="false">IF($D680="","",N(G680)*H680-N(I680))</f>
        <v/>
      </c>
      <c r="K680" s="25" t="str">
        <f aca="false">IF($D680="","",N(G680)*IFERROR(INDEX(المنتجات!$H$5:$H$24,MATCH($D680,المنتجات!$A$5:$A$24,0)),0))</f>
        <v/>
      </c>
      <c r="L680" s="25" t="str">
        <f aca="false">IF($D680="","",J680-K680)</f>
        <v/>
      </c>
      <c r="M680" s="29"/>
      <c r="N680" s="29"/>
    </row>
    <row r="681" customFormat="false" ht="15" hidden="false" customHeight="false" outlineLevel="0" collapsed="false">
      <c r="A681" s="32"/>
      <c r="B681" s="29"/>
      <c r="C681" s="29"/>
      <c r="D681" s="29"/>
      <c r="E681" s="28" t="str">
        <f aca="false">IF($D681="","",IFERROR(INDEX(المنتجات!$C$5:$C$24,MATCH($D681,المنتجات!$A$5:$A$24,0)),"كود غير موجود"))</f>
        <v/>
      </c>
      <c r="F681" s="28" t="str">
        <f aca="false">IF($D681="","",IFERROR(INDEX(المنتجات!$B$5:$B$24,MATCH($D681,المنتجات!$A$5:$A$24,0)),""))</f>
        <v/>
      </c>
      <c r="G681" s="24"/>
      <c r="H681" s="25" t="str">
        <f aca="false">IF($D681="","",IFERROR(INDEX(المنتجات!$F$5:$F$24,MATCH($D681,المنتجات!$A$5:$A$24,0)),0))</f>
        <v/>
      </c>
      <c r="I681" s="30"/>
      <c r="J681" s="25" t="str">
        <f aca="false">IF($D681="","",N(G681)*H681-N(I681))</f>
        <v/>
      </c>
      <c r="K681" s="25" t="str">
        <f aca="false">IF($D681="","",N(G681)*IFERROR(INDEX(المنتجات!$H$5:$H$24,MATCH($D681,المنتجات!$A$5:$A$24,0)),0))</f>
        <v/>
      </c>
      <c r="L681" s="25" t="str">
        <f aca="false">IF($D681="","",J681-K681)</f>
        <v/>
      </c>
      <c r="M681" s="29"/>
      <c r="N681" s="29"/>
    </row>
    <row r="682" customFormat="false" ht="15" hidden="false" customHeight="false" outlineLevel="0" collapsed="false">
      <c r="A682" s="32"/>
      <c r="B682" s="29"/>
      <c r="C682" s="29"/>
      <c r="D682" s="29"/>
      <c r="E682" s="28" t="str">
        <f aca="false">IF($D682="","",IFERROR(INDEX(المنتجات!$C$5:$C$24,MATCH($D682,المنتجات!$A$5:$A$24,0)),"كود غير موجود"))</f>
        <v/>
      </c>
      <c r="F682" s="28" t="str">
        <f aca="false">IF($D682="","",IFERROR(INDEX(المنتجات!$B$5:$B$24,MATCH($D682,المنتجات!$A$5:$A$24,0)),""))</f>
        <v/>
      </c>
      <c r="G682" s="24"/>
      <c r="H682" s="25" t="str">
        <f aca="false">IF($D682="","",IFERROR(INDEX(المنتجات!$F$5:$F$24,MATCH($D682,المنتجات!$A$5:$A$24,0)),0))</f>
        <v/>
      </c>
      <c r="I682" s="30"/>
      <c r="J682" s="25" t="str">
        <f aca="false">IF($D682="","",N(G682)*H682-N(I682))</f>
        <v/>
      </c>
      <c r="K682" s="25" t="str">
        <f aca="false">IF($D682="","",N(G682)*IFERROR(INDEX(المنتجات!$H$5:$H$24,MATCH($D682,المنتجات!$A$5:$A$24,0)),0))</f>
        <v/>
      </c>
      <c r="L682" s="25" t="str">
        <f aca="false">IF($D682="","",J682-K682)</f>
        <v/>
      </c>
      <c r="M682" s="29"/>
      <c r="N682" s="29"/>
    </row>
    <row r="683" customFormat="false" ht="15" hidden="false" customHeight="false" outlineLevel="0" collapsed="false">
      <c r="A683" s="32"/>
      <c r="B683" s="29"/>
      <c r="C683" s="29"/>
      <c r="D683" s="29"/>
      <c r="E683" s="28" t="str">
        <f aca="false">IF($D683="","",IFERROR(INDEX(المنتجات!$C$5:$C$24,MATCH($D683,المنتجات!$A$5:$A$24,0)),"كود غير موجود"))</f>
        <v/>
      </c>
      <c r="F683" s="28" t="str">
        <f aca="false">IF($D683="","",IFERROR(INDEX(المنتجات!$B$5:$B$24,MATCH($D683,المنتجات!$A$5:$A$24,0)),""))</f>
        <v/>
      </c>
      <c r="G683" s="24"/>
      <c r="H683" s="25" t="str">
        <f aca="false">IF($D683="","",IFERROR(INDEX(المنتجات!$F$5:$F$24,MATCH($D683,المنتجات!$A$5:$A$24,0)),0))</f>
        <v/>
      </c>
      <c r="I683" s="30"/>
      <c r="J683" s="25" t="str">
        <f aca="false">IF($D683="","",N(G683)*H683-N(I683))</f>
        <v/>
      </c>
      <c r="K683" s="25" t="str">
        <f aca="false">IF($D683="","",N(G683)*IFERROR(INDEX(المنتجات!$H$5:$H$24,MATCH($D683,المنتجات!$A$5:$A$24,0)),0))</f>
        <v/>
      </c>
      <c r="L683" s="25" t="str">
        <f aca="false">IF($D683="","",J683-K683)</f>
        <v/>
      </c>
      <c r="M683" s="29"/>
      <c r="N683" s="29"/>
    </row>
    <row r="684" customFormat="false" ht="15" hidden="false" customHeight="false" outlineLevel="0" collapsed="false">
      <c r="A684" s="32"/>
      <c r="B684" s="29"/>
      <c r="C684" s="29"/>
      <c r="D684" s="29"/>
      <c r="E684" s="28" t="str">
        <f aca="false">IF($D684="","",IFERROR(INDEX(المنتجات!$C$5:$C$24,MATCH($D684,المنتجات!$A$5:$A$24,0)),"كود غير موجود"))</f>
        <v/>
      </c>
      <c r="F684" s="28" t="str">
        <f aca="false">IF($D684="","",IFERROR(INDEX(المنتجات!$B$5:$B$24,MATCH($D684,المنتجات!$A$5:$A$24,0)),""))</f>
        <v/>
      </c>
      <c r="G684" s="24"/>
      <c r="H684" s="25" t="str">
        <f aca="false">IF($D684="","",IFERROR(INDEX(المنتجات!$F$5:$F$24,MATCH($D684,المنتجات!$A$5:$A$24,0)),0))</f>
        <v/>
      </c>
      <c r="I684" s="30"/>
      <c r="J684" s="25" t="str">
        <f aca="false">IF($D684="","",N(G684)*H684-N(I684))</f>
        <v/>
      </c>
      <c r="K684" s="25" t="str">
        <f aca="false">IF($D684="","",N(G684)*IFERROR(INDEX(المنتجات!$H$5:$H$24,MATCH($D684,المنتجات!$A$5:$A$24,0)),0))</f>
        <v/>
      </c>
      <c r="L684" s="25" t="str">
        <f aca="false">IF($D684="","",J684-K684)</f>
        <v/>
      </c>
      <c r="M684" s="29"/>
      <c r="N684" s="29"/>
    </row>
    <row r="685" customFormat="false" ht="15" hidden="false" customHeight="false" outlineLevel="0" collapsed="false">
      <c r="A685" s="32"/>
      <c r="B685" s="29"/>
      <c r="C685" s="29"/>
      <c r="D685" s="29"/>
      <c r="E685" s="28" t="str">
        <f aca="false">IF($D685="","",IFERROR(INDEX(المنتجات!$C$5:$C$24,MATCH($D685,المنتجات!$A$5:$A$24,0)),"كود غير موجود"))</f>
        <v/>
      </c>
      <c r="F685" s="28" t="str">
        <f aca="false">IF($D685="","",IFERROR(INDEX(المنتجات!$B$5:$B$24,MATCH($D685,المنتجات!$A$5:$A$24,0)),""))</f>
        <v/>
      </c>
      <c r="G685" s="24"/>
      <c r="H685" s="25" t="str">
        <f aca="false">IF($D685="","",IFERROR(INDEX(المنتجات!$F$5:$F$24,MATCH($D685,المنتجات!$A$5:$A$24,0)),0))</f>
        <v/>
      </c>
      <c r="I685" s="30"/>
      <c r="J685" s="25" t="str">
        <f aca="false">IF($D685="","",N(G685)*H685-N(I685))</f>
        <v/>
      </c>
      <c r="K685" s="25" t="str">
        <f aca="false">IF($D685="","",N(G685)*IFERROR(INDEX(المنتجات!$H$5:$H$24,MATCH($D685,المنتجات!$A$5:$A$24,0)),0))</f>
        <v/>
      </c>
      <c r="L685" s="25" t="str">
        <f aca="false">IF($D685="","",J685-K685)</f>
        <v/>
      </c>
      <c r="M685" s="29"/>
      <c r="N685" s="29"/>
    </row>
    <row r="686" customFormat="false" ht="15" hidden="false" customHeight="false" outlineLevel="0" collapsed="false">
      <c r="A686" s="32"/>
      <c r="B686" s="29"/>
      <c r="C686" s="29"/>
      <c r="D686" s="29"/>
      <c r="E686" s="28" t="str">
        <f aca="false">IF($D686="","",IFERROR(INDEX(المنتجات!$C$5:$C$24,MATCH($D686,المنتجات!$A$5:$A$24,0)),"كود غير موجود"))</f>
        <v/>
      </c>
      <c r="F686" s="28" t="str">
        <f aca="false">IF($D686="","",IFERROR(INDEX(المنتجات!$B$5:$B$24,MATCH($D686,المنتجات!$A$5:$A$24,0)),""))</f>
        <v/>
      </c>
      <c r="G686" s="24"/>
      <c r="H686" s="25" t="str">
        <f aca="false">IF($D686="","",IFERROR(INDEX(المنتجات!$F$5:$F$24,MATCH($D686,المنتجات!$A$5:$A$24,0)),0))</f>
        <v/>
      </c>
      <c r="I686" s="30"/>
      <c r="J686" s="25" t="str">
        <f aca="false">IF($D686="","",N(G686)*H686-N(I686))</f>
        <v/>
      </c>
      <c r="K686" s="25" t="str">
        <f aca="false">IF($D686="","",N(G686)*IFERROR(INDEX(المنتجات!$H$5:$H$24,MATCH($D686,المنتجات!$A$5:$A$24,0)),0))</f>
        <v/>
      </c>
      <c r="L686" s="25" t="str">
        <f aca="false">IF($D686="","",J686-K686)</f>
        <v/>
      </c>
      <c r="M686" s="29"/>
      <c r="N686" s="29"/>
    </row>
    <row r="687" customFormat="false" ht="15" hidden="false" customHeight="false" outlineLevel="0" collapsed="false">
      <c r="A687" s="32"/>
      <c r="B687" s="29"/>
      <c r="C687" s="29"/>
      <c r="D687" s="29"/>
      <c r="E687" s="28" t="str">
        <f aca="false">IF($D687="","",IFERROR(INDEX(المنتجات!$C$5:$C$24,MATCH($D687,المنتجات!$A$5:$A$24,0)),"كود غير موجود"))</f>
        <v/>
      </c>
      <c r="F687" s="28" t="str">
        <f aca="false">IF($D687="","",IFERROR(INDEX(المنتجات!$B$5:$B$24,MATCH($D687,المنتجات!$A$5:$A$24,0)),""))</f>
        <v/>
      </c>
      <c r="G687" s="24"/>
      <c r="H687" s="25" t="str">
        <f aca="false">IF($D687="","",IFERROR(INDEX(المنتجات!$F$5:$F$24,MATCH($D687,المنتجات!$A$5:$A$24,0)),0))</f>
        <v/>
      </c>
      <c r="I687" s="30"/>
      <c r="J687" s="25" t="str">
        <f aca="false">IF($D687="","",N(G687)*H687-N(I687))</f>
        <v/>
      </c>
      <c r="K687" s="25" t="str">
        <f aca="false">IF($D687="","",N(G687)*IFERROR(INDEX(المنتجات!$H$5:$H$24,MATCH($D687,المنتجات!$A$5:$A$24,0)),0))</f>
        <v/>
      </c>
      <c r="L687" s="25" t="str">
        <f aca="false">IF($D687="","",J687-K687)</f>
        <v/>
      </c>
      <c r="M687" s="29"/>
      <c r="N687" s="29"/>
    </row>
    <row r="688" customFormat="false" ht="15" hidden="false" customHeight="false" outlineLevel="0" collapsed="false">
      <c r="A688" s="32"/>
      <c r="B688" s="29"/>
      <c r="C688" s="29"/>
      <c r="D688" s="29"/>
      <c r="E688" s="28" t="str">
        <f aca="false">IF($D688="","",IFERROR(INDEX(المنتجات!$C$5:$C$24,MATCH($D688,المنتجات!$A$5:$A$24,0)),"كود غير موجود"))</f>
        <v/>
      </c>
      <c r="F688" s="28" t="str">
        <f aca="false">IF($D688="","",IFERROR(INDEX(المنتجات!$B$5:$B$24,MATCH($D688,المنتجات!$A$5:$A$24,0)),""))</f>
        <v/>
      </c>
      <c r="G688" s="24"/>
      <c r="H688" s="25" t="str">
        <f aca="false">IF($D688="","",IFERROR(INDEX(المنتجات!$F$5:$F$24,MATCH($D688,المنتجات!$A$5:$A$24,0)),0))</f>
        <v/>
      </c>
      <c r="I688" s="30"/>
      <c r="J688" s="25" t="str">
        <f aca="false">IF($D688="","",N(G688)*H688-N(I688))</f>
        <v/>
      </c>
      <c r="K688" s="25" t="str">
        <f aca="false">IF($D688="","",N(G688)*IFERROR(INDEX(المنتجات!$H$5:$H$24,MATCH($D688,المنتجات!$A$5:$A$24,0)),0))</f>
        <v/>
      </c>
      <c r="L688" s="25" t="str">
        <f aca="false">IF($D688="","",J688-K688)</f>
        <v/>
      </c>
      <c r="M688" s="29"/>
      <c r="N688" s="29"/>
    </row>
    <row r="689" customFormat="false" ht="15" hidden="false" customHeight="false" outlineLevel="0" collapsed="false">
      <c r="A689" s="32"/>
      <c r="B689" s="29"/>
      <c r="C689" s="29"/>
      <c r="D689" s="29"/>
      <c r="E689" s="28" t="str">
        <f aca="false">IF($D689="","",IFERROR(INDEX(المنتجات!$C$5:$C$24,MATCH($D689,المنتجات!$A$5:$A$24,0)),"كود غير موجود"))</f>
        <v/>
      </c>
      <c r="F689" s="28" t="str">
        <f aca="false">IF($D689="","",IFERROR(INDEX(المنتجات!$B$5:$B$24,MATCH($D689,المنتجات!$A$5:$A$24,0)),""))</f>
        <v/>
      </c>
      <c r="G689" s="24"/>
      <c r="H689" s="25" t="str">
        <f aca="false">IF($D689="","",IFERROR(INDEX(المنتجات!$F$5:$F$24,MATCH($D689,المنتجات!$A$5:$A$24,0)),0))</f>
        <v/>
      </c>
      <c r="I689" s="30"/>
      <c r="J689" s="25" t="str">
        <f aca="false">IF($D689="","",N(G689)*H689-N(I689))</f>
        <v/>
      </c>
      <c r="K689" s="25" t="str">
        <f aca="false">IF($D689="","",N(G689)*IFERROR(INDEX(المنتجات!$H$5:$H$24,MATCH($D689,المنتجات!$A$5:$A$24,0)),0))</f>
        <v/>
      </c>
      <c r="L689" s="25" t="str">
        <f aca="false">IF($D689="","",J689-K689)</f>
        <v/>
      </c>
      <c r="M689" s="29"/>
      <c r="N689" s="29"/>
    </row>
    <row r="690" customFormat="false" ht="15" hidden="false" customHeight="false" outlineLevel="0" collapsed="false">
      <c r="A690" s="32"/>
      <c r="B690" s="29"/>
      <c r="C690" s="29"/>
      <c r="D690" s="29"/>
      <c r="E690" s="28" t="str">
        <f aca="false">IF($D690="","",IFERROR(INDEX(المنتجات!$C$5:$C$24,MATCH($D690,المنتجات!$A$5:$A$24,0)),"كود غير موجود"))</f>
        <v/>
      </c>
      <c r="F690" s="28" t="str">
        <f aca="false">IF($D690="","",IFERROR(INDEX(المنتجات!$B$5:$B$24,MATCH($D690,المنتجات!$A$5:$A$24,0)),""))</f>
        <v/>
      </c>
      <c r="G690" s="24"/>
      <c r="H690" s="25" t="str">
        <f aca="false">IF($D690="","",IFERROR(INDEX(المنتجات!$F$5:$F$24,MATCH($D690,المنتجات!$A$5:$A$24,0)),0))</f>
        <v/>
      </c>
      <c r="I690" s="30"/>
      <c r="J690" s="25" t="str">
        <f aca="false">IF($D690="","",N(G690)*H690-N(I690))</f>
        <v/>
      </c>
      <c r="K690" s="25" t="str">
        <f aca="false">IF($D690="","",N(G690)*IFERROR(INDEX(المنتجات!$H$5:$H$24,MATCH($D690,المنتجات!$A$5:$A$24,0)),0))</f>
        <v/>
      </c>
      <c r="L690" s="25" t="str">
        <f aca="false">IF($D690="","",J690-K690)</f>
        <v/>
      </c>
      <c r="M690" s="29"/>
      <c r="N690" s="29"/>
    </row>
    <row r="691" customFormat="false" ht="15" hidden="false" customHeight="false" outlineLevel="0" collapsed="false">
      <c r="A691" s="32"/>
      <c r="B691" s="29"/>
      <c r="C691" s="29"/>
      <c r="D691" s="29"/>
      <c r="E691" s="28" t="str">
        <f aca="false">IF($D691="","",IFERROR(INDEX(المنتجات!$C$5:$C$24,MATCH($D691,المنتجات!$A$5:$A$24,0)),"كود غير موجود"))</f>
        <v/>
      </c>
      <c r="F691" s="28" t="str">
        <f aca="false">IF($D691="","",IFERROR(INDEX(المنتجات!$B$5:$B$24,MATCH($D691,المنتجات!$A$5:$A$24,0)),""))</f>
        <v/>
      </c>
      <c r="G691" s="24"/>
      <c r="H691" s="25" t="str">
        <f aca="false">IF($D691="","",IFERROR(INDEX(المنتجات!$F$5:$F$24,MATCH($D691,المنتجات!$A$5:$A$24,0)),0))</f>
        <v/>
      </c>
      <c r="I691" s="30"/>
      <c r="J691" s="25" t="str">
        <f aca="false">IF($D691="","",N(G691)*H691-N(I691))</f>
        <v/>
      </c>
      <c r="K691" s="25" t="str">
        <f aca="false">IF($D691="","",N(G691)*IFERROR(INDEX(المنتجات!$H$5:$H$24,MATCH($D691,المنتجات!$A$5:$A$24,0)),0))</f>
        <v/>
      </c>
      <c r="L691" s="25" t="str">
        <f aca="false">IF($D691="","",J691-K691)</f>
        <v/>
      </c>
      <c r="M691" s="29"/>
      <c r="N691" s="29"/>
    </row>
    <row r="692" customFormat="false" ht="15" hidden="false" customHeight="false" outlineLevel="0" collapsed="false">
      <c r="A692" s="32"/>
      <c r="B692" s="29"/>
      <c r="C692" s="29"/>
      <c r="D692" s="29"/>
      <c r="E692" s="28" t="str">
        <f aca="false">IF($D692="","",IFERROR(INDEX(المنتجات!$C$5:$C$24,MATCH($D692,المنتجات!$A$5:$A$24,0)),"كود غير موجود"))</f>
        <v/>
      </c>
      <c r="F692" s="28" t="str">
        <f aca="false">IF($D692="","",IFERROR(INDEX(المنتجات!$B$5:$B$24,MATCH($D692,المنتجات!$A$5:$A$24,0)),""))</f>
        <v/>
      </c>
      <c r="G692" s="24"/>
      <c r="H692" s="25" t="str">
        <f aca="false">IF($D692="","",IFERROR(INDEX(المنتجات!$F$5:$F$24,MATCH($D692,المنتجات!$A$5:$A$24,0)),0))</f>
        <v/>
      </c>
      <c r="I692" s="30"/>
      <c r="J692" s="25" t="str">
        <f aca="false">IF($D692="","",N(G692)*H692-N(I692))</f>
        <v/>
      </c>
      <c r="K692" s="25" t="str">
        <f aca="false">IF($D692="","",N(G692)*IFERROR(INDEX(المنتجات!$H$5:$H$24,MATCH($D692,المنتجات!$A$5:$A$24,0)),0))</f>
        <v/>
      </c>
      <c r="L692" s="25" t="str">
        <f aca="false">IF($D692="","",J692-K692)</f>
        <v/>
      </c>
      <c r="M692" s="29"/>
      <c r="N692" s="29"/>
    </row>
    <row r="693" customFormat="false" ht="15" hidden="false" customHeight="false" outlineLevel="0" collapsed="false">
      <c r="A693" s="32"/>
      <c r="B693" s="29"/>
      <c r="C693" s="29"/>
      <c r="D693" s="29"/>
      <c r="E693" s="28" t="str">
        <f aca="false">IF($D693="","",IFERROR(INDEX(المنتجات!$C$5:$C$24,MATCH($D693,المنتجات!$A$5:$A$24,0)),"كود غير موجود"))</f>
        <v/>
      </c>
      <c r="F693" s="28" t="str">
        <f aca="false">IF($D693="","",IFERROR(INDEX(المنتجات!$B$5:$B$24,MATCH($D693,المنتجات!$A$5:$A$24,0)),""))</f>
        <v/>
      </c>
      <c r="G693" s="24"/>
      <c r="H693" s="25" t="str">
        <f aca="false">IF($D693="","",IFERROR(INDEX(المنتجات!$F$5:$F$24,MATCH($D693,المنتجات!$A$5:$A$24,0)),0))</f>
        <v/>
      </c>
      <c r="I693" s="30"/>
      <c r="J693" s="25" t="str">
        <f aca="false">IF($D693="","",N(G693)*H693-N(I693))</f>
        <v/>
      </c>
      <c r="K693" s="25" t="str">
        <f aca="false">IF($D693="","",N(G693)*IFERROR(INDEX(المنتجات!$H$5:$H$24,MATCH($D693,المنتجات!$A$5:$A$24,0)),0))</f>
        <v/>
      </c>
      <c r="L693" s="25" t="str">
        <f aca="false">IF($D693="","",J693-K693)</f>
        <v/>
      </c>
      <c r="M693" s="29"/>
      <c r="N693" s="29"/>
    </row>
    <row r="694" customFormat="false" ht="15" hidden="false" customHeight="false" outlineLevel="0" collapsed="false">
      <c r="A694" s="32"/>
      <c r="B694" s="29"/>
      <c r="C694" s="29"/>
      <c r="D694" s="29"/>
      <c r="E694" s="28" t="str">
        <f aca="false">IF($D694="","",IFERROR(INDEX(المنتجات!$C$5:$C$24,MATCH($D694,المنتجات!$A$5:$A$24,0)),"كود غير موجود"))</f>
        <v/>
      </c>
      <c r="F694" s="28" t="str">
        <f aca="false">IF($D694="","",IFERROR(INDEX(المنتجات!$B$5:$B$24,MATCH($D694,المنتجات!$A$5:$A$24,0)),""))</f>
        <v/>
      </c>
      <c r="G694" s="24"/>
      <c r="H694" s="25" t="str">
        <f aca="false">IF($D694="","",IFERROR(INDEX(المنتجات!$F$5:$F$24,MATCH($D694,المنتجات!$A$5:$A$24,0)),0))</f>
        <v/>
      </c>
      <c r="I694" s="30"/>
      <c r="J694" s="25" t="str">
        <f aca="false">IF($D694="","",N(G694)*H694-N(I694))</f>
        <v/>
      </c>
      <c r="K694" s="25" t="str">
        <f aca="false">IF($D694="","",N(G694)*IFERROR(INDEX(المنتجات!$H$5:$H$24,MATCH($D694,المنتجات!$A$5:$A$24,0)),0))</f>
        <v/>
      </c>
      <c r="L694" s="25" t="str">
        <f aca="false">IF($D694="","",J694-K694)</f>
        <v/>
      </c>
      <c r="M694" s="29"/>
      <c r="N694" s="29"/>
    </row>
    <row r="695" customFormat="false" ht="15" hidden="false" customHeight="false" outlineLevel="0" collapsed="false">
      <c r="A695" s="32"/>
      <c r="B695" s="29"/>
      <c r="C695" s="29"/>
      <c r="D695" s="29"/>
      <c r="E695" s="28" t="str">
        <f aca="false">IF($D695="","",IFERROR(INDEX(المنتجات!$C$5:$C$24,MATCH($D695,المنتجات!$A$5:$A$24,0)),"كود غير موجود"))</f>
        <v/>
      </c>
      <c r="F695" s="28" t="str">
        <f aca="false">IF($D695="","",IFERROR(INDEX(المنتجات!$B$5:$B$24,MATCH($D695,المنتجات!$A$5:$A$24,0)),""))</f>
        <v/>
      </c>
      <c r="G695" s="24"/>
      <c r="H695" s="25" t="str">
        <f aca="false">IF($D695="","",IFERROR(INDEX(المنتجات!$F$5:$F$24,MATCH($D695,المنتجات!$A$5:$A$24,0)),0))</f>
        <v/>
      </c>
      <c r="I695" s="30"/>
      <c r="J695" s="25" t="str">
        <f aca="false">IF($D695="","",N(G695)*H695-N(I695))</f>
        <v/>
      </c>
      <c r="K695" s="25" t="str">
        <f aca="false">IF($D695="","",N(G695)*IFERROR(INDEX(المنتجات!$H$5:$H$24,MATCH($D695,المنتجات!$A$5:$A$24,0)),0))</f>
        <v/>
      </c>
      <c r="L695" s="25" t="str">
        <f aca="false">IF($D695="","",J695-K695)</f>
        <v/>
      </c>
      <c r="M695" s="29"/>
      <c r="N695" s="29"/>
    </row>
    <row r="696" customFormat="false" ht="15" hidden="false" customHeight="false" outlineLevel="0" collapsed="false">
      <c r="A696" s="32"/>
      <c r="B696" s="29"/>
      <c r="C696" s="29"/>
      <c r="D696" s="29"/>
      <c r="E696" s="28" t="str">
        <f aca="false">IF($D696="","",IFERROR(INDEX(المنتجات!$C$5:$C$24,MATCH($D696,المنتجات!$A$5:$A$24,0)),"كود غير موجود"))</f>
        <v/>
      </c>
      <c r="F696" s="28" t="str">
        <f aca="false">IF($D696="","",IFERROR(INDEX(المنتجات!$B$5:$B$24,MATCH($D696,المنتجات!$A$5:$A$24,0)),""))</f>
        <v/>
      </c>
      <c r="G696" s="24"/>
      <c r="H696" s="25" t="str">
        <f aca="false">IF($D696="","",IFERROR(INDEX(المنتجات!$F$5:$F$24,MATCH($D696,المنتجات!$A$5:$A$24,0)),0))</f>
        <v/>
      </c>
      <c r="I696" s="30"/>
      <c r="J696" s="25" t="str">
        <f aca="false">IF($D696="","",N(G696)*H696-N(I696))</f>
        <v/>
      </c>
      <c r="K696" s="25" t="str">
        <f aca="false">IF($D696="","",N(G696)*IFERROR(INDEX(المنتجات!$H$5:$H$24,MATCH($D696,المنتجات!$A$5:$A$24,0)),0))</f>
        <v/>
      </c>
      <c r="L696" s="25" t="str">
        <f aca="false">IF($D696="","",J696-K696)</f>
        <v/>
      </c>
      <c r="M696" s="29"/>
      <c r="N696" s="29"/>
    </row>
    <row r="697" customFormat="false" ht="15" hidden="false" customHeight="false" outlineLevel="0" collapsed="false">
      <c r="A697" s="32"/>
      <c r="B697" s="29"/>
      <c r="C697" s="29"/>
      <c r="D697" s="29"/>
      <c r="E697" s="28" t="str">
        <f aca="false">IF($D697="","",IFERROR(INDEX(المنتجات!$C$5:$C$24,MATCH($D697,المنتجات!$A$5:$A$24,0)),"كود غير موجود"))</f>
        <v/>
      </c>
      <c r="F697" s="28" t="str">
        <f aca="false">IF($D697="","",IFERROR(INDEX(المنتجات!$B$5:$B$24,MATCH($D697,المنتجات!$A$5:$A$24,0)),""))</f>
        <v/>
      </c>
      <c r="G697" s="24"/>
      <c r="H697" s="25" t="str">
        <f aca="false">IF($D697="","",IFERROR(INDEX(المنتجات!$F$5:$F$24,MATCH($D697,المنتجات!$A$5:$A$24,0)),0))</f>
        <v/>
      </c>
      <c r="I697" s="30"/>
      <c r="J697" s="25" t="str">
        <f aca="false">IF($D697="","",N(G697)*H697-N(I697))</f>
        <v/>
      </c>
      <c r="K697" s="25" t="str">
        <f aca="false">IF($D697="","",N(G697)*IFERROR(INDEX(المنتجات!$H$5:$H$24,MATCH($D697,المنتجات!$A$5:$A$24,0)),0))</f>
        <v/>
      </c>
      <c r="L697" s="25" t="str">
        <f aca="false">IF($D697="","",J697-K697)</f>
        <v/>
      </c>
      <c r="M697" s="29"/>
      <c r="N697" s="29"/>
    </row>
    <row r="698" customFormat="false" ht="15" hidden="false" customHeight="false" outlineLevel="0" collapsed="false">
      <c r="A698" s="32"/>
      <c r="B698" s="29"/>
      <c r="C698" s="29"/>
      <c r="D698" s="29"/>
      <c r="E698" s="28" t="str">
        <f aca="false">IF($D698="","",IFERROR(INDEX(المنتجات!$C$5:$C$24,MATCH($D698,المنتجات!$A$5:$A$24,0)),"كود غير موجود"))</f>
        <v/>
      </c>
      <c r="F698" s="28" t="str">
        <f aca="false">IF($D698="","",IFERROR(INDEX(المنتجات!$B$5:$B$24,MATCH($D698,المنتجات!$A$5:$A$24,0)),""))</f>
        <v/>
      </c>
      <c r="G698" s="24"/>
      <c r="H698" s="25" t="str">
        <f aca="false">IF($D698="","",IFERROR(INDEX(المنتجات!$F$5:$F$24,MATCH($D698,المنتجات!$A$5:$A$24,0)),0))</f>
        <v/>
      </c>
      <c r="I698" s="30"/>
      <c r="J698" s="25" t="str">
        <f aca="false">IF($D698="","",N(G698)*H698-N(I698))</f>
        <v/>
      </c>
      <c r="K698" s="25" t="str">
        <f aca="false">IF($D698="","",N(G698)*IFERROR(INDEX(المنتجات!$H$5:$H$24,MATCH($D698,المنتجات!$A$5:$A$24,0)),0))</f>
        <v/>
      </c>
      <c r="L698" s="25" t="str">
        <f aca="false">IF($D698="","",J698-K698)</f>
        <v/>
      </c>
      <c r="M698" s="29"/>
      <c r="N698" s="29"/>
    </row>
    <row r="699" customFormat="false" ht="15" hidden="false" customHeight="false" outlineLevel="0" collapsed="false">
      <c r="A699" s="32"/>
      <c r="B699" s="29"/>
      <c r="C699" s="29"/>
      <c r="D699" s="29"/>
      <c r="E699" s="28" t="str">
        <f aca="false">IF($D699="","",IFERROR(INDEX(المنتجات!$C$5:$C$24,MATCH($D699,المنتجات!$A$5:$A$24,0)),"كود غير موجود"))</f>
        <v/>
      </c>
      <c r="F699" s="28" t="str">
        <f aca="false">IF($D699="","",IFERROR(INDEX(المنتجات!$B$5:$B$24,MATCH($D699,المنتجات!$A$5:$A$24,0)),""))</f>
        <v/>
      </c>
      <c r="G699" s="24"/>
      <c r="H699" s="25" t="str">
        <f aca="false">IF($D699="","",IFERROR(INDEX(المنتجات!$F$5:$F$24,MATCH($D699,المنتجات!$A$5:$A$24,0)),0))</f>
        <v/>
      </c>
      <c r="I699" s="30"/>
      <c r="J699" s="25" t="str">
        <f aca="false">IF($D699="","",N(G699)*H699-N(I699))</f>
        <v/>
      </c>
      <c r="K699" s="25" t="str">
        <f aca="false">IF($D699="","",N(G699)*IFERROR(INDEX(المنتجات!$H$5:$H$24,MATCH($D699,المنتجات!$A$5:$A$24,0)),0))</f>
        <v/>
      </c>
      <c r="L699" s="25" t="str">
        <f aca="false">IF($D699="","",J699-K699)</f>
        <v/>
      </c>
      <c r="M699" s="29"/>
      <c r="N699" s="29"/>
    </row>
    <row r="700" customFormat="false" ht="15" hidden="false" customHeight="false" outlineLevel="0" collapsed="false">
      <c r="A700" s="32"/>
      <c r="B700" s="29"/>
      <c r="C700" s="29"/>
      <c r="D700" s="29"/>
      <c r="E700" s="28" t="str">
        <f aca="false">IF($D700="","",IFERROR(INDEX(المنتجات!$C$5:$C$24,MATCH($D700,المنتجات!$A$5:$A$24,0)),"كود غير موجود"))</f>
        <v/>
      </c>
      <c r="F700" s="28" t="str">
        <f aca="false">IF($D700="","",IFERROR(INDEX(المنتجات!$B$5:$B$24,MATCH($D700,المنتجات!$A$5:$A$24,0)),""))</f>
        <v/>
      </c>
      <c r="G700" s="24"/>
      <c r="H700" s="25" t="str">
        <f aca="false">IF($D700="","",IFERROR(INDEX(المنتجات!$F$5:$F$24,MATCH($D700,المنتجات!$A$5:$A$24,0)),0))</f>
        <v/>
      </c>
      <c r="I700" s="30"/>
      <c r="J700" s="25" t="str">
        <f aca="false">IF($D700="","",N(G700)*H700-N(I700))</f>
        <v/>
      </c>
      <c r="K700" s="25" t="str">
        <f aca="false">IF($D700="","",N(G700)*IFERROR(INDEX(المنتجات!$H$5:$H$24,MATCH($D700,المنتجات!$A$5:$A$24,0)),0))</f>
        <v/>
      </c>
      <c r="L700" s="25" t="str">
        <f aca="false">IF($D700="","",J700-K700)</f>
        <v/>
      </c>
      <c r="M700" s="29"/>
      <c r="N700" s="29"/>
    </row>
    <row r="701" customFormat="false" ht="15" hidden="false" customHeight="false" outlineLevel="0" collapsed="false">
      <c r="A701" s="32"/>
      <c r="B701" s="29"/>
      <c r="C701" s="29"/>
      <c r="D701" s="29"/>
      <c r="E701" s="28" t="str">
        <f aca="false">IF($D701="","",IFERROR(INDEX(المنتجات!$C$5:$C$24,MATCH($D701,المنتجات!$A$5:$A$24,0)),"كود غير موجود"))</f>
        <v/>
      </c>
      <c r="F701" s="28" t="str">
        <f aca="false">IF($D701="","",IFERROR(INDEX(المنتجات!$B$5:$B$24,MATCH($D701,المنتجات!$A$5:$A$24,0)),""))</f>
        <v/>
      </c>
      <c r="G701" s="24"/>
      <c r="H701" s="25" t="str">
        <f aca="false">IF($D701="","",IFERROR(INDEX(المنتجات!$F$5:$F$24,MATCH($D701,المنتجات!$A$5:$A$24,0)),0))</f>
        <v/>
      </c>
      <c r="I701" s="30"/>
      <c r="J701" s="25" t="str">
        <f aca="false">IF($D701="","",N(G701)*H701-N(I701))</f>
        <v/>
      </c>
      <c r="K701" s="25" t="str">
        <f aca="false">IF($D701="","",N(G701)*IFERROR(INDEX(المنتجات!$H$5:$H$24,MATCH($D701,المنتجات!$A$5:$A$24,0)),0))</f>
        <v/>
      </c>
      <c r="L701" s="25" t="str">
        <f aca="false">IF($D701="","",J701-K701)</f>
        <v/>
      </c>
      <c r="M701" s="29"/>
      <c r="N701" s="29"/>
    </row>
    <row r="702" customFormat="false" ht="15" hidden="false" customHeight="false" outlineLevel="0" collapsed="false">
      <c r="A702" s="32"/>
      <c r="B702" s="29"/>
      <c r="C702" s="29"/>
      <c r="D702" s="29"/>
      <c r="E702" s="28" t="str">
        <f aca="false">IF($D702="","",IFERROR(INDEX(المنتجات!$C$5:$C$24,MATCH($D702,المنتجات!$A$5:$A$24,0)),"كود غير موجود"))</f>
        <v/>
      </c>
      <c r="F702" s="28" t="str">
        <f aca="false">IF($D702="","",IFERROR(INDEX(المنتجات!$B$5:$B$24,MATCH($D702,المنتجات!$A$5:$A$24,0)),""))</f>
        <v/>
      </c>
      <c r="G702" s="24"/>
      <c r="H702" s="25" t="str">
        <f aca="false">IF($D702="","",IFERROR(INDEX(المنتجات!$F$5:$F$24,MATCH($D702,المنتجات!$A$5:$A$24,0)),0))</f>
        <v/>
      </c>
      <c r="I702" s="30"/>
      <c r="J702" s="25" t="str">
        <f aca="false">IF($D702="","",N(G702)*H702-N(I702))</f>
        <v/>
      </c>
      <c r="K702" s="25" t="str">
        <f aca="false">IF($D702="","",N(G702)*IFERROR(INDEX(المنتجات!$H$5:$H$24,MATCH($D702,المنتجات!$A$5:$A$24,0)),0))</f>
        <v/>
      </c>
      <c r="L702" s="25" t="str">
        <f aca="false">IF($D702="","",J702-K702)</f>
        <v/>
      </c>
      <c r="M702" s="29"/>
      <c r="N702" s="29"/>
    </row>
    <row r="703" customFormat="false" ht="15" hidden="false" customHeight="false" outlineLevel="0" collapsed="false">
      <c r="A703" s="32"/>
      <c r="B703" s="29"/>
      <c r="C703" s="29"/>
      <c r="D703" s="29"/>
      <c r="E703" s="28" t="str">
        <f aca="false">IF($D703="","",IFERROR(INDEX(المنتجات!$C$5:$C$24,MATCH($D703,المنتجات!$A$5:$A$24,0)),"كود غير موجود"))</f>
        <v/>
      </c>
      <c r="F703" s="28" t="str">
        <f aca="false">IF($D703="","",IFERROR(INDEX(المنتجات!$B$5:$B$24,MATCH($D703,المنتجات!$A$5:$A$24,0)),""))</f>
        <v/>
      </c>
      <c r="G703" s="24"/>
      <c r="H703" s="25" t="str">
        <f aca="false">IF($D703="","",IFERROR(INDEX(المنتجات!$F$5:$F$24,MATCH($D703,المنتجات!$A$5:$A$24,0)),0))</f>
        <v/>
      </c>
      <c r="I703" s="30"/>
      <c r="J703" s="25" t="str">
        <f aca="false">IF($D703="","",N(G703)*H703-N(I703))</f>
        <v/>
      </c>
      <c r="K703" s="25" t="str">
        <f aca="false">IF($D703="","",N(G703)*IFERROR(INDEX(المنتجات!$H$5:$H$24,MATCH($D703,المنتجات!$A$5:$A$24,0)),0))</f>
        <v/>
      </c>
      <c r="L703" s="25" t="str">
        <f aca="false">IF($D703="","",J703-K703)</f>
        <v/>
      </c>
      <c r="M703" s="29"/>
      <c r="N703" s="29"/>
    </row>
    <row r="704" customFormat="false" ht="15" hidden="false" customHeight="false" outlineLevel="0" collapsed="false">
      <c r="A704" s="32"/>
      <c r="B704" s="29"/>
      <c r="C704" s="29"/>
      <c r="D704" s="29"/>
      <c r="E704" s="28" t="str">
        <f aca="false">IF($D704="","",IFERROR(INDEX(المنتجات!$C$5:$C$24,MATCH($D704,المنتجات!$A$5:$A$24,0)),"كود غير موجود"))</f>
        <v/>
      </c>
      <c r="F704" s="28" t="str">
        <f aca="false">IF($D704="","",IFERROR(INDEX(المنتجات!$B$5:$B$24,MATCH($D704,المنتجات!$A$5:$A$24,0)),""))</f>
        <v/>
      </c>
      <c r="G704" s="24"/>
      <c r="H704" s="25" t="str">
        <f aca="false">IF($D704="","",IFERROR(INDEX(المنتجات!$F$5:$F$24,MATCH($D704,المنتجات!$A$5:$A$24,0)),0))</f>
        <v/>
      </c>
      <c r="I704" s="30"/>
      <c r="J704" s="25" t="str">
        <f aca="false">IF($D704="","",N(G704)*H704-N(I704))</f>
        <v/>
      </c>
      <c r="K704" s="25" t="str">
        <f aca="false">IF($D704="","",N(G704)*IFERROR(INDEX(المنتجات!$H$5:$H$24,MATCH($D704,المنتجات!$A$5:$A$24,0)),0))</f>
        <v/>
      </c>
      <c r="L704" s="25" t="str">
        <f aca="false">IF($D704="","",J704-K704)</f>
        <v/>
      </c>
      <c r="M704" s="29"/>
      <c r="N704" s="29"/>
    </row>
    <row r="705" customFormat="false" ht="15" hidden="false" customHeight="false" outlineLevel="0" collapsed="false">
      <c r="A705" s="32"/>
      <c r="B705" s="29"/>
      <c r="C705" s="29"/>
      <c r="D705" s="29"/>
      <c r="E705" s="28" t="str">
        <f aca="false">IF($D705="","",IFERROR(INDEX(المنتجات!$C$5:$C$24,MATCH($D705,المنتجات!$A$5:$A$24,0)),"كود غير موجود"))</f>
        <v/>
      </c>
      <c r="F705" s="28" t="str">
        <f aca="false">IF($D705="","",IFERROR(INDEX(المنتجات!$B$5:$B$24,MATCH($D705,المنتجات!$A$5:$A$24,0)),""))</f>
        <v/>
      </c>
      <c r="G705" s="24"/>
      <c r="H705" s="25" t="str">
        <f aca="false">IF($D705="","",IFERROR(INDEX(المنتجات!$F$5:$F$24,MATCH($D705,المنتجات!$A$5:$A$24,0)),0))</f>
        <v/>
      </c>
      <c r="I705" s="30"/>
      <c r="J705" s="25" t="str">
        <f aca="false">IF($D705="","",N(G705)*H705-N(I705))</f>
        <v/>
      </c>
      <c r="K705" s="25" t="str">
        <f aca="false">IF($D705="","",N(G705)*IFERROR(INDEX(المنتجات!$H$5:$H$24,MATCH($D705,المنتجات!$A$5:$A$24,0)),0))</f>
        <v/>
      </c>
      <c r="L705" s="25" t="str">
        <f aca="false">IF($D705="","",J705-K705)</f>
        <v/>
      </c>
      <c r="M705" s="29"/>
      <c r="N705" s="29"/>
    </row>
    <row r="706" customFormat="false" ht="15" hidden="false" customHeight="false" outlineLevel="0" collapsed="false">
      <c r="A706" s="32"/>
      <c r="B706" s="29"/>
      <c r="C706" s="29"/>
      <c r="D706" s="29"/>
      <c r="E706" s="28" t="str">
        <f aca="false">IF($D706="","",IFERROR(INDEX(المنتجات!$C$5:$C$24,MATCH($D706,المنتجات!$A$5:$A$24,0)),"كود غير موجود"))</f>
        <v/>
      </c>
      <c r="F706" s="28" t="str">
        <f aca="false">IF($D706="","",IFERROR(INDEX(المنتجات!$B$5:$B$24,MATCH($D706,المنتجات!$A$5:$A$24,0)),""))</f>
        <v/>
      </c>
      <c r="G706" s="24"/>
      <c r="H706" s="25" t="str">
        <f aca="false">IF($D706="","",IFERROR(INDEX(المنتجات!$F$5:$F$24,MATCH($D706,المنتجات!$A$5:$A$24,0)),0))</f>
        <v/>
      </c>
      <c r="I706" s="30"/>
      <c r="J706" s="25" t="str">
        <f aca="false">IF($D706="","",N(G706)*H706-N(I706))</f>
        <v/>
      </c>
      <c r="K706" s="25" t="str">
        <f aca="false">IF($D706="","",N(G706)*IFERROR(INDEX(المنتجات!$H$5:$H$24,MATCH($D706,المنتجات!$A$5:$A$24,0)),0))</f>
        <v/>
      </c>
      <c r="L706" s="25" t="str">
        <f aca="false">IF($D706="","",J706-K706)</f>
        <v/>
      </c>
      <c r="M706" s="29"/>
      <c r="N706" s="29"/>
    </row>
    <row r="707" customFormat="false" ht="15" hidden="false" customHeight="false" outlineLevel="0" collapsed="false">
      <c r="A707" s="32"/>
      <c r="B707" s="29"/>
      <c r="C707" s="29"/>
      <c r="D707" s="29"/>
      <c r="E707" s="28" t="str">
        <f aca="false">IF($D707="","",IFERROR(INDEX(المنتجات!$C$5:$C$24,MATCH($D707,المنتجات!$A$5:$A$24,0)),"كود غير موجود"))</f>
        <v/>
      </c>
      <c r="F707" s="28" t="str">
        <f aca="false">IF($D707="","",IFERROR(INDEX(المنتجات!$B$5:$B$24,MATCH($D707,المنتجات!$A$5:$A$24,0)),""))</f>
        <v/>
      </c>
      <c r="G707" s="24"/>
      <c r="H707" s="25" t="str">
        <f aca="false">IF($D707="","",IFERROR(INDEX(المنتجات!$F$5:$F$24,MATCH($D707,المنتجات!$A$5:$A$24,0)),0))</f>
        <v/>
      </c>
      <c r="I707" s="30"/>
      <c r="J707" s="25" t="str">
        <f aca="false">IF($D707="","",N(G707)*H707-N(I707))</f>
        <v/>
      </c>
      <c r="K707" s="25" t="str">
        <f aca="false">IF($D707="","",N(G707)*IFERROR(INDEX(المنتجات!$H$5:$H$24,MATCH($D707,المنتجات!$A$5:$A$24,0)),0))</f>
        <v/>
      </c>
      <c r="L707" s="25" t="str">
        <f aca="false">IF($D707="","",J707-K707)</f>
        <v/>
      </c>
      <c r="M707" s="29"/>
      <c r="N707" s="29"/>
    </row>
    <row r="708" customFormat="false" ht="15" hidden="false" customHeight="false" outlineLevel="0" collapsed="false">
      <c r="A708" s="32"/>
      <c r="B708" s="29"/>
      <c r="C708" s="29"/>
      <c r="D708" s="29"/>
      <c r="E708" s="28" t="str">
        <f aca="false">IF($D708="","",IFERROR(INDEX(المنتجات!$C$5:$C$24,MATCH($D708,المنتجات!$A$5:$A$24,0)),"كود غير موجود"))</f>
        <v/>
      </c>
      <c r="F708" s="28" t="str">
        <f aca="false">IF($D708="","",IFERROR(INDEX(المنتجات!$B$5:$B$24,MATCH($D708,المنتجات!$A$5:$A$24,0)),""))</f>
        <v/>
      </c>
      <c r="G708" s="24"/>
      <c r="H708" s="25" t="str">
        <f aca="false">IF($D708="","",IFERROR(INDEX(المنتجات!$F$5:$F$24,MATCH($D708,المنتجات!$A$5:$A$24,0)),0))</f>
        <v/>
      </c>
      <c r="I708" s="30"/>
      <c r="J708" s="25" t="str">
        <f aca="false">IF($D708="","",N(G708)*H708-N(I708))</f>
        <v/>
      </c>
      <c r="K708" s="25" t="str">
        <f aca="false">IF($D708="","",N(G708)*IFERROR(INDEX(المنتجات!$H$5:$H$24,MATCH($D708,المنتجات!$A$5:$A$24,0)),0))</f>
        <v/>
      </c>
      <c r="L708" s="25" t="str">
        <f aca="false">IF($D708="","",J708-K708)</f>
        <v/>
      </c>
      <c r="M708" s="29"/>
      <c r="N708" s="29"/>
    </row>
    <row r="709" customFormat="false" ht="15" hidden="false" customHeight="false" outlineLevel="0" collapsed="false">
      <c r="A709" s="32"/>
      <c r="B709" s="29"/>
      <c r="C709" s="29"/>
      <c r="D709" s="29"/>
      <c r="E709" s="28" t="str">
        <f aca="false">IF($D709="","",IFERROR(INDEX(المنتجات!$C$5:$C$24,MATCH($D709,المنتجات!$A$5:$A$24,0)),"كود غير موجود"))</f>
        <v/>
      </c>
      <c r="F709" s="28" t="str">
        <f aca="false">IF($D709="","",IFERROR(INDEX(المنتجات!$B$5:$B$24,MATCH($D709,المنتجات!$A$5:$A$24,0)),""))</f>
        <v/>
      </c>
      <c r="G709" s="24"/>
      <c r="H709" s="25" t="str">
        <f aca="false">IF($D709="","",IFERROR(INDEX(المنتجات!$F$5:$F$24,MATCH($D709,المنتجات!$A$5:$A$24,0)),0))</f>
        <v/>
      </c>
      <c r="I709" s="30"/>
      <c r="J709" s="25" t="str">
        <f aca="false">IF($D709="","",N(G709)*H709-N(I709))</f>
        <v/>
      </c>
      <c r="K709" s="25" t="str">
        <f aca="false">IF($D709="","",N(G709)*IFERROR(INDEX(المنتجات!$H$5:$H$24,MATCH($D709,المنتجات!$A$5:$A$24,0)),0))</f>
        <v/>
      </c>
      <c r="L709" s="25" t="str">
        <f aca="false">IF($D709="","",J709-K709)</f>
        <v/>
      </c>
      <c r="M709" s="29"/>
      <c r="N709" s="29"/>
    </row>
    <row r="710" customFormat="false" ht="15" hidden="false" customHeight="false" outlineLevel="0" collapsed="false">
      <c r="A710" s="32"/>
      <c r="B710" s="29"/>
      <c r="C710" s="29"/>
      <c r="D710" s="29"/>
      <c r="E710" s="28" t="str">
        <f aca="false">IF($D710="","",IFERROR(INDEX(المنتجات!$C$5:$C$24,MATCH($D710,المنتجات!$A$5:$A$24,0)),"كود غير موجود"))</f>
        <v/>
      </c>
      <c r="F710" s="28" t="str">
        <f aca="false">IF($D710="","",IFERROR(INDEX(المنتجات!$B$5:$B$24,MATCH($D710,المنتجات!$A$5:$A$24,0)),""))</f>
        <v/>
      </c>
      <c r="G710" s="24"/>
      <c r="H710" s="25" t="str">
        <f aca="false">IF($D710="","",IFERROR(INDEX(المنتجات!$F$5:$F$24,MATCH($D710,المنتجات!$A$5:$A$24,0)),0))</f>
        <v/>
      </c>
      <c r="I710" s="30"/>
      <c r="J710" s="25" t="str">
        <f aca="false">IF($D710="","",N(G710)*H710-N(I710))</f>
        <v/>
      </c>
      <c r="K710" s="25" t="str">
        <f aca="false">IF($D710="","",N(G710)*IFERROR(INDEX(المنتجات!$H$5:$H$24,MATCH($D710,المنتجات!$A$5:$A$24,0)),0))</f>
        <v/>
      </c>
      <c r="L710" s="25" t="str">
        <f aca="false">IF($D710="","",J710-K710)</f>
        <v/>
      </c>
      <c r="M710" s="29"/>
      <c r="N710" s="29"/>
    </row>
    <row r="711" customFormat="false" ht="15" hidden="false" customHeight="false" outlineLevel="0" collapsed="false">
      <c r="A711" s="32"/>
      <c r="B711" s="29"/>
      <c r="C711" s="29"/>
      <c r="D711" s="29"/>
      <c r="E711" s="28" t="str">
        <f aca="false">IF($D711="","",IFERROR(INDEX(المنتجات!$C$5:$C$24,MATCH($D711,المنتجات!$A$5:$A$24,0)),"كود غير موجود"))</f>
        <v/>
      </c>
      <c r="F711" s="28" t="str">
        <f aca="false">IF($D711="","",IFERROR(INDEX(المنتجات!$B$5:$B$24,MATCH($D711,المنتجات!$A$5:$A$24,0)),""))</f>
        <v/>
      </c>
      <c r="G711" s="24"/>
      <c r="H711" s="25" t="str">
        <f aca="false">IF($D711="","",IFERROR(INDEX(المنتجات!$F$5:$F$24,MATCH($D711,المنتجات!$A$5:$A$24,0)),0))</f>
        <v/>
      </c>
      <c r="I711" s="30"/>
      <c r="J711" s="25" t="str">
        <f aca="false">IF($D711="","",N(G711)*H711-N(I711))</f>
        <v/>
      </c>
      <c r="K711" s="25" t="str">
        <f aca="false">IF($D711="","",N(G711)*IFERROR(INDEX(المنتجات!$H$5:$H$24,MATCH($D711,المنتجات!$A$5:$A$24,0)),0))</f>
        <v/>
      </c>
      <c r="L711" s="25" t="str">
        <f aca="false">IF($D711="","",J711-K711)</f>
        <v/>
      </c>
      <c r="M711" s="29"/>
      <c r="N711" s="29"/>
    </row>
    <row r="712" customFormat="false" ht="15" hidden="false" customHeight="false" outlineLevel="0" collapsed="false">
      <c r="A712" s="32"/>
      <c r="B712" s="29"/>
      <c r="C712" s="29"/>
      <c r="D712" s="29"/>
      <c r="E712" s="28" t="str">
        <f aca="false">IF($D712="","",IFERROR(INDEX(المنتجات!$C$5:$C$24,MATCH($D712,المنتجات!$A$5:$A$24,0)),"كود غير موجود"))</f>
        <v/>
      </c>
      <c r="F712" s="28" t="str">
        <f aca="false">IF($D712="","",IFERROR(INDEX(المنتجات!$B$5:$B$24,MATCH($D712,المنتجات!$A$5:$A$24,0)),""))</f>
        <v/>
      </c>
      <c r="G712" s="24"/>
      <c r="H712" s="25" t="str">
        <f aca="false">IF($D712="","",IFERROR(INDEX(المنتجات!$F$5:$F$24,MATCH($D712,المنتجات!$A$5:$A$24,0)),0))</f>
        <v/>
      </c>
      <c r="I712" s="30"/>
      <c r="J712" s="25" t="str">
        <f aca="false">IF($D712="","",N(G712)*H712-N(I712))</f>
        <v/>
      </c>
      <c r="K712" s="25" t="str">
        <f aca="false">IF($D712="","",N(G712)*IFERROR(INDEX(المنتجات!$H$5:$H$24,MATCH($D712,المنتجات!$A$5:$A$24,0)),0))</f>
        <v/>
      </c>
      <c r="L712" s="25" t="str">
        <f aca="false">IF($D712="","",J712-K712)</f>
        <v/>
      </c>
      <c r="M712" s="29"/>
      <c r="N712" s="29"/>
    </row>
    <row r="713" customFormat="false" ht="15" hidden="false" customHeight="false" outlineLevel="0" collapsed="false">
      <c r="A713" s="32"/>
      <c r="B713" s="29"/>
      <c r="C713" s="29"/>
      <c r="D713" s="29"/>
      <c r="E713" s="28" t="str">
        <f aca="false">IF($D713="","",IFERROR(INDEX(المنتجات!$C$5:$C$24,MATCH($D713,المنتجات!$A$5:$A$24,0)),"كود غير موجود"))</f>
        <v/>
      </c>
      <c r="F713" s="28" t="str">
        <f aca="false">IF($D713="","",IFERROR(INDEX(المنتجات!$B$5:$B$24,MATCH($D713,المنتجات!$A$5:$A$24,0)),""))</f>
        <v/>
      </c>
      <c r="G713" s="24"/>
      <c r="H713" s="25" t="str">
        <f aca="false">IF($D713="","",IFERROR(INDEX(المنتجات!$F$5:$F$24,MATCH($D713,المنتجات!$A$5:$A$24,0)),0))</f>
        <v/>
      </c>
      <c r="I713" s="30"/>
      <c r="J713" s="25" t="str">
        <f aca="false">IF($D713="","",N(G713)*H713-N(I713))</f>
        <v/>
      </c>
      <c r="K713" s="25" t="str">
        <f aca="false">IF($D713="","",N(G713)*IFERROR(INDEX(المنتجات!$H$5:$H$24,MATCH($D713,المنتجات!$A$5:$A$24,0)),0))</f>
        <v/>
      </c>
      <c r="L713" s="25" t="str">
        <f aca="false">IF($D713="","",J713-K713)</f>
        <v/>
      </c>
      <c r="M713" s="29"/>
      <c r="N713" s="29"/>
    </row>
    <row r="714" customFormat="false" ht="15" hidden="false" customHeight="false" outlineLevel="0" collapsed="false">
      <c r="A714" s="32"/>
      <c r="B714" s="29"/>
      <c r="C714" s="29"/>
      <c r="D714" s="29"/>
      <c r="E714" s="28" t="str">
        <f aca="false">IF($D714="","",IFERROR(INDEX(المنتجات!$C$5:$C$24,MATCH($D714,المنتجات!$A$5:$A$24,0)),"كود غير موجود"))</f>
        <v/>
      </c>
      <c r="F714" s="28" t="str">
        <f aca="false">IF($D714="","",IFERROR(INDEX(المنتجات!$B$5:$B$24,MATCH($D714,المنتجات!$A$5:$A$24,0)),""))</f>
        <v/>
      </c>
      <c r="G714" s="24"/>
      <c r="H714" s="25" t="str">
        <f aca="false">IF($D714="","",IFERROR(INDEX(المنتجات!$F$5:$F$24,MATCH($D714,المنتجات!$A$5:$A$24,0)),0))</f>
        <v/>
      </c>
      <c r="I714" s="30"/>
      <c r="J714" s="25" t="str">
        <f aca="false">IF($D714="","",N(G714)*H714-N(I714))</f>
        <v/>
      </c>
      <c r="K714" s="25" t="str">
        <f aca="false">IF($D714="","",N(G714)*IFERROR(INDEX(المنتجات!$H$5:$H$24,MATCH($D714,المنتجات!$A$5:$A$24,0)),0))</f>
        <v/>
      </c>
      <c r="L714" s="25" t="str">
        <f aca="false">IF($D714="","",J714-K714)</f>
        <v/>
      </c>
      <c r="M714" s="29"/>
      <c r="N714" s="29"/>
    </row>
    <row r="715" customFormat="false" ht="15" hidden="false" customHeight="false" outlineLevel="0" collapsed="false">
      <c r="A715" s="32"/>
      <c r="B715" s="29"/>
      <c r="C715" s="29"/>
      <c r="D715" s="29"/>
      <c r="E715" s="28" t="str">
        <f aca="false">IF($D715="","",IFERROR(INDEX(المنتجات!$C$5:$C$24,MATCH($D715,المنتجات!$A$5:$A$24,0)),"كود غير موجود"))</f>
        <v/>
      </c>
      <c r="F715" s="28" t="str">
        <f aca="false">IF($D715="","",IFERROR(INDEX(المنتجات!$B$5:$B$24,MATCH($D715,المنتجات!$A$5:$A$24,0)),""))</f>
        <v/>
      </c>
      <c r="G715" s="24"/>
      <c r="H715" s="25" t="str">
        <f aca="false">IF($D715="","",IFERROR(INDEX(المنتجات!$F$5:$F$24,MATCH($D715,المنتجات!$A$5:$A$24,0)),0))</f>
        <v/>
      </c>
      <c r="I715" s="30"/>
      <c r="J715" s="25" t="str">
        <f aca="false">IF($D715="","",N(G715)*H715-N(I715))</f>
        <v/>
      </c>
      <c r="K715" s="25" t="str">
        <f aca="false">IF($D715="","",N(G715)*IFERROR(INDEX(المنتجات!$H$5:$H$24,MATCH($D715,المنتجات!$A$5:$A$24,0)),0))</f>
        <v/>
      </c>
      <c r="L715" s="25" t="str">
        <f aca="false">IF($D715="","",J715-K715)</f>
        <v/>
      </c>
      <c r="M715" s="29"/>
      <c r="N715" s="29"/>
    </row>
    <row r="716" customFormat="false" ht="15" hidden="false" customHeight="false" outlineLevel="0" collapsed="false">
      <c r="A716" s="32"/>
      <c r="B716" s="29"/>
      <c r="C716" s="29"/>
      <c r="D716" s="29"/>
      <c r="E716" s="28" t="str">
        <f aca="false">IF($D716="","",IFERROR(INDEX(المنتجات!$C$5:$C$24,MATCH($D716,المنتجات!$A$5:$A$24,0)),"كود غير موجود"))</f>
        <v/>
      </c>
      <c r="F716" s="28" t="str">
        <f aca="false">IF($D716="","",IFERROR(INDEX(المنتجات!$B$5:$B$24,MATCH($D716,المنتجات!$A$5:$A$24,0)),""))</f>
        <v/>
      </c>
      <c r="G716" s="24"/>
      <c r="H716" s="25" t="str">
        <f aca="false">IF($D716="","",IFERROR(INDEX(المنتجات!$F$5:$F$24,MATCH($D716,المنتجات!$A$5:$A$24,0)),0))</f>
        <v/>
      </c>
      <c r="I716" s="30"/>
      <c r="J716" s="25" t="str">
        <f aca="false">IF($D716="","",N(G716)*H716-N(I716))</f>
        <v/>
      </c>
      <c r="K716" s="25" t="str">
        <f aca="false">IF($D716="","",N(G716)*IFERROR(INDEX(المنتجات!$H$5:$H$24,MATCH($D716,المنتجات!$A$5:$A$24,0)),0))</f>
        <v/>
      </c>
      <c r="L716" s="25" t="str">
        <f aca="false">IF($D716="","",J716-K716)</f>
        <v/>
      </c>
      <c r="M716" s="29"/>
      <c r="N716" s="29"/>
    </row>
    <row r="717" customFormat="false" ht="15" hidden="false" customHeight="false" outlineLevel="0" collapsed="false">
      <c r="A717" s="32"/>
      <c r="B717" s="29"/>
      <c r="C717" s="29"/>
      <c r="D717" s="29"/>
      <c r="E717" s="28" t="str">
        <f aca="false">IF($D717="","",IFERROR(INDEX(المنتجات!$C$5:$C$24,MATCH($D717,المنتجات!$A$5:$A$24,0)),"كود غير موجود"))</f>
        <v/>
      </c>
      <c r="F717" s="28" t="str">
        <f aca="false">IF($D717="","",IFERROR(INDEX(المنتجات!$B$5:$B$24,MATCH($D717,المنتجات!$A$5:$A$24,0)),""))</f>
        <v/>
      </c>
      <c r="G717" s="24"/>
      <c r="H717" s="25" t="str">
        <f aca="false">IF($D717="","",IFERROR(INDEX(المنتجات!$F$5:$F$24,MATCH($D717,المنتجات!$A$5:$A$24,0)),0))</f>
        <v/>
      </c>
      <c r="I717" s="30"/>
      <c r="J717" s="25" t="str">
        <f aca="false">IF($D717="","",N(G717)*H717-N(I717))</f>
        <v/>
      </c>
      <c r="K717" s="25" t="str">
        <f aca="false">IF($D717="","",N(G717)*IFERROR(INDEX(المنتجات!$H$5:$H$24,MATCH($D717,المنتجات!$A$5:$A$24,0)),0))</f>
        <v/>
      </c>
      <c r="L717" s="25" t="str">
        <f aca="false">IF($D717="","",J717-K717)</f>
        <v/>
      </c>
      <c r="M717" s="29"/>
      <c r="N717" s="29"/>
    </row>
    <row r="718" customFormat="false" ht="15" hidden="false" customHeight="false" outlineLevel="0" collapsed="false">
      <c r="A718" s="32"/>
      <c r="B718" s="29"/>
      <c r="C718" s="29"/>
      <c r="D718" s="29"/>
      <c r="E718" s="28" t="str">
        <f aca="false">IF($D718="","",IFERROR(INDEX(المنتجات!$C$5:$C$24,MATCH($D718,المنتجات!$A$5:$A$24,0)),"كود غير موجود"))</f>
        <v/>
      </c>
      <c r="F718" s="28" t="str">
        <f aca="false">IF($D718="","",IFERROR(INDEX(المنتجات!$B$5:$B$24,MATCH($D718,المنتجات!$A$5:$A$24,0)),""))</f>
        <v/>
      </c>
      <c r="G718" s="24"/>
      <c r="H718" s="25" t="str">
        <f aca="false">IF($D718="","",IFERROR(INDEX(المنتجات!$F$5:$F$24,MATCH($D718,المنتجات!$A$5:$A$24,0)),0))</f>
        <v/>
      </c>
      <c r="I718" s="30"/>
      <c r="J718" s="25" t="str">
        <f aca="false">IF($D718="","",N(G718)*H718-N(I718))</f>
        <v/>
      </c>
      <c r="K718" s="25" t="str">
        <f aca="false">IF($D718="","",N(G718)*IFERROR(INDEX(المنتجات!$H$5:$H$24,MATCH($D718,المنتجات!$A$5:$A$24,0)),0))</f>
        <v/>
      </c>
      <c r="L718" s="25" t="str">
        <f aca="false">IF($D718="","",J718-K718)</f>
        <v/>
      </c>
      <c r="M718" s="29"/>
      <c r="N718" s="29"/>
    </row>
    <row r="719" customFormat="false" ht="15" hidden="false" customHeight="false" outlineLevel="0" collapsed="false">
      <c r="A719" s="32"/>
      <c r="B719" s="29"/>
      <c r="C719" s="29"/>
      <c r="D719" s="29"/>
      <c r="E719" s="28" t="str">
        <f aca="false">IF($D719="","",IFERROR(INDEX(المنتجات!$C$5:$C$24,MATCH($D719,المنتجات!$A$5:$A$24,0)),"كود غير موجود"))</f>
        <v/>
      </c>
      <c r="F719" s="28" t="str">
        <f aca="false">IF($D719="","",IFERROR(INDEX(المنتجات!$B$5:$B$24,MATCH($D719,المنتجات!$A$5:$A$24,0)),""))</f>
        <v/>
      </c>
      <c r="G719" s="24"/>
      <c r="H719" s="25" t="str">
        <f aca="false">IF($D719="","",IFERROR(INDEX(المنتجات!$F$5:$F$24,MATCH($D719,المنتجات!$A$5:$A$24,0)),0))</f>
        <v/>
      </c>
      <c r="I719" s="30"/>
      <c r="J719" s="25" t="str">
        <f aca="false">IF($D719="","",N(G719)*H719-N(I719))</f>
        <v/>
      </c>
      <c r="K719" s="25" t="str">
        <f aca="false">IF($D719="","",N(G719)*IFERROR(INDEX(المنتجات!$H$5:$H$24,MATCH($D719,المنتجات!$A$5:$A$24,0)),0))</f>
        <v/>
      </c>
      <c r="L719" s="25" t="str">
        <f aca="false">IF($D719="","",J719-K719)</f>
        <v/>
      </c>
      <c r="M719" s="29"/>
      <c r="N719" s="29"/>
    </row>
    <row r="720" customFormat="false" ht="15" hidden="false" customHeight="false" outlineLevel="0" collapsed="false">
      <c r="A720" s="32"/>
      <c r="B720" s="29"/>
      <c r="C720" s="29"/>
      <c r="D720" s="29"/>
      <c r="E720" s="28" t="str">
        <f aca="false">IF($D720="","",IFERROR(INDEX(المنتجات!$C$5:$C$24,MATCH($D720,المنتجات!$A$5:$A$24,0)),"كود غير موجود"))</f>
        <v/>
      </c>
      <c r="F720" s="28" t="str">
        <f aca="false">IF($D720="","",IFERROR(INDEX(المنتجات!$B$5:$B$24,MATCH($D720,المنتجات!$A$5:$A$24,0)),""))</f>
        <v/>
      </c>
      <c r="G720" s="24"/>
      <c r="H720" s="25" t="str">
        <f aca="false">IF($D720="","",IFERROR(INDEX(المنتجات!$F$5:$F$24,MATCH($D720,المنتجات!$A$5:$A$24,0)),0))</f>
        <v/>
      </c>
      <c r="I720" s="30"/>
      <c r="J720" s="25" t="str">
        <f aca="false">IF($D720="","",N(G720)*H720-N(I720))</f>
        <v/>
      </c>
      <c r="K720" s="25" t="str">
        <f aca="false">IF($D720="","",N(G720)*IFERROR(INDEX(المنتجات!$H$5:$H$24,MATCH($D720,المنتجات!$A$5:$A$24,0)),0))</f>
        <v/>
      </c>
      <c r="L720" s="25" t="str">
        <f aca="false">IF($D720="","",J720-K720)</f>
        <v/>
      </c>
      <c r="M720" s="29"/>
      <c r="N720" s="29"/>
    </row>
    <row r="721" customFormat="false" ht="15" hidden="false" customHeight="false" outlineLevel="0" collapsed="false">
      <c r="A721" s="32"/>
      <c r="B721" s="29"/>
      <c r="C721" s="29"/>
      <c r="D721" s="29"/>
      <c r="E721" s="28" t="str">
        <f aca="false">IF($D721="","",IFERROR(INDEX(المنتجات!$C$5:$C$24,MATCH($D721,المنتجات!$A$5:$A$24,0)),"كود غير موجود"))</f>
        <v/>
      </c>
      <c r="F721" s="28" t="str">
        <f aca="false">IF($D721="","",IFERROR(INDEX(المنتجات!$B$5:$B$24,MATCH($D721,المنتجات!$A$5:$A$24,0)),""))</f>
        <v/>
      </c>
      <c r="G721" s="24"/>
      <c r="H721" s="25" t="str">
        <f aca="false">IF($D721="","",IFERROR(INDEX(المنتجات!$F$5:$F$24,MATCH($D721,المنتجات!$A$5:$A$24,0)),0))</f>
        <v/>
      </c>
      <c r="I721" s="30"/>
      <c r="J721" s="25" t="str">
        <f aca="false">IF($D721="","",N(G721)*H721-N(I721))</f>
        <v/>
      </c>
      <c r="K721" s="25" t="str">
        <f aca="false">IF($D721="","",N(G721)*IFERROR(INDEX(المنتجات!$H$5:$H$24,MATCH($D721,المنتجات!$A$5:$A$24,0)),0))</f>
        <v/>
      </c>
      <c r="L721" s="25" t="str">
        <f aca="false">IF($D721="","",J721-K721)</f>
        <v/>
      </c>
      <c r="M721" s="29"/>
      <c r="N721" s="29"/>
    </row>
    <row r="722" customFormat="false" ht="15" hidden="false" customHeight="false" outlineLevel="0" collapsed="false">
      <c r="A722" s="32"/>
      <c r="B722" s="29"/>
      <c r="C722" s="29"/>
      <c r="D722" s="29"/>
      <c r="E722" s="28" t="str">
        <f aca="false">IF($D722="","",IFERROR(INDEX(المنتجات!$C$5:$C$24,MATCH($D722,المنتجات!$A$5:$A$24,0)),"كود غير موجود"))</f>
        <v/>
      </c>
      <c r="F722" s="28" t="str">
        <f aca="false">IF($D722="","",IFERROR(INDEX(المنتجات!$B$5:$B$24,MATCH($D722,المنتجات!$A$5:$A$24,0)),""))</f>
        <v/>
      </c>
      <c r="G722" s="24"/>
      <c r="H722" s="25" t="str">
        <f aca="false">IF($D722="","",IFERROR(INDEX(المنتجات!$F$5:$F$24,MATCH($D722,المنتجات!$A$5:$A$24,0)),0))</f>
        <v/>
      </c>
      <c r="I722" s="30"/>
      <c r="J722" s="25" t="str">
        <f aca="false">IF($D722="","",N(G722)*H722-N(I722))</f>
        <v/>
      </c>
      <c r="K722" s="25" t="str">
        <f aca="false">IF($D722="","",N(G722)*IFERROR(INDEX(المنتجات!$H$5:$H$24,MATCH($D722,المنتجات!$A$5:$A$24,0)),0))</f>
        <v/>
      </c>
      <c r="L722" s="25" t="str">
        <f aca="false">IF($D722="","",J722-K722)</f>
        <v/>
      </c>
      <c r="M722" s="29"/>
      <c r="N722" s="29"/>
    </row>
    <row r="723" customFormat="false" ht="15" hidden="false" customHeight="false" outlineLevel="0" collapsed="false">
      <c r="A723" s="32"/>
      <c r="B723" s="29"/>
      <c r="C723" s="29"/>
      <c r="D723" s="29"/>
      <c r="E723" s="28" t="str">
        <f aca="false">IF($D723="","",IFERROR(INDEX(المنتجات!$C$5:$C$24,MATCH($D723,المنتجات!$A$5:$A$24,0)),"كود غير موجود"))</f>
        <v/>
      </c>
      <c r="F723" s="28" t="str">
        <f aca="false">IF($D723="","",IFERROR(INDEX(المنتجات!$B$5:$B$24,MATCH($D723,المنتجات!$A$5:$A$24,0)),""))</f>
        <v/>
      </c>
      <c r="G723" s="24"/>
      <c r="H723" s="25" t="str">
        <f aca="false">IF($D723="","",IFERROR(INDEX(المنتجات!$F$5:$F$24,MATCH($D723,المنتجات!$A$5:$A$24,0)),0))</f>
        <v/>
      </c>
      <c r="I723" s="30"/>
      <c r="J723" s="25" t="str">
        <f aca="false">IF($D723="","",N(G723)*H723-N(I723))</f>
        <v/>
      </c>
      <c r="K723" s="25" t="str">
        <f aca="false">IF($D723="","",N(G723)*IFERROR(INDEX(المنتجات!$H$5:$H$24,MATCH($D723,المنتجات!$A$5:$A$24,0)),0))</f>
        <v/>
      </c>
      <c r="L723" s="25" t="str">
        <f aca="false">IF($D723="","",J723-K723)</f>
        <v/>
      </c>
      <c r="M723" s="29"/>
      <c r="N723" s="29"/>
    </row>
    <row r="724" customFormat="false" ht="15" hidden="false" customHeight="false" outlineLevel="0" collapsed="false">
      <c r="A724" s="32"/>
      <c r="B724" s="29"/>
      <c r="C724" s="29"/>
      <c r="D724" s="29"/>
      <c r="E724" s="28" t="str">
        <f aca="false">IF($D724="","",IFERROR(INDEX(المنتجات!$C$5:$C$24,MATCH($D724,المنتجات!$A$5:$A$24,0)),"كود غير موجود"))</f>
        <v/>
      </c>
      <c r="F724" s="28" t="str">
        <f aca="false">IF($D724="","",IFERROR(INDEX(المنتجات!$B$5:$B$24,MATCH($D724,المنتجات!$A$5:$A$24,0)),""))</f>
        <v/>
      </c>
      <c r="G724" s="24"/>
      <c r="H724" s="25" t="str">
        <f aca="false">IF($D724="","",IFERROR(INDEX(المنتجات!$F$5:$F$24,MATCH($D724,المنتجات!$A$5:$A$24,0)),0))</f>
        <v/>
      </c>
      <c r="I724" s="30"/>
      <c r="J724" s="25" t="str">
        <f aca="false">IF($D724="","",N(G724)*H724-N(I724))</f>
        <v/>
      </c>
      <c r="K724" s="25" t="str">
        <f aca="false">IF($D724="","",N(G724)*IFERROR(INDEX(المنتجات!$H$5:$H$24,MATCH($D724,المنتجات!$A$5:$A$24,0)),0))</f>
        <v/>
      </c>
      <c r="L724" s="25" t="str">
        <f aca="false">IF($D724="","",J724-K724)</f>
        <v/>
      </c>
      <c r="M724" s="29"/>
      <c r="N724" s="29"/>
    </row>
    <row r="725" customFormat="false" ht="15" hidden="false" customHeight="false" outlineLevel="0" collapsed="false">
      <c r="A725" s="32"/>
      <c r="B725" s="29"/>
      <c r="C725" s="29"/>
      <c r="D725" s="29"/>
      <c r="E725" s="28" t="str">
        <f aca="false">IF($D725="","",IFERROR(INDEX(المنتجات!$C$5:$C$24,MATCH($D725,المنتجات!$A$5:$A$24,0)),"كود غير موجود"))</f>
        <v/>
      </c>
      <c r="F725" s="28" t="str">
        <f aca="false">IF($D725="","",IFERROR(INDEX(المنتجات!$B$5:$B$24,MATCH($D725,المنتجات!$A$5:$A$24,0)),""))</f>
        <v/>
      </c>
      <c r="G725" s="24"/>
      <c r="H725" s="25" t="str">
        <f aca="false">IF($D725="","",IFERROR(INDEX(المنتجات!$F$5:$F$24,MATCH($D725,المنتجات!$A$5:$A$24,0)),0))</f>
        <v/>
      </c>
      <c r="I725" s="30"/>
      <c r="J725" s="25" t="str">
        <f aca="false">IF($D725="","",N(G725)*H725-N(I725))</f>
        <v/>
      </c>
      <c r="K725" s="25" t="str">
        <f aca="false">IF($D725="","",N(G725)*IFERROR(INDEX(المنتجات!$H$5:$H$24,MATCH($D725,المنتجات!$A$5:$A$24,0)),0))</f>
        <v/>
      </c>
      <c r="L725" s="25" t="str">
        <f aca="false">IF($D725="","",J725-K725)</f>
        <v/>
      </c>
      <c r="M725" s="29"/>
      <c r="N725" s="29"/>
    </row>
    <row r="726" customFormat="false" ht="15" hidden="false" customHeight="false" outlineLevel="0" collapsed="false">
      <c r="A726" s="32"/>
      <c r="B726" s="29"/>
      <c r="C726" s="29"/>
      <c r="D726" s="29"/>
      <c r="E726" s="28" t="str">
        <f aca="false">IF($D726="","",IFERROR(INDEX(المنتجات!$C$5:$C$24,MATCH($D726,المنتجات!$A$5:$A$24,0)),"كود غير موجود"))</f>
        <v/>
      </c>
      <c r="F726" s="28" t="str">
        <f aca="false">IF($D726="","",IFERROR(INDEX(المنتجات!$B$5:$B$24,MATCH($D726,المنتجات!$A$5:$A$24,0)),""))</f>
        <v/>
      </c>
      <c r="G726" s="24"/>
      <c r="H726" s="25" t="str">
        <f aca="false">IF($D726="","",IFERROR(INDEX(المنتجات!$F$5:$F$24,MATCH($D726,المنتجات!$A$5:$A$24,0)),0))</f>
        <v/>
      </c>
      <c r="I726" s="30"/>
      <c r="J726" s="25" t="str">
        <f aca="false">IF($D726="","",N(G726)*H726-N(I726))</f>
        <v/>
      </c>
      <c r="K726" s="25" t="str">
        <f aca="false">IF($D726="","",N(G726)*IFERROR(INDEX(المنتجات!$H$5:$H$24,MATCH($D726,المنتجات!$A$5:$A$24,0)),0))</f>
        <v/>
      </c>
      <c r="L726" s="25" t="str">
        <f aca="false">IF($D726="","",J726-K726)</f>
        <v/>
      </c>
      <c r="M726" s="29"/>
      <c r="N726" s="29"/>
    </row>
    <row r="727" customFormat="false" ht="15" hidden="false" customHeight="false" outlineLevel="0" collapsed="false">
      <c r="A727" s="32"/>
      <c r="B727" s="29"/>
      <c r="C727" s="29"/>
      <c r="D727" s="29"/>
      <c r="E727" s="28" t="str">
        <f aca="false">IF($D727="","",IFERROR(INDEX(المنتجات!$C$5:$C$24,MATCH($D727,المنتجات!$A$5:$A$24,0)),"كود غير موجود"))</f>
        <v/>
      </c>
      <c r="F727" s="28" t="str">
        <f aca="false">IF($D727="","",IFERROR(INDEX(المنتجات!$B$5:$B$24,MATCH($D727,المنتجات!$A$5:$A$24,0)),""))</f>
        <v/>
      </c>
      <c r="G727" s="24"/>
      <c r="H727" s="25" t="str">
        <f aca="false">IF($D727="","",IFERROR(INDEX(المنتجات!$F$5:$F$24,MATCH($D727,المنتجات!$A$5:$A$24,0)),0))</f>
        <v/>
      </c>
      <c r="I727" s="30"/>
      <c r="J727" s="25" t="str">
        <f aca="false">IF($D727="","",N(G727)*H727-N(I727))</f>
        <v/>
      </c>
      <c r="K727" s="25" t="str">
        <f aca="false">IF($D727="","",N(G727)*IFERROR(INDEX(المنتجات!$H$5:$H$24,MATCH($D727,المنتجات!$A$5:$A$24,0)),0))</f>
        <v/>
      </c>
      <c r="L727" s="25" t="str">
        <f aca="false">IF($D727="","",J727-K727)</f>
        <v/>
      </c>
      <c r="M727" s="29"/>
      <c r="N727" s="29"/>
    </row>
    <row r="728" customFormat="false" ht="15" hidden="false" customHeight="false" outlineLevel="0" collapsed="false">
      <c r="A728" s="32"/>
      <c r="B728" s="29"/>
      <c r="C728" s="29"/>
      <c r="D728" s="29"/>
      <c r="E728" s="28" t="str">
        <f aca="false">IF($D728="","",IFERROR(INDEX(المنتجات!$C$5:$C$24,MATCH($D728,المنتجات!$A$5:$A$24,0)),"كود غير موجود"))</f>
        <v/>
      </c>
      <c r="F728" s="28" t="str">
        <f aca="false">IF($D728="","",IFERROR(INDEX(المنتجات!$B$5:$B$24,MATCH($D728,المنتجات!$A$5:$A$24,0)),""))</f>
        <v/>
      </c>
      <c r="G728" s="24"/>
      <c r="H728" s="25" t="str">
        <f aca="false">IF($D728="","",IFERROR(INDEX(المنتجات!$F$5:$F$24,MATCH($D728,المنتجات!$A$5:$A$24,0)),0))</f>
        <v/>
      </c>
      <c r="I728" s="30"/>
      <c r="J728" s="25" t="str">
        <f aca="false">IF($D728="","",N(G728)*H728-N(I728))</f>
        <v/>
      </c>
      <c r="K728" s="25" t="str">
        <f aca="false">IF($D728="","",N(G728)*IFERROR(INDEX(المنتجات!$H$5:$H$24,MATCH($D728,المنتجات!$A$5:$A$24,0)),0))</f>
        <v/>
      </c>
      <c r="L728" s="25" t="str">
        <f aca="false">IF($D728="","",J728-K728)</f>
        <v/>
      </c>
      <c r="M728" s="29"/>
      <c r="N728" s="29"/>
    </row>
    <row r="729" customFormat="false" ht="15" hidden="false" customHeight="false" outlineLevel="0" collapsed="false">
      <c r="A729" s="32"/>
      <c r="B729" s="29"/>
      <c r="C729" s="29"/>
      <c r="D729" s="29"/>
      <c r="E729" s="28" t="str">
        <f aca="false">IF($D729="","",IFERROR(INDEX(المنتجات!$C$5:$C$24,MATCH($D729,المنتجات!$A$5:$A$24,0)),"كود غير موجود"))</f>
        <v/>
      </c>
      <c r="F729" s="28" t="str">
        <f aca="false">IF($D729="","",IFERROR(INDEX(المنتجات!$B$5:$B$24,MATCH($D729,المنتجات!$A$5:$A$24,0)),""))</f>
        <v/>
      </c>
      <c r="G729" s="24"/>
      <c r="H729" s="25" t="str">
        <f aca="false">IF($D729="","",IFERROR(INDEX(المنتجات!$F$5:$F$24,MATCH($D729,المنتجات!$A$5:$A$24,0)),0))</f>
        <v/>
      </c>
      <c r="I729" s="30"/>
      <c r="J729" s="25" t="str">
        <f aca="false">IF($D729="","",N(G729)*H729-N(I729))</f>
        <v/>
      </c>
      <c r="K729" s="25" t="str">
        <f aca="false">IF($D729="","",N(G729)*IFERROR(INDEX(المنتجات!$H$5:$H$24,MATCH($D729,المنتجات!$A$5:$A$24,0)),0))</f>
        <v/>
      </c>
      <c r="L729" s="25" t="str">
        <f aca="false">IF($D729="","",J729-K729)</f>
        <v/>
      </c>
      <c r="M729" s="29"/>
      <c r="N729" s="29"/>
    </row>
    <row r="730" customFormat="false" ht="15" hidden="false" customHeight="false" outlineLevel="0" collapsed="false">
      <c r="A730" s="32"/>
      <c r="B730" s="29"/>
      <c r="C730" s="29"/>
      <c r="D730" s="29"/>
      <c r="E730" s="28" t="str">
        <f aca="false">IF($D730="","",IFERROR(INDEX(المنتجات!$C$5:$C$24,MATCH($D730,المنتجات!$A$5:$A$24,0)),"كود غير موجود"))</f>
        <v/>
      </c>
      <c r="F730" s="28" t="str">
        <f aca="false">IF($D730="","",IFERROR(INDEX(المنتجات!$B$5:$B$24,MATCH($D730,المنتجات!$A$5:$A$24,0)),""))</f>
        <v/>
      </c>
      <c r="G730" s="24"/>
      <c r="H730" s="25" t="str">
        <f aca="false">IF($D730="","",IFERROR(INDEX(المنتجات!$F$5:$F$24,MATCH($D730,المنتجات!$A$5:$A$24,0)),0))</f>
        <v/>
      </c>
      <c r="I730" s="30"/>
      <c r="J730" s="25" t="str">
        <f aca="false">IF($D730="","",N(G730)*H730-N(I730))</f>
        <v/>
      </c>
      <c r="K730" s="25" t="str">
        <f aca="false">IF($D730="","",N(G730)*IFERROR(INDEX(المنتجات!$H$5:$H$24,MATCH($D730,المنتجات!$A$5:$A$24,0)),0))</f>
        <v/>
      </c>
      <c r="L730" s="25" t="str">
        <f aca="false">IF($D730="","",J730-K730)</f>
        <v/>
      </c>
      <c r="M730" s="29"/>
      <c r="N730" s="29"/>
    </row>
    <row r="731" customFormat="false" ht="15" hidden="false" customHeight="false" outlineLevel="0" collapsed="false">
      <c r="A731" s="32"/>
      <c r="B731" s="29"/>
      <c r="C731" s="29"/>
      <c r="D731" s="29"/>
      <c r="E731" s="28" t="str">
        <f aca="false">IF($D731="","",IFERROR(INDEX(المنتجات!$C$5:$C$24,MATCH($D731,المنتجات!$A$5:$A$24,0)),"كود غير موجود"))</f>
        <v/>
      </c>
      <c r="F731" s="28" t="str">
        <f aca="false">IF($D731="","",IFERROR(INDEX(المنتجات!$B$5:$B$24,MATCH($D731,المنتجات!$A$5:$A$24,0)),""))</f>
        <v/>
      </c>
      <c r="G731" s="24"/>
      <c r="H731" s="25" t="str">
        <f aca="false">IF($D731="","",IFERROR(INDEX(المنتجات!$F$5:$F$24,MATCH($D731,المنتجات!$A$5:$A$24,0)),0))</f>
        <v/>
      </c>
      <c r="I731" s="30"/>
      <c r="J731" s="25" t="str">
        <f aca="false">IF($D731="","",N(G731)*H731-N(I731))</f>
        <v/>
      </c>
      <c r="K731" s="25" t="str">
        <f aca="false">IF($D731="","",N(G731)*IFERROR(INDEX(المنتجات!$H$5:$H$24,MATCH($D731,المنتجات!$A$5:$A$24,0)),0))</f>
        <v/>
      </c>
      <c r="L731" s="25" t="str">
        <f aca="false">IF($D731="","",J731-K731)</f>
        <v/>
      </c>
      <c r="M731" s="29"/>
      <c r="N731" s="29"/>
    </row>
    <row r="732" customFormat="false" ht="15" hidden="false" customHeight="false" outlineLevel="0" collapsed="false">
      <c r="A732" s="32"/>
      <c r="B732" s="29"/>
      <c r="C732" s="29"/>
      <c r="D732" s="29"/>
      <c r="E732" s="28" t="str">
        <f aca="false">IF($D732="","",IFERROR(INDEX(المنتجات!$C$5:$C$24,MATCH($D732,المنتجات!$A$5:$A$24,0)),"كود غير موجود"))</f>
        <v/>
      </c>
      <c r="F732" s="28" t="str">
        <f aca="false">IF($D732="","",IFERROR(INDEX(المنتجات!$B$5:$B$24,MATCH($D732,المنتجات!$A$5:$A$24,0)),""))</f>
        <v/>
      </c>
      <c r="G732" s="24"/>
      <c r="H732" s="25" t="str">
        <f aca="false">IF($D732="","",IFERROR(INDEX(المنتجات!$F$5:$F$24,MATCH($D732,المنتجات!$A$5:$A$24,0)),0))</f>
        <v/>
      </c>
      <c r="I732" s="30"/>
      <c r="J732" s="25" t="str">
        <f aca="false">IF($D732="","",N(G732)*H732-N(I732))</f>
        <v/>
      </c>
      <c r="K732" s="25" t="str">
        <f aca="false">IF($D732="","",N(G732)*IFERROR(INDEX(المنتجات!$H$5:$H$24,MATCH($D732,المنتجات!$A$5:$A$24,0)),0))</f>
        <v/>
      </c>
      <c r="L732" s="25" t="str">
        <f aca="false">IF($D732="","",J732-K732)</f>
        <v/>
      </c>
      <c r="M732" s="29"/>
      <c r="N732" s="29"/>
    </row>
    <row r="733" customFormat="false" ht="15" hidden="false" customHeight="false" outlineLevel="0" collapsed="false">
      <c r="A733" s="32"/>
      <c r="B733" s="29"/>
      <c r="C733" s="29"/>
      <c r="D733" s="29"/>
      <c r="E733" s="28" t="str">
        <f aca="false">IF($D733="","",IFERROR(INDEX(المنتجات!$C$5:$C$24,MATCH($D733,المنتجات!$A$5:$A$24,0)),"كود غير موجود"))</f>
        <v/>
      </c>
      <c r="F733" s="28" t="str">
        <f aca="false">IF($D733="","",IFERROR(INDEX(المنتجات!$B$5:$B$24,MATCH($D733,المنتجات!$A$5:$A$24,0)),""))</f>
        <v/>
      </c>
      <c r="G733" s="24"/>
      <c r="H733" s="25" t="str">
        <f aca="false">IF($D733="","",IFERROR(INDEX(المنتجات!$F$5:$F$24,MATCH($D733,المنتجات!$A$5:$A$24,0)),0))</f>
        <v/>
      </c>
      <c r="I733" s="30"/>
      <c r="J733" s="25" t="str">
        <f aca="false">IF($D733="","",N(G733)*H733-N(I733))</f>
        <v/>
      </c>
      <c r="K733" s="25" t="str">
        <f aca="false">IF($D733="","",N(G733)*IFERROR(INDEX(المنتجات!$H$5:$H$24,MATCH($D733,المنتجات!$A$5:$A$24,0)),0))</f>
        <v/>
      </c>
      <c r="L733" s="25" t="str">
        <f aca="false">IF($D733="","",J733-K733)</f>
        <v/>
      </c>
      <c r="M733" s="29"/>
      <c r="N733" s="29"/>
    </row>
    <row r="734" customFormat="false" ht="15" hidden="false" customHeight="false" outlineLevel="0" collapsed="false">
      <c r="A734" s="32"/>
      <c r="B734" s="29"/>
      <c r="C734" s="29"/>
      <c r="D734" s="29"/>
      <c r="E734" s="28" t="str">
        <f aca="false">IF($D734="","",IFERROR(INDEX(المنتجات!$C$5:$C$24,MATCH($D734,المنتجات!$A$5:$A$24,0)),"كود غير موجود"))</f>
        <v/>
      </c>
      <c r="F734" s="28" t="str">
        <f aca="false">IF($D734="","",IFERROR(INDEX(المنتجات!$B$5:$B$24,MATCH($D734,المنتجات!$A$5:$A$24,0)),""))</f>
        <v/>
      </c>
      <c r="G734" s="24"/>
      <c r="H734" s="25" t="str">
        <f aca="false">IF($D734="","",IFERROR(INDEX(المنتجات!$F$5:$F$24,MATCH($D734,المنتجات!$A$5:$A$24,0)),0))</f>
        <v/>
      </c>
      <c r="I734" s="30"/>
      <c r="J734" s="25" t="str">
        <f aca="false">IF($D734="","",N(G734)*H734-N(I734))</f>
        <v/>
      </c>
      <c r="K734" s="25" t="str">
        <f aca="false">IF($D734="","",N(G734)*IFERROR(INDEX(المنتجات!$H$5:$H$24,MATCH($D734,المنتجات!$A$5:$A$24,0)),0))</f>
        <v/>
      </c>
      <c r="L734" s="25" t="str">
        <f aca="false">IF($D734="","",J734-K734)</f>
        <v/>
      </c>
      <c r="M734" s="29"/>
      <c r="N734" s="29"/>
    </row>
    <row r="735" customFormat="false" ht="15" hidden="false" customHeight="false" outlineLevel="0" collapsed="false">
      <c r="A735" s="32"/>
      <c r="B735" s="29"/>
      <c r="C735" s="29"/>
      <c r="D735" s="29"/>
      <c r="E735" s="28" t="str">
        <f aca="false">IF($D735="","",IFERROR(INDEX(المنتجات!$C$5:$C$24,MATCH($D735,المنتجات!$A$5:$A$24,0)),"كود غير موجود"))</f>
        <v/>
      </c>
      <c r="F735" s="28" t="str">
        <f aca="false">IF($D735="","",IFERROR(INDEX(المنتجات!$B$5:$B$24,MATCH($D735,المنتجات!$A$5:$A$24,0)),""))</f>
        <v/>
      </c>
      <c r="G735" s="24"/>
      <c r="H735" s="25" t="str">
        <f aca="false">IF($D735="","",IFERROR(INDEX(المنتجات!$F$5:$F$24,MATCH($D735,المنتجات!$A$5:$A$24,0)),0))</f>
        <v/>
      </c>
      <c r="I735" s="30"/>
      <c r="J735" s="25" t="str">
        <f aca="false">IF($D735="","",N(G735)*H735-N(I735))</f>
        <v/>
      </c>
      <c r="K735" s="25" t="str">
        <f aca="false">IF($D735="","",N(G735)*IFERROR(INDEX(المنتجات!$H$5:$H$24,MATCH($D735,المنتجات!$A$5:$A$24,0)),0))</f>
        <v/>
      </c>
      <c r="L735" s="25" t="str">
        <f aca="false">IF($D735="","",J735-K735)</f>
        <v/>
      </c>
      <c r="M735" s="29"/>
      <c r="N735" s="29"/>
    </row>
    <row r="736" customFormat="false" ht="15" hidden="false" customHeight="false" outlineLevel="0" collapsed="false">
      <c r="A736" s="32"/>
      <c r="B736" s="29"/>
      <c r="C736" s="29"/>
      <c r="D736" s="29"/>
      <c r="E736" s="28" t="str">
        <f aca="false">IF($D736="","",IFERROR(INDEX(المنتجات!$C$5:$C$24,MATCH($D736,المنتجات!$A$5:$A$24,0)),"كود غير موجود"))</f>
        <v/>
      </c>
      <c r="F736" s="28" t="str">
        <f aca="false">IF($D736="","",IFERROR(INDEX(المنتجات!$B$5:$B$24,MATCH($D736,المنتجات!$A$5:$A$24,0)),""))</f>
        <v/>
      </c>
      <c r="G736" s="24"/>
      <c r="H736" s="25" t="str">
        <f aca="false">IF($D736="","",IFERROR(INDEX(المنتجات!$F$5:$F$24,MATCH($D736,المنتجات!$A$5:$A$24,0)),0))</f>
        <v/>
      </c>
      <c r="I736" s="30"/>
      <c r="J736" s="25" t="str">
        <f aca="false">IF($D736="","",N(G736)*H736-N(I736))</f>
        <v/>
      </c>
      <c r="K736" s="25" t="str">
        <f aca="false">IF($D736="","",N(G736)*IFERROR(INDEX(المنتجات!$H$5:$H$24,MATCH($D736,المنتجات!$A$5:$A$24,0)),0))</f>
        <v/>
      </c>
      <c r="L736" s="25" t="str">
        <f aca="false">IF($D736="","",J736-K736)</f>
        <v/>
      </c>
      <c r="M736" s="29"/>
      <c r="N736" s="29"/>
    </row>
    <row r="737" customFormat="false" ht="15" hidden="false" customHeight="false" outlineLevel="0" collapsed="false">
      <c r="A737" s="32"/>
      <c r="B737" s="29"/>
      <c r="C737" s="29"/>
      <c r="D737" s="29"/>
      <c r="E737" s="28" t="str">
        <f aca="false">IF($D737="","",IFERROR(INDEX(المنتجات!$C$5:$C$24,MATCH($D737,المنتجات!$A$5:$A$24,0)),"كود غير موجود"))</f>
        <v/>
      </c>
      <c r="F737" s="28" t="str">
        <f aca="false">IF($D737="","",IFERROR(INDEX(المنتجات!$B$5:$B$24,MATCH($D737,المنتجات!$A$5:$A$24,0)),""))</f>
        <v/>
      </c>
      <c r="G737" s="24"/>
      <c r="H737" s="25" t="str">
        <f aca="false">IF($D737="","",IFERROR(INDEX(المنتجات!$F$5:$F$24,MATCH($D737,المنتجات!$A$5:$A$24,0)),0))</f>
        <v/>
      </c>
      <c r="I737" s="30"/>
      <c r="J737" s="25" t="str">
        <f aca="false">IF($D737="","",N(G737)*H737-N(I737))</f>
        <v/>
      </c>
      <c r="K737" s="25" t="str">
        <f aca="false">IF($D737="","",N(G737)*IFERROR(INDEX(المنتجات!$H$5:$H$24,MATCH($D737,المنتجات!$A$5:$A$24,0)),0))</f>
        <v/>
      </c>
      <c r="L737" s="25" t="str">
        <f aca="false">IF($D737="","",J737-K737)</f>
        <v/>
      </c>
      <c r="M737" s="29"/>
      <c r="N737" s="29"/>
    </row>
    <row r="738" customFormat="false" ht="15" hidden="false" customHeight="false" outlineLevel="0" collapsed="false">
      <c r="A738" s="32"/>
      <c r="B738" s="29"/>
      <c r="C738" s="29"/>
      <c r="D738" s="29"/>
      <c r="E738" s="28" t="str">
        <f aca="false">IF($D738="","",IFERROR(INDEX(المنتجات!$C$5:$C$24,MATCH($D738,المنتجات!$A$5:$A$24,0)),"كود غير موجود"))</f>
        <v/>
      </c>
      <c r="F738" s="28" t="str">
        <f aca="false">IF($D738="","",IFERROR(INDEX(المنتجات!$B$5:$B$24,MATCH($D738,المنتجات!$A$5:$A$24,0)),""))</f>
        <v/>
      </c>
      <c r="G738" s="24"/>
      <c r="H738" s="25" t="str">
        <f aca="false">IF($D738="","",IFERROR(INDEX(المنتجات!$F$5:$F$24,MATCH($D738,المنتجات!$A$5:$A$24,0)),0))</f>
        <v/>
      </c>
      <c r="I738" s="30"/>
      <c r="J738" s="25" t="str">
        <f aca="false">IF($D738="","",N(G738)*H738-N(I738))</f>
        <v/>
      </c>
      <c r="K738" s="25" t="str">
        <f aca="false">IF($D738="","",N(G738)*IFERROR(INDEX(المنتجات!$H$5:$H$24,MATCH($D738,المنتجات!$A$5:$A$24,0)),0))</f>
        <v/>
      </c>
      <c r="L738" s="25" t="str">
        <f aca="false">IF($D738="","",J738-K738)</f>
        <v/>
      </c>
      <c r="M738" s="29"/>
      <c r="N738" s="29"/>
    </row>
    <row r="739" customFormat="false" ht="15" hidden="false" customHeight="false" outlineLevel="0" collapsed="false">
      <c r="A739" s="32"/>
      <c r="B739" s="29"/>
      <c r="C739" s="29"/>
      <c r="D739" s="29"/>
      <c r="E739" s="28" t="str">
        <f aca="false">IF($D739="","",IFERROR(INDEX(المنتجات!$C$5:$C$24,MATCH($D739,المنتجات!$A$5:$A$24,0)),"كود غير موجود"))</f>
        <v/>
      </c>
      <c r="F739" s="28" t="str">
        <f aca="false">IF($D739="","",IFERROR(INDEX(المنتجات!$B$5:$B$24,MATCH($D739,المنتجات!$A$5:$A$24,0)),""))</f>
        <v/>
      </c>
      <c r="G739" s="24"/>
      <c r="H739" s="25" t="str">
        <f aca="false">IF($D739="","",IFERROR(INDEX(المنتجات!$F$5:$F$24,MATCH($D739,المنتجات!$A$5:$A$24,0)),0))</f>
        <v/>
      </c>
      <c r="I739" s="30"/>
      <c r="J739" s="25" t="str">
        <f aca="false">IF($D739="","",N(G739)*H739-N(I739))</f>
        <v/>
      </c>
      <c r="K739" s="25" t="str">
        <f aca="false">IF($D739="","",N(G739)*IFERROR(INDEX(المنتجات!$H$5:$H$24,MATCH($D739,المنتجات!$A$5:$A$24,0)),0))</f>
        <v/>
      </c>
      <c r="L739" s="25" t="str">
        <f aca="false">IF($D739="","",J739-K739)</f>
        <v/>
      </c>
      <c r="M739" s="29"/>
      <c r="N739" s="29"/>
    </row>
    <row r="740" customFormat="false" ht="15" hidden="false" customHeight="false" outlineLevel="0" collapsed="false">
      <c r="A740" s="32"/>
      <c r="B740" s="29"/>
      <c r="C740" s="29"/>
      <c r="D740" s="29"/>
      <c r="E740" s="28" t="str">
        <f aca="false">IF($D740="","",IFERROR(INDEX(المنتجات!$C$5:$C$24,MATCH($D740,المنتجات!$A$5:$A$24,0)),"كود غير موجود"))</f>
        <v/>
      </c>
      <c r="F740" s="28" t="str">
        <f aca="false">IF($D740="","",IFERROR(INDEX(المنتجات!$B$5:$B$24,MATCH($D740,المنتجات!$A$5:$A$24,0)),""))</f>
        <v/>
      </c>
      <c r="G740" s="24"/>
      <c r="H740" s="25" t="str">
        <f aca="false">IF($D740="","",IFERROR(INDEX(المنتجات!$F$5:$F$24,MATCH($D740,المنتجات!$A$5:$A$24,0)),0))</f>
        <v/>
      </c>
      <c r="I740" s="30"/>
      <c r="J740" s="25" t="str">
        <f aca="false">IF($D740="","",N(G740)*H740-N(I740))</f>
        <v/>
      </c>
      <c r="K740" s="25" t="str">
        <f aca="false">IF($D740="","",N(G740)*IFERROR(INDEX(المنتجات!$H$5:$H$24,MATCH($D740,المنتجات!$A$5:$A$24,0)),0))</f>
        <v/>
      </c>
      <c r="L740" s="25" t="str">
        <f aca="false">IF($D740="","",J740-K740)</f>
        <v/>
      </c>
      <c r="M740" s="29"/>
      <c r="N740" s="29"/>
    </row>
    <row r="741" customFormat="false" ht="15" hidden="false" customHeight="false" outlineLevel="0" collapsed="false">
      <c r="A741" s="32"/>
      <c r="B741" s="29"/>
      <c r="C741" s="29"/>
      <c r="D741" s="29"/>
      <c r="E741" s="28" t="str">
        <f aca="false">IF($D741="","",IFERROR(INDEX(المنتجات!$C$5:$C$24,MATCH($D741,المنتجات!$A$5:$A$24,0)),"كود غير موجود"))</f>
        <v/>
      </c>
      <c r="F741" s="28" t="str">
        <f aca="false">IF($D741="","",IFERROR(INDEX(المنتجات!$B$5:$B$24,MATCH($D741,المنتجات!$A$5:$A$24,0)),""))</f>
        <v/>
      </c>
      <c r="G741" s="24"/>
      <c r="H741" s="25" t="str">
        <f aca="false">IF($D741="","",IFERROR(INDEX(المنتجات!$F$5:$F$24,MATCH($D741,المنتجات!$A$5:$A$24,0)),0))</f>
        <v/>
      </c>
      <c r="I741" s="30"/>
      <c r="J741" s="25" t="str">
        <f aca="false">IF($D741="","",N(G741)*H741-N(I741))</f>
        <v/>
      </c>
      <c r="K741" s="25" t="str">
        <f aca="false">IF($D741="","",N(G741)*IFERROR(INDEX(المنتجات!$H$5:$H$24,MATCH($D741,المنتجات!$A$5:$A$24,0)),0))</f>
        <v/>
      </c>
      <c r="L741" s="25" t="str">
        <f aca="false">IF($D741="","",J741-K741)</f>
        <v/>
      </c>
      <c r="M741" s="29"/>
      <c r="N741" s="29"/>
    </row>
    <row r="742" customFormat="false" ht="15" hidden="false" customHeight="false" outlineLevel="0" collapsed="false">
      <c r="A742" s="32"/>
      <c r="B742" s="29"/>
      <c r="C742" s="29"/>
      <c r="D742" s="29"/>
      <c r="E742" s="28" t="str">
        <f aca="false">IF($D742="","",IFERROR(INDEX(المنتجات!$C$5:$C$24,MATCH($D742,المنتجات!$A$5:$A$24,0)),"كود غير موجود"))</f>
        <v/>
      </c>
      <c r="F742" s="28" t="str">
        <f aca="false">IF($D742="","",IFERROR(INDEX(المنتجات!$B$5:$B$24,MATCH($D742,المنتجات!$A$5:$A$24,0)),""))</f>
        <v/>
      </c>
      <c r="G742" s="24"/>
      <c r="H742" s="25" t="str">
        <f aca="false">IF($D742="","",IFERROR(INDEX(المنتجات!$F$5:$F$24,MATCH($D742,المنتجات!$A$5:$A$24,0)),0))</f>
        <v/>
      </c>
      <c r="I742" s="30"/>
      <c r="J742" s="25" t="str">
        <f aca="false">IF($D742="","",N(G742)*H742-N(I742))</f>
        <v/>
      </c>
      <c r="K742" s="25" t="str">
        <f aca="false">IF($D742="","",N(G742)*IFERROR(INDEX(المنتجات!$H$5:$H$24,MATCH($D742,المنتجات!$A$5:$A$24,0)),0))</f>
        <v/>
      </c>
      <c r="L742" s="25" t="str">
        <f aca="false">IF($D742="","",J742-K742)</f>
        <v/>
      </c>
      <c r="M742" s="29"/>
      <c r="N742" s="29"/>
    </row>
    <row r="743" customFormat="false" ht="15" hidden="false" customHeight="false" outlineLevel="0" collapsed="false">
      <c r="A743" s="32"/>
      <c r="B743" s="29"/>
      <c r="C743" s="29"/>
      <c r="D743" s="29"/>
      <c r="E743" s="28" t="str">
        <f aca="false">IF($D743="","",IFERROR(INDEX(المنتجات!$C$5:$C$24,MATCH($D743,المنتجات!$A$5:$A$24,0)),"كود غير موجود"))</f>
        <v/>
      </c>
      <c r="F743" s="28" t="str">
        <f aca="false">IF($D743="","",IFERROR(INDEX(المنتجات!$B$5:$B$24,MATCH($D743,المنتجات!$A$5:$A$24,0)),""))</f>
        <v/>
      </c>
      <c r="G743" s="24"/>
      <c r="H743" s="25" t="str">
        <f aca="false">IF($D743="","",IFERROR(INDEX(المنتجات!$F$5:$F$24,MATCH($D743,المنتجات!$A$5:$A$24,0)),0))</f>
        <v/>
      </c>
      <c r="I743" s="30"/>
      <c r="J743" s="25" t="str">
        <f aca="false">IF($D743="","",N(G743)*H743-N(I743))</f>
        <v/>
      </c>
      <c r="K743" s="25" t="str">
        <f aca="false">IF($D743="","",N(G743)*IFERROR(INDEX(المنتجات!$H$5:$H$24,MATCH($D743,المنتجات!$A$5:$A$24,0)),0))</f>
        <v/>
      </c>
      <c r="L743" s="25" t="str">
        <f aca="false">IF($D743="","",J743-K743)</f>
        <v/>
      </c>
      <c r="M743" s="29"/>
      <c r="N743" s="29"/>
    </row>
    <row r="744" customFormat="false" ht="15" hidden="false" customHeight="false" outlineLevel="0" collapsed="false">
      <c r="A744" s="32"/>
      <c r="B744" s="29"/>
      <c r="C744" s="29"/>
      <c r="D744" s="29"/>
      <c r="E744" s="28" t="str">
        <f aca="false">IF($D744="","",IFERROR(INDEX(المنتجات!$C$5:$C$24,MATCH($D744,المنتجات!$A$5:$A$24,0)),"كود غير موجود"))</f>
        <v/>
      </c>
      <c r="F744" s="28" t="str">
        <f aca="false">IF($D744="","",IFERROR(INDEX(المنتجات!$B$5:$B$24,MATCH($D744,المنتجات!$A$5:$A$24,0)),""))</f>
        <v/>
      </c>
      <c r="G744" s="24"/>
      <c r="H744" s="25" t="str">
        <f aca="false">IF($D744="","",IFERROR(INDEX(المنتجات!$F$5:$F$24,MATCH($D744,المنتجات!$A$5:$A$24,0)),0))</f>
        <v/>
      </c>
      <c r="I744" s="30"/>
      <c r="J744" s="25" t="str">
        <f aca="false">IF($D744="","",N(G744)*H744-N(I744))</f>
        <v/>
      </c>
      <c r="K744" s="25" t="str">
        <f aca="false">IF($D744="","",N(G744)*IFERROR(INDEX(المنتجات!$H$5:$H$24,MATCH($D744,المنتجات!$A$5:$A$24,0)),0))</f>
        <v/>
      </c>
      <c r="L744" s="25" t="str">
        <f aca="false">IF($D744="","",J744-K744)</f>
        <v/>
      </c>
      <c r="M744" s="29"/>
      <c r="N744" s="29"/>
    </row>
    <row r="745" customFormat="false" ht="15" hidden="false" customHeight="false" outlineLevel="0" collapsed="false">
      <c r="A745" s="32"/>
      <c r="B745" s="29"/>
      <c r="C745" s="29"/>
      <c r="D745" s="29"/>
      <c r="E745" s="28" t="str">
        <f aca="false">IF($D745="","",IFERROR(INDEX(المنتجات!$C$5:$C$24,MATCH($D745,المنتجات!$A$5:$A$24,0)),"كود غير موجود"))</f>
        <v/>
      </c>
      <c r="F745" s="28" t="str">
        <f aca="false">IF($D745="","",IFERROR(INDEX(المنتجات!$B$5:$B$24,MATCH($D745,المنتجات!$A$5:$A$24,0)),""))</f>
        <v/>
      </c>
      <c r="G745" s="24"/>
      <c r="H745" s="25" t="str">
        <f aca="false">IF($D745="","",IFERROR(INDEX(المنتجات!$F$5:$F$24,MATCH($D745,المنتجات!$A$5:$A$24,0)),0))</f>
        <v/>
      </c>
      <c r="I745" s="30"/>
      <c r="J745" s="25" t="str">
        <f aca="false">IF($D745="","",N(G745)*H745-N(I745))</f>
        <v/>
      </c>
      <c r="K745" s="25" t="str">
        <f aca="false">IF($D745="","",N(G745)*IFERROR(INDEX(المنتجات!$H$5:$H$24,MATCH($D745,المنتجات!$A$5:$A$24,0)),0))</f>
        <v/>
      </c>
      <c r="L745" s="25" t="str">
        <f aca="false">IF($D745="","",J745-K745)</f>
        <v/>
      </c>
      <c r="M745" s="29"/>
      <c r="N745" s="29"/>
    </row>
    <row r="746" customFormat="false" ht="15" hidden="false" customHeight="false" outlineLevel="0" collapsed="false">
      <c r="A746" s="32"/>
      <c r="B746" s="29"/>
      <c r="C746" s="29"/>
      <c r="D746" s="29"/>
      <c r="E746" s="28" t="str">
        <f aca="false">IF($D746="","",IFERROR(INDEX(المنتجات!$C$5:$C$24,MATCH($D746,المنتجات!$A$5:$A$24,0)),"كود غير موجود"))</f>
        <v/>
      </c>
      <c r="F746" s="28" t="str">
        <f aca="false">IF($D746="","",IFERROR(INDEX(المنتجات!$B$5:$B$24,MATCH($D746,المنتجات!$A$5:$A$24,0)),""))</f>
        <v/>
      </c>
      <c r="G746" s="24"/>
      <c r="H746" s="25" t="str">
        <f aca="false">IF($D746="","",IFERROR(INDEX(المنتجات!$F$5:$F$24,MATCH($D746,المنتجات!$A$5:$A$24,0)),0))</f>
        <v/>
      </c>
      <c r="I746" s="30"/>
      <c r="J746" s="25" t="str">
        <f aca="false">IF($D746="","",N(G746)*H746-N(I746))</f>
        <v/>
      </c>
      <c r="K746" s="25" t="str">
        <f aca="false">IF($D746="","",N(G746)*IFERROR(INDEX(المنتجات!$H$5:$H$24,MATCH($D746,المنتجات!$A$5:$A$24,0)),0))</f>
        <v/>
      </c>
      <c r="L746" s="25" t="str">
        <f aca="false">IF($D746="","",J746-K746)</f>
        <v/>
      </c>
      <c r="M746" s="29"/>
      <c r="N746" s="29"/>
    </row>
    <row r="747" customFormat="false" ht="15" hidden="false" customHeight="false" outlineLevel="0" collapsed="false">
      <c r="A747" s="32"/>
      <c r="B747" s="29"/>
      <c r="C747" s="29"/>
      <c r="D747" s="29"/>
      <c r="E747" s="28" t="str">
        <f aca="false">IF($D747="","",IFERROR(INDEX(المنتجات!$C$5:$C$24,MATCH($D747,المنتجات!$A$5:$A$24,0)),"كود غير موجود"))</f>
        <v/>
      </c>
      <c r="F747" s="28" t="str">
        <f aca="false">IF($D747="","",IFERROR(INDEX(المنتجات!$B$5:$B$24,MATCH($D747,المنتجات!$A$5:$A$24,0)),""))</f>
        <v/>
      </c>
      <c r="G747" s="24"/>
      <c r="H747" s="25" t="str">
        <f aca="false">IF($D747="","",IFERROR(INDEX(المنتجات!$F$5:$F$24,MATCH($D747,المنتجات!$A$5:$A$24,0)),0))</f>
        <v/>
      </c>
      <c r="I747" s="30"/>
      <c r="J747" s="25" t="str">
        <f aca="false">IF($D747="","",N(G747)*H747-N(I747))</f>
        <v/>
      </c>
      <c r="K747" s="25" t="str">
        <f aca="false">IF($D747="","",N(G747)*IFERROR(INDEX(المنتجات!$H$5:$H$24,MATCH($D747,المنتجات!$A$5:$A$24,0)),0))</f>
        <v/>
      </c>
      <c r="L747" s="25" t="str">
        <f aca="false">IF($D747="","",J747-K747)</f>
        <v/>
      </c>
      <c r="M747" s="29"/>
      <c r="N747" s="29"/>
    </row>
    <row r="748" customFormat="false" ht="15" hidden="false" customHeight="false" outlineLevel="0" collapsed="false">
      <c r="A748" s="32"/>
      <c r="B748" s="29"/>
      <c r="C748" s="29"/>
      <c r="D748" s="29"/>
      <c r="E748" s="28" t="str">
        <f aca="false">IF($D748="","",IFERROR(INDEX(المنتجات!$C$5:$C$24,MATCH($D748,المنتجات!$A$5:$A$24,0)),"كود غير موجود"))</f>
        <v/>
      </c>
      <c r="F748" s="28" t="str">
        <f aca="false">IF($D748="","",IFERROR(INDEX(المنتجات!$B$5:$B$24,MATCH($D748,المنتجات!$A$5:$A$24,0)),""))</f>
        <v/>
      </c>
      <c r="G748" s="24"/>
      <c r="H748" s="25" t="str">
        <f aca="false">IF($D748="","",IFERROR(INDEX(المنتجات!$F$5:$F$24,MATCH($D748,المنتجات!$A$5:$A$24,0)),0))</f>
        <v/>
      </c>
      <c r="I748" s="30"/>
      <c r="J748" s="25" t="str">
        <f aca="false">IF($D748="","",N(G748)*H748-N(I748))</f>
        <v/>
      </c>
      <c r="K748" s="25" t="str">
        <f aca="false">IF($D748="","",N(G748)*IFERROR(INDEX(المنتجات!$H$5:$H$24,MATCH($D748,المنتجات!$A$5:$A$24,0)),0))</f>
        <v/>
      </c>
      <c r="L748" s="25" t="str">
        <f aca="false">IF($D748="","",J748-K748)</f>
        <v/>
      </c>
      <c r="M748" s="29"/>
      <c r="N748" s="29"/>
    </row>
    <row r="749" customFormat="false" ht="15" hidden="false" customHeight="false" outlineLevel="0" collapsed="false">
      <c r="A749" s="32"/>
      <c r="B749" s="29"/>
      <c r="C749" s="29"/>
      <c r="D749" s="29"/>
      <c r="E749" s="28" t="str">
        <f aca="false">IF($D749="","",IFERROR(INDEX(المنتجات!$C$5:$C$24,MATCH($D749,المنتجات!$A$5:$A$24,0)),"كود غير موجود"))</f>
        <v/>
      </c>
      <c r="F749" s="28" t="str">
        <f aca="false">IF($D749="","",IFERROR(INDEX(المنتجات!$B$5:$B$24,MATCH($D749,المنتجات!$A$5:$A$24,0)),""))</f>
        <v/>
      </c>
      <c r="G749" s="24"/>
      <c r="H749" s="25" t="str">
        <f aca="false">IF($D749="","",IFERROR(INDEX(المنتجات!$F$5:$F$24,MATCH($D749,المنتجات!$A$5:$A$24,0)),0))</f>
        <v/>
      </c>
      <c r="I749" s="30"/>
      <c r="J749" s="25" t="str">
        <f aca="false">IF($D749="","",N(G749)*H749-N(I749))</f>
        <v/>
      </c>
      <c r="K749" s="25" t="str">
        <f aca="false">IF($D749="","",N(G749)*IFERROR(INDEX(المنتجات!$H$5:$H$24,MATCH($D749,المنتجات!$A$5:$A$24,0)),0))</f>
        <v/>
      </c>
      <c r="L749" s="25" t="str">
        <f aca="false">IF($D749="","",J749-K749)</f>
        <v/>
      </c>
      <c r="M749" s="29"/>
      <c r="N749" s="29"/>
    </row>
    <row r="750" customFormat="false" ht="15" hidden="false" customHeight="false" outlineLevel="0" collapsed="false">
      <c r="A750" s="32"/>
      <c r="B750" s="29"/>
      <c r="C750" s="29"/>
      <c r="D750" s="29"/>
      <c r="E750" s="28" t="str">
        <f aca="false">IF($D750="","",IFERROR(INDEX(المنتجات!$C$5:$C$24,MATCH($D750,المنتجات!$A$5:$A$24,0)),"كود غير موجود"))</f>
        <v/>
      </c>
      <c r="F750" s="28" t="str">
        <f aca="false">IF($D750="","",IFERROR(INDEX(المنتجات!$B$5:$B$24,MATCH($D750,المنتجات!$A$5:$A$24,0)),""))</f>
        <v/>
      </c>
      <c r="G750" s="24"/>
      <c r="H750" s="25" t="str">
        <f aca="false">IF($D750="","",IFERROR(INDEX(المنتجات!$F$5:$F$24,MATCH($D750,المنتجات!$A$5:$A$24,0)),0))</f>
        <v/>
      </c>
      <c r="I750" s="30"/>
      <c r="J750" s="25" t="str">
        <f aca="false">IF($D750="","",N(G750)*H750-N(I750))</f>
        <v/>
      </c>
      <c r="K750" s="25" t="str">
        <f aca="false">IF($D750="","",N(G750)*IFERROR(INDEX(المنتجات!$H$5:$H$24,MATCH($D750,المنتجات!$A$5:$A$24,0)),0))</f>
        <v/>
      </c>
      <c r="L750" s="25" t="str">
        <f aca="false">IF($D750="","",J750-K750)</f>
        <v/>
      </c>
      <c r="M750" s="29"/>
      <c r="N750" s="29"/>
    </row>
    <row r="751" customFormat="false" ht="15" hidden="false" customHeight="false" outlineLevel="0" collapsed="false">
      <c r="A751" s="32"/>
      <c r="B751" s="29"/>
      <c r="C751" s="29"/>
      <c r="D751" s="29"/>
      <c r="E751" s="28" t="str">
        <f aca="false">IF($D751="","",IFERROR(INDEX(المنتجات!$C$5:$C$24,MATCH($D751,المنتجات!$A$5:$A$24,0)),"كود غير موجود"))</f>
        <v/>
      </c>
      <c r="F751" s="28" t="str">
        <f aca="false">IF($D751="","",IFERROR(INDEX(المنتجات!$B$5:$B$24,MATCH($D751,المنتجات!$A$5:$A$24,0)),""))</f>
        <v/>
      </c>
      <c r="G751" s="24"/>
      <c r="H751" s="25" t="str">
        <f aca="false">IF($D751="","",IFERROR(INDEX(المنتجات!$F$5:$F$24,MATCH($D751,المنتجات!$A$5:$A$24,0)),0))</f>
        <v/>
      </c>
      <c r="I751" s="30"/>
      <c r="J751" s="25" t="str">
        <f aca="false">IF($D751="","",N(G751)*H751-N(I751))</f>
        <v/>
      </c>
      <c r="K751" s="25" t="str">
        <f aca="false">IF($D751="","",N(G751)*IFERROR(INDEX(المنتجات!$H$5:$H$24,MATCH($D751,المنتجات!$A$5:$A$24,0)),0))</f>
        <v/>
      </c>
      <c r="L751" s="25" t="str">
        <f aca="false">IF($D751="","",J751-K751)</f>
        <v/>
      </c>
      <c r="M751" s="29"/>
      <c r="N751" s="29"/>
    </row>
    <row r="752" customFormat="false" ht="15" hidden="false" customHeight="false" outlineLevel="0" collapsed="false">
      <c r="A752" s="32"/>
      <c r="B752" s="29"/>
      <c r="C752" s="29"/>
      <c r="D752" s="29"/>
      <c r="E752" s="28" t="str">
        <f aca="false">IF($D752="","",IFERROR(INDEX(المنتجات!$C$5:$C$24,MATCH($D752,المنتجات!$A$5:$A$24,0)),"كود غير موجود"))</f>
        <v/>
      </c>
      <c r="F752" s="28" t="str">
        <f aca="false">IF($D752="","",IFERROR(INDEX(المنتجات!$B$5:$B$24,MATCH($D752,المنتجات!$A$5:$A$24,0)),""))</f>
        <v/>
      </c>
      <c r="G752" s="24"/>
      <c r="H752" s="25" t="str">
        <f aca="false">IF($D752="","",IFERROR(INDEX(المنتجات!$F$5:$F$24,MATCH($D752,المنتجات!$A$5:$A$24,0)),0))</f>
        <v/>
      </c>
      <c r="I752" s="30"/>
      <c r="J752" s="25" t="str">
        <f aca="false">IF($D752="","",N(G752)*H752-N(I752))</f>
        <v/>
      </c>
      <c r="K752" s="25" t="str">
        <f aca="false">IF($D752="","",N(G752)*IFERROR(INDEX(المنتجات!$H$5:$H$24,MATCH($D752,المنتجات!$A$5:$A$24,0)),0))</f>
        <v/>
      </c>
      <c r="L752" s="25" t="str">
        <f aca="false">IF($D752="","",J752-K752)</f>
        <v/>
      </c>
      <c r="M752" s="29"/>
      <c r="N752" s="29"/>
    </row>
    <row r="753" customFormat="false" ht="15" hidden="false" customHeight="false" outlineLevel="0" collapsed="false">
      <c r="A753" s="32"/>
      <c r="B753" s="29"/>
      <c r="C753" s="29"/>
      <c r="D753" s="29"/>
      <c r="E753" s="28" t="str">
        <f aca="false">IF($D753="","",IFERROR(INDEX(المنتجات!$C$5:$C$24,MATCH($D753,المنتجات!$A$5:$A$24,0)),"كود غير موجود"))</f>
        <v/>
      </c>
      <c r="F753" s="28" t="str">
        <f aca="false">IF($D753="","",IFERROR(INDEX(المنتجات!$B$5:$B$24,MATCH($D753,المنتجات!$A$5:$A$24,0)),""))</f>
        <v/>
      </c>
      <c r="G753" s="24"/>
      <c r="H753" s="25" t="str">
        <f aca="false">IF($D753="","",IFERROR(INDEX(المنتجات!$F$5:$F$24,MATCH($D753,المنتجات!$A$5:$A$24,0)),0))</f>
        <v/>
      </c>
      <c r="I753" s="30"/>
      <c r="J753" s="25" t="str">
        <f aca="false">IF($D753="","",N(G753)*H753-N(I753))</f>
        <v/>
      </c>
      <c r="K753" s="25" t="str">
        <f aca="false">IF($D753="","",N(G753)*IFERROR(INDEX(المنتجات!$H$5:$H$24,MATCH($D753,المنتجات!$A$5:$A$24,0)),0))</f>
        <v/>
      </c>
      <c r="L753" s="25" t="str">
        <f aca="false">IF($D753="","",J753-K753)</f>
        <v/>
      </c>
      <c r="M753" s="29"/>
      <c r="N753" s="29"/>
    </row>
    <row r="754" customFormat="false" ht="15" hidden="false" customHeight="false" outlineLevel="0" collapsed="false">
      <c r="A754" s="32"/>
      <c r="B754" s="29"/>
      <c r="C754" s="29"/>
      <c r="D754" s="29"/>
      <c r="E754" s="28" t="str">
        <f aca="false">IF($D754="","",IFERROR(INDEX(المنتجات!$C$5:$C$24,MATCH($D754,المنتجات!$A$5:$A$24,0)),"كود غير موجود"))</f>
        <v/>
      </c>
      <c r="F754" s="28" t="str">
        <f aca="false">IF($D754="","",IFERROR(INDEX(المنتجات!$B$5:$B$24,MATCH($D754,المنتجات!$A$5:$A$24,0)),""))</f>
        <v/>
      </c>
      <c r="G754" s="24"/>
      <c r="H754" s="25" t="str">
        <f aca="false">IF($D754="","",IFERROR(INDEX(المنتجات!$F$5:$F$24,MATCH($D754,المنتجات!$A$5:$A$24,0)),0))</f>
        <v/>
      </c>
      <c r="I754" s="30"/>
      <c r="J754" s="25" t="str">
        <f aca="false">IF($D754="","",N(G754)*H754-N(I754))</f>
        <v/>
      </c>
      <c r="K754" s="25" t="str">
        <f aca="false">IF($D754="","",N(G754)*IFERROR(INDEX(المنتجات!$H$5:$H$24,MATCH($D754,المنتجات!$A$5:$A$24,0)),0))</f>
        <v/>
      </c>
      <c r="L754" s="25" t="str">
        <f aca="false">IF($D754="","",J754-K754)</f>
        <v/>
      </c>
      <c r="M754" s="29"/>
      <c r="N754" s="29"/>
    </row>
    <row r="755" customFormat="false" ht="15" hidden="false" customHeight="false" outlineLevel="0" collapsed="false">
      <c r="A755" s="32"/>
      <c r="B755" s="29"/>
      <c r="C755" s="29"/>
      <c r="D755" s="29"/>
      <c r="E755" s="28" t="str">
        <f aca="false">IF($D755="","",IFERROR(INDEX(المنتجات!$C$5:$C$24,MATCH($D755,المنتجات!$A$5:$A$24,0)),"كود غير موجود"))</f>
        <v/>
      </c>
      <c r="F755" s="28" t="str">
        <f aca="false">IF($D755="","",IFERROR(INDEX(المنتجات!$B$5:$B$24,MATCH($D755,المنتجات!$A$5:$A$24,0)),""))</f>
        <v/>
      </c>
      <c r="G755" s="24"/>
      <c r="H755" s="25" t="str">
        <f aca="false">IF($D755="","",IFERROR(INDEX(المنتجات!$F$5:$F$24,MATCH($D755,المنتجات!$A$5:$A$24,0)),0))</f>
        <v/>
      </c>
      <c r="I755" s="30"/>
      <c r="J755" s="25" t="str">
        <f aca="false">IF($D755="","",N(G755)*H755-N(I755))</f>
        <v/>
      </c>
      <c r="K755" s="25" t="str">
        <f aca="false">IF($D755="","",N(G755)*IFERROR(INDEX(المنتجات!$H$5:$H$24,MATCH($D755,المنتجات!$A$5:$A$24,0)),0))</f>
        <v/>
      </c>
      <c r="L755" s="25" t="str">
        <f aca="false">IF($D755="","",J755-K755)</f>
        <v/>
      </c>
      <c r="M755" s="29"/>
      <c r="N755" s="29"/>
    </row>
    <row r="756" customFormat="false" ht="15" hidden="false" customHeight="false" outlineLevel="0" collapsed="false">
      <c r="A756" s="32"/>
      <c r="B756" s="29"/>
      <c r="C756" s="29"/>
      <c r="D756" s="29"/>
      <c r="E756" s="28" t="str">
        <f aca="false">IF($D756="","",IFERROR(INDEX(المنتجات!$C$5:$C$24,MATCH($D756,المنتجات!$A$5:$A$24,0)),"كود غير موجود"))</f>
        <v/>
      </c>
      <c r="F756" s="28" t="str">
        <f aca="false">IF($D756="","",IFERROR(INDEX(المنتجات!$B$5:$B$24,MATCH($D756,المنتجات!$A$5:$A$24,0)),""))</f>
        <v/>
      </c>
      <c r="G756" s="24"/>
      <c r="H756" s="25" t="str">
        <f aca="false">IF($D756="","",IFERROR(INDEX(المنتجات!$F$5:$F$24,MATCH($D756,المنتجات!$A$5:$A$24,0)),0))</f>
        <v/>
      </c>
      <c r="I756" s="30"/>
      <c r="J756" s="25" t="str">
        <f aca="false">IF($D756="","",N(G756)*H756-N(I756))</f>
        <v/>
      </c>
      <c r="K756" s="25" t="str">
        <f aca="false">IF($D756="","",N(G756)*IFERROR(INDEX(المنتجات!$H$5:$H$24,MATCH($D756,المنتجات!$A$5:$A$24,0)),0))</f>
        <v/>
      </c>
      <c r="L756" s="25" t="str">
        <f aca="false">IF($D756="","",J756-K756)</f>
        <v/>
      </c>
      <c r="M756" s="29"/>
      <c r="N756" s="29"/>
    </row>
    <row r="757" customFormat="false" ht="15" hidden="false" customHeight="false" outlineLevel="0" collapsed="false">
      <c r="A757" s="32"/>
      <c r="B757" s="29"/>
      <c r="C757" s="29"/>
      <c r="D757" s="29"/>
      <c r="E757" s="28" t="str">
        <f aca="false">IF($D757="","",IFERROR(INDEX(المنتجات!$C$5:$C$24,MATCH($D757,المنتجات!$A$5:$A$24,0)),"كود غير موجود"))</f>
        <v/>
      </c>
      <c r="F757" s="28" t="str">
        <f aca="false">IF($D757="","",IFERROR(INDEX(المنتجات!$B$5:$B$24,MATCH($D757,المنتجات!$A$5:$A$24,0)),""))</f>
        <v/>
      </c>
      <c r="G757" s="24"/>
      <c r="H757" s="25" t="str">
        <f aca="false">IF($D757="","",IFERROR(INDEX(المنتجات!$F$5:$F$24,MATCH($D757,المنتجات!$A$5:$A$24,0)),0))</f>
        <v/>
      </c>
      <c r="I757" s="30"/>
      <c r="J757" s="25" t="str">
        <f aca="false">IF($D757="","",N(G757)*H757-N(I757))</f>
        <v/>
      </c>
      <c r="K757" s="25" t="str">
        <f aca="false">IF($D757="","",N(G757)*IFERROR(INDEX(المنتجات!$H$5:$H$24,MATCH($D757,المنتجات!$A$5:$A$24,0)),0))</f>
        <v/>
      </c>
      <c r="L757" s="25" t="str">
        <f aca="false">IF($D757="","",J757-K757)</f>
        <v/>
      </c>
      <c r="M757" s="29"/>
      <c r="N757" s="29"/>
    </row>
    <row r="758" customFormat="false" ht="15" hidden="false" customHeight="false" outlineLevel="0" collapsed="false">
      <c r="A758" s="32"/>
      <c r="B758" s="29"/>
      <c r="C758" s="29"/>
      <c r="D758" s="29"/>
      <c r="E758" s="28" t="str">
        <f aca="false">IF($D758="","",IFERROR(INDEX(المنتجات!$C$5:$C$24,MATCH($D758,المنتجات!$A$5:$A$24,0)),"كود غير موجود"))</f>
        <v/>
      </c>
      <c r="F758" s="28" t="str">
        <f aca="false">IF($D758="","",IFERROR(INDEX(المنتجات!$B$5:$B$24,MATCH($D758,المنتجات!$A$5:$A$24,0)),""))</f>
        <v/>
      </c>
      <c r="G758" s="24"/>
      <c r="H758" s="25" t="str">
        <f aca="false">IF($D758="","",IFERROR(INDEX(المنتجات!$F$5:$F$24,MATCH($D758,المنتجات!$A$5:$A$24,0)),0))</f>
        <v/>
      </c>
      <c r="I758" s="30"/>
      <c r="J758" s="25" t="str">
        <f aca="false">IF($D758="","",N(G758)*H758-N(I758))</f>
        <v/>
      </c>
      <c r="K758" s="25" t="str">
        <f aca="false">IF($D758="","",N(G758)*IFERROR(INDEX(المنتجات!$H$5:$H$24,MATCH($D758,المنتجات!$A$5:$A$24,0)),0))</f>
        <v/>
      </c>
      <c r="L758" s="25" t="str">
        <f aca="false">IF($D758="","",J758-K758)</f>
        <v/>
      </c>
      <c r="M758" s="29"/>
      <c r="N758" s="29"/>
    </row>
    <row r="759" customFormat="false" ht="15" hidden="false" customHeight="false" outlineLevel="0" collapsed="false">
      <c r="A759" s="32"/>
      <c r="B759" s="29"/>
      <c r="C759" s="29"/>
      <c r="D759" s="29"/>
      <c r="E759" s="28" t="str">
        <f aca="false">IF($D759="","",IFERROR(INDEX(المنتجات!$C$5:$C$24,MATCH($D759,المنتجات!$A$5:$A$24,0)),"كود غير موجود"))</f>
        <v/>
      </c>
      <c r="F759" s="28" t="str">
        <f aca="false">IF($D759="","",IFERROR(INDEX(المنتجات!$B$5:$B$24,MATCH($D759,المنتجات!$A$5:$A$24,0)),""))</f>
        <v/>
      </c>
      <c r="G759" s="24"/>
      <c r="H759" s="25" t="str">
        <f aca="false">IF($D759="","",IFERROR(INDEX(المنتجات!$F$5:$F$24,MATCH($D759,المنتجات!$A$5:$A$24,0)),0))</f>
        <v/>
      </c>
      <c r="I759" s="30"/>
      <c r="J759" s="25" t="str">
        <f aca="false">IF($D759="","",N(G759)*H759-N(I759))</f>
        <v/>
      </c>
      <c r="K759" s="25" t="str">
        <f aca="false">IF($D759="","",N(G759)*IFERROR(INDEX(المنتجات!$H$5:$H$24,MATCH($D759,المنتجات!$A$5:$A$24,0)),0))</f>
        <v/>
      </c>
      <c r="L759" s="25" t="str">
        <f aca="false">IF($D759="","",J759-K759)</f>
        <v/>
      </c>
      <c r="M759" s="29"/>
      <c r="N759" s="29"/>
    </row>
    <row r="760" customFormat="false" ht="15" hidden="false" customHeight="false" outlineLevel="0" collapsed="false">
      <c r="A760" s="32"/>
      <c r="B760" s="29"/>
      <c r="C760" s="29"/>
      <c r="D760" s="29"/>
      <c r="E760" s="28" t="str">
        <f aca="false">IF($D760="","",IFERROR(INDEX(المنتجات!$C$5:$C$24,MATCH($D760,المنتجات!$A$5:$A$24,0)),"كود غير موجود"))</f>
        <v/>
      </c>
      <c r="F760" s="28" t="str">
        <f aca="false">IF($D760="","",IFERROR(INDEX(المنتجات!$B$5:$B$24,MATCH($D760,المنتجات!$A$5:$A$24,0)),""))</f>
        <v/>
      </c>
      <c r="G760" s="24"/>
      <c r="H760" s="25" t="str">
        <f aca="false">IF($D760="","",IFERROR(INDEX(المنتجات!$F$5:$F$24,MATCH($D760,المنتجات!$A$5:$A$24,0)),0))</f>
        <v/>
      </c>
      <c r="I760" s="30"/>
      <c r="J760" s="25" t="str">
        <f aca="false">IF($D760="","",N(G760)*H760-N(I760))</f>
        <v/>
      </c>
      <c r="K760" s="25" t="str">
        <f aca="false">IF($D760="","",N(G760)*IFERROR(INDEX(المنتجات!$H$5:$H$24,MATCH($D760,المنتجات!$A$5:$A$24,0)),0))</f>
        <v/>
      </c>
      <c r="L760" s="25" t="str">
        <f aca="false">IF($D760="","",J760-K760)</f>
        <v/>
      </c>
      <c r="M760" s="29"/>
      <c r="N760" s="29"/>
    </row>
    <row r="761" customFormat="false" ht="15" hidden="false" customHeight="false" outlineLevel="0" collapsed="false">
      <c r="A761" s="32"/>
      <c r="B761" s="29"/>
      <c r="C761" s="29"/>
      <c r="D761" s="29"/>
      <c r="E761" s="28" t="str">
        <f aca="false">IF($D761="","",IFERROR(INDEX(المنتجات!$C$5:$C$24,MATCH($D761,المنتجات!$A$5:$A$24,0)),"كود غير موجود"))</f>
        <v/>
      </c>
      <c r="F761" s="28" t="str">
        <f aca="false">IF($D761="","",IFERROR(INDEX(المنتجات!$B$5:$B$24,MATCH($D761,المنتجات!$A$5:$A$24,0)),""))</f>
        <v/>
      </c>
      <c r="G761" s="24"/>
      <c r="H761" s="25" t="str">
        <f aca="false">IF($D761="","",IFERROR(INDEX(المنتجات!$F$5:$F$24,MATCH($D761,المنتجات!$A$5:$A$24,0)),0))</f>
        <v/>
      </c>
      <c r="I761" s="30"/>
      <c r="J761" s="25" t="str">
        <f aca="false">IF($D761="","",N(G761)*H761-N(I761))</f>
        <v/>
      </c>
      <c r="K761" s="25" t="str">
        <f aca="false">IF($D761="","",N(G761)*IFERROR(INDEX(المنتجات!$H$5:$H$24,MATCH($D761,المنتجات!$A$5:$A$24,0)),0))</f>
        <v/>
      </c>
      <c r="L761" s="25" t="str">
        <f aca="false">IF($D761="","",J761-K761)</f>
        <v/>
      </c>
      <c r="M761" s="29"/>
      <c r="N761" s="29"/>
    </row>
    <row r="762" customFormat="false" ht="15" hidden="false" customHeight="false" outlineLevel="0" collapsed="false">
      <c r="A762" s="32"/>
      <c r="B762" s="29"/>
      <c r="C762" s="29"/>
      <c r="D762" s="29"/>
      <c r="E762" s="28" t="str">
        <f aca="false">IF($D762="","",IFERROR(INDEX(المنتجات!$C$5:$C$24,MATCH($D762,المنتجات!$A$5:$A$24,0)),"كود غير موجود"))</f>
        <v/>
      </c>
      <c r="F762" s="28" t="str">
        <f aca="false">IF($D762="","",IFERROR(INDEX(المنتجات!$B$5:$B$24,MATCH($D762,المنتجات!$A$5:$A$24,0)),""))</f>
        <v/>
      </c>
      <c r="G762" s="24"/>
      <c r="H762" s="25" t="str">
        <f aca="false">IF($D762="","",IFERROR(INDEX(المنتجات!$F$5:$F$24,MATCH($D762,المنتجات!$A$5:$A$24,0)),0))</f>
        <v/>
      </c>
      <c r="I762" s="30"/>
      <c r="J762" s="25" t="str">
        <f aca="false">IF($D762="","",N(G762)*H762-N(I762))</f>
        <v/>
      </c>
      <c r="K762" s="25" t="str">
        <f aca="false">IF($D762="","",N(G762)*IFERROR(INDEX(المنتجات!$H$5:$H$24,MATCH($D762,المنتجات!$A$5:$A$24,0)),0))</f>
        <v/>
      </c>
      <c r="L762" s="25" t="str">
        <f aca="false">IF($D762="","",J762-K762)</f>
        <v/>
      </c>
      <c r="M762" s="29"/>
      <c r="N762" s="29"/>
    </row>
    <row r="763" customFormat="false" ht="15" hidden="false" customHeight="false" outlineLevel="0" collapsed="false">
      <c r="A763" s="32"/>
      <c r="B763" s="29"/>
      <c r="C763" s="29"/>
      <c r="D763" s="29"/>
      <c r="E763" s="28" t="str">
        <f aca="false">IF($D763="","",IFERROR(INDEX(المنتجات!$C$5:$C$24,MATCH($D763,المنتجات!$A$5:$A$24,0)),"كود غير موجود"))</f>
        <v/>
      </c>
      <c r="F763" s="28" t="str">
        <f aca="false">IF($D763="","",IFERROR(INDEX(المنتجات!$B$5:$B$24,MATCH($D763,المنتجات!$A$5:$A$24,0)),""))</f>
        <v/>
      </c>
      <c r="G763" s="24"/>
      <c r="H763" s="25" t="str">
        <f aca="false">IF($D763="","",IFERROR(INDEX(المنتجات!$F$5:$F$24,MATCH($D763,المنتجات!$A$5:$A$24,0)),0))</f>
        <v/>
      </c>
      <c r="I763" s="30"/>
      <c r="J763" s="25" t="str">
        <f aca="false">IF($D763="","",N(G763)*H763-N(I763))</f>
        <v/>
      </c>
      <c r="K763" s="25" t="str">
        <f aca="false">IF($D763="","",N(G763)*IFERROR(INDEX(المنتجات!$H$5:$H$24,MATCH($D763,المنتجات!$A$5:$A$24,0)),0))</f>
        <v/>
      </c>
      <c r="L763" s="25" t="str">
        <f aca="false">IF($D763="","",J763-K763)</f>
        <v/>
      </c>
      <c r="M763" s="29"/>
      <c r="N763" s="29"/>
    </row>
    <row r="764" customFormat="false" ht="15" hidden="false" customHeight="false" outlineLevel="0" collapsed="false">
      <c r="A764" s="32"/>
      <c r="B764" s="29"/>
      <c r="C764" s="29"/>
      <c r="D764" s="29"/>
      <c r="E764" s="28" t="str">
        <f aca="false">IF($D764="","",IFERROR(INDEX(المنتجات!$C$5:$C$24,MATCH($D764,المنتجات!$A$5:$A$24,0)),"كود غير موجود"))</f>
        <v/>
      </c>
      <c r="F764" s="28" t="str">
        <f aca="false">IF($D764="","",IFERROR(INDEX(المنتجات!$B$5:$B$24,MATCH($D764,المنتجات!$A$5:$A$24,0)),""))</f>
        <v/>
      </c>
      <c r="G764" s="24"/>
      <c r="H764" s="25" t="str">
        <f aca="false">IF($D764="","",IFERROR(INDEX(المنتجات!$F$5:$F$24,MATCH($D764,المنتجات!$A$5:$A$24,0)),0))</f>
        <v/>
      </c>
      <c r="I764" s="30"/>
      <c r="J764" s="25" t="str">
        <f aca="false">IF($D764="","",N(G764)*H764-N(I764))</f>
        <v/>
      </c>
      <c r="K764" s="25" t="str">
        <f aca="false">IF($D764="","",N(G764)*IFERROR(INDEX(المنتجات!$H$5:$H$24,MATCH($D764,المنتجات!$A$5:$A$24,0)),0))</f>
        <v/>
      </c>
      <c r="L764" s="25" t="str">
        <f aca="false">IF($D764="","",J764-K764)</f>
        <v/>
      </c>
      <c r="M764" s="29"/>
      <c r="N764" s="29"/>
    </row>
    <row r="765" customFormat="false" ht="15" hidden="false" customHeight="false" outlineLevel="0" collapsed="false">
      <c r="A765" s="32"/>
      <c r="B765" s="29"/>
      <c r="C765" s="29"/>
      <c r="D765" s="29"/>
      <c r="E765" s="28" t="str">
        <f aca="false">IF($D765="","",IFERROR(INDEX(المنتجات!$C$5:$C$24,MATCH($D765,المنتجات!$A$5:$A$24,0)),"كود غير موجود"))</f>
        <v/>
      </c>
      <c r="F765" s="28" t="str">
        <f aca="false">IF($D765="","",IFERROR(INDEX(المنتجات!$B$5:$B$24,MATCH($D765,المنتجات!$A$5:$A$24,0)),""))</f>
        <v/>
      </c>
      <c r="G765" s="24"/>
      <c r="H765" s="25" t="str">
        <f aca="false">IF($D765="","",IFERROR(INDEX(المنتجات!$F$5:$F$24,MATCH($D765,المنتجات!$A$5:$A$24,0)),0))</f>
        <v/>
      </c>
      <c r="I765" s="30"/>
      <c r="J765" s="25" t="str">
        <f aca="false">IF($D765="","",N(G765)*H765-N(I765))</f>
        <v/>
      </c>
      <c r="K765" s="25" t="str">
        <f aca="false">IF($D765="","",N(G765)*IFERROR(INDEX(المنتجات!$H$5:$H$24,MATCH($D765,المنتجات!$A$5:$A$24,0)),0))</f>
        <v/>
      </c>
      <c r="L765" s="25" t="str">
        <f aca="false">IF($D765="","",J765-K765)</f>
        <v/>
      </c>
      <c r="M765" s="29"/>
      <c r="N765" s="29"/>
    </row>
    <row r="766" customFormat="false" ht="15" hidden="false" customHeight="false" outlineLevel="0" collapsed="false">
      <c r="A766" s="32"/>
      <c r="B766" s="29"/>
      <c r="C766" s="29"/>
      <c r="D766" s="29"/>
      <c r="E766" s="28" t="str">
        <f aca="false">IF($D766="","",IFERROR(INDEX(المنتجات!$C$5:$C$24,MATCH($D766,المنتجات!$A$5:$A$24,0)),"كود غير موجود"))</f>
        <v/>
      </c>
      <c r="F766" s="28" t="str">
        <f aca="false">IF($D766="","",IFERROR(INDEX(المنتجات!$B$5:$B$24,MATCH($D766,المنتجات!$A$5:$A$24,0)),""))</f>
        <v/>
      </c>
      <c r="G766" s="24"/>
      <c r="H766" s="25" t="str">
        <f aca="false">IF($D766="","",IFERROR(INDEX(المنتجات!$F$5:$F$24,MATCH($D766,المنتجات!$A$5:$A$24,0)),0))</f>
        <v/>
      </c>
      <c r="I766" s="30"/>
      <c r="J766" s="25" t="str">
        <f aca="false">IF($D766="","",N(G766)*H766-N(I766))</f>
        <v/>
      </c>
      <c r="K766" s="25" t="str">
        <f aca="false">IF($D766="","",N(G766)*IFERROR(INDEX(المنتجات!$H$5:$H$24,MATCH($D766,المنتجات!$A$5:$A$24,0)),0))</f>
        <v/>
      </c>
      <c r="L766" s="25" t="str">
        <f aca="false">IF($D766="","",J766-K766)</f>
        <v/>
      </c>
      <c r="M766" s="29"/>
      <c r="N766" s="29"/>
    </row>
    <row r="767" customFormat="false" ht="15" hidden="false" customHeight="false" outlineLevel="0" collapsed="false">
      <c r="A767" s="32"/>
      <c r="B767" s="29"/>
      <c r="C767" s="29"/>
      <c r="D767" s="29"/>
      <c r="E767" s="28" t="str">
        <f aca="false">IF($D767="","",IFERROR(INDEX(المنتجات!$C$5:$C$24,MATCH($D767,المنتجات!$A$5:$A$24,0)),"كود غير موجود"))</f>
        <v/>
      </c>
      <c r="F767" s="28" t="str">
        <f aca="false">IF($D767="","",IFERROR(INDEX(المنتجات!$B$5:$B$24,MATCH($D767,المنتجات!$A$5:$A$24,0)),""))</f>
        <v/>
      </c>
      <c r="G767" s="24"/>
      <c r="H767" s="25" t="str">
        <f aca="false">IF($D767="","",IFERROR(INDEX(المنتجات!$F$5:$F$24,MATCH($D767,المنتجات!$A$5:$A$24,0)),0))</f>
        <v/>
      </c>
      <c r="I767" s="30"/>
      <c r="J767" s="25" t="str">
        <f aca="false">IF($D767="","",N(G767)*H767-N(I767))</f>
        <v/>
      </c>
      <c r="K767" s="25" t="str">
        <f aca="false">IF($D767="","",N(G767)*IFERROR(INDEX(المنتجات!$H$5:$H$24,MATCH($D767,المنتجات!$A$5:$A$24,0)),0))</f>
        <v/>
      </c>
      <c r="L767" s="25" t="str">
        <f aca="false">IF($D767="","",J767-K767)</f>
        <v/>
      </c>
      <c r="M767" s="29"/>
      <c r="N767" s="29"/>
    </row>
    <row r="768" customFormat="false" ht="15" hidden="false" customHeight="false" outlineLevel="0" collapsed="false">
      <c r="A768" s="32"/>
      <c r="B768" s="29"/>
      <c r="C768" s="29"/>
      <c r="D768" s="29"/>
      <c r="E768" s="28" t="str">
        <f aca="false">IF($D768="","",IFERROR(INDEX(المنتجات!$C$5:$C$24,MATCH($D768,المنتجات!$A$5:$A$24,0)),"كود غير موجود"))</f>
        <v/>
      </c>
      <c r="F768" s="28" t="str">
        <f aca="false">IF($D768="","",IFERROR(INDEX(المنتجات!$B$5:$B$24,MATCH($D768,المنتجات!$A$5:$A$24,0)),""))</f>
        <v/>
      </c>
      <c r="G768" s="24"/>
      <c r="H768" s="25" t="str">
        <f aca="false">IF($D768="","",IFERROR(INDEX(المنتجات!$F$5:$F$24,MATCH($D768,المنتجات!$A$5:$A$24,0)),0))</f>
        <v/>
      </c>
      <c r="I768" s="30"/>
      <c r="J768" s="25" t="str">
        <f aca="false">IF($D768="","",N(G768)*H768-N(I768))</f>
        <v/>
      </c>
      <c r="K768" s="25" t="str">
        <f aca="false">IF($D768="","",N(G768)*IFERROR(INDEX(المنتجات!$H$5:$H$24,MATCH($D768,المنتجات!$A$5:$A$24,0)),0))</f>
        <v/>
      </c>
      <c r="L768" s="25" t="str">
        <f aca="false">IF($D768="","",J768-K768)</f>
        <v/>
      </c>
      <c r="M768" s="29"/>
      <c r="N768" s="29"/>
    </row>
    <row r="769" customFormat="false" ht="15" hidden="false" customHeight="false" outlineLevel="0" collapsed="false">
      <c r="A769" s="32"/>
      <c r="B769" s="29"/>
      <c r="C769" s="29"/>
      <c r="D769" s="29"/>
      <c r="E769" s="28" t="str">
        <f aca="false">IF($D769="","",IFERROR(INDEX(المنتجات!$C$5:$C$24,MATCH($D769,المنتجات!$A$5:$A$24,0)),"كود غير موجود"))</f>
        <v/>
      </c>
      <c r="F769" s="28" t="str">
        <f aca="false">IF($D769="","",IFERROR(INDEX(المنتجات!$B$5:$B$24,MATCH($D769,المنتجات!$A$5:$A$24,0)),""))</f>
        <v/>
      </c>
      <c r="G769" s="24"/>
      <c r="H769" s="25" t="str">
        <f aca="false">IF($D769="","",IFERROR(INDEX(المنتجات!$F$5:$F$24,MATCH($D769,المنتجات!$A$5:$A$24,0)),0))</f>
        <v/>
      </c>
      <c r="I769" s="30"/>
      <c r="J769" s="25" t="str">
        <f aca="false">IF($D769="","",N(G769)*H769-N(I769))</f>
        <v/>
      </c>
      <c r="K769" s="25" t="str">
        <f aca="false">IF($D769="","",N(G769)*IFERROR(INDEX(المنتجات!$H$5:$H$24,MATCH($D769,المنتجات!$A$5:$A$24,0)),0))</f>
        <v/>
      </c>
      <c r="L769" s="25" t="str">
        <f aca="false">IF($D769="","",J769-K769)</f>
        <v/>
      </c>
      <c r="M769" s="29"/>
      <c r="N769" s="29"/>
    </row>
    <row r="770" customFormat="false" ht="15" hidden="false" customHeight="false" outlineLevel="0" collapsed="false">
      <c r="A770" s="32"/>
      <c r="B770" s="29"/>
      <c r="C770" s="29"/>
      <c r="D770" s="29"/>
      <c r="E770" s="28" t="str">
        <f aca="false">IF($D770="","",IFERROR(INDEX(المنتجات!$C$5:$C$24,MATCH($D770,المنتجات!$A$5:$A$24,0)),"كود غير موجود"))</f>
        <v/>
      </c>
      <c r="F770" s="28" t="str">
        <f aca="false">IF($D770="","",IFERROR(INDEX(المنتجات!$B$5:$B$24,MATCH($D770,المنتجات!$A$5:$A$24,0)),""))</f>
        <v/>
      </c>
      <c r="G770" s="24"/>
      <c r="H770" s="25" t="str">
        <f aca="false">IF($D770="","",IFERROR(INDEX(المنتجات!$F$5:$F$24,MATCH($D770,المنتجات!$A$5:$A$24,0)),0))</f>
        <v/>
      </c>
      <c r="I770" s="30"/>
      <c r="J770" s="25" t="str">
        <f aca="false">IF($D770="","",N(G770)*H770-N(I770))</f>
        <v/>
      </c>
      <c r="K770" s="25" t="str">
        <f aca="false">IF($D770="","",N(G770)*IFERROR(INDEX(المنتجات!$H$5:$H$24,MATCH($D770,المنتجات!$A$5:$A$24,0)),0))</f>
        <v/>
      </c>
      <c r="L770" s="25" t="str">
        <f aca="false">IF($D770="","",J770-K770)</f>
        <v/>
      </c>
      <c r="M770" s="29"/>
      <c r="N770" s="29"/>
    </row>
    <row r="771" customFormat="false" ht="15" hidden="false" customHeight="false" outlineLevel="0" collapsed="false">
      <c r="A771" s="32"/>
      <c r="B771" s="29"/>
      <c r="C771" s="29"/>
      <c r="D771" s="29"/>
      <c r="E771" s="28" t="str">
        <f aca="false">IF($D771="","",IFERROR(INDEX(المنتجات!$C$5:$C$24,MATCH($D771,المنتجات!$A$5:$A$24,0)),"كود غير موجود"))</f>
        <v/>
      </c>
      <c r="F771" s="28" t="str">
        <f aca="false">IF($D771="","",IFERROR(INDEX(المنتجات!$B$5:$B$24,MATCH($D771,المنتجات!$A$5:$A$24,0)),""))</f>
        <v/>
      </c>
      <c r="G771" s="24"/>
      <c r="H771" s="25" t="str">
        <f aca="false">IF($D771="","",IFERROR(INDEX(المنتجات!$F$5:$F$24,MATCH($D771,المنتجات!$A$5:$A$24,0)),0))</f>
        <v/>
      </c>
      <c r="I771" s="30"/>
      <c r="J771" s="25" t="str">
        <f aca="false">IF($D771="","",N(G771)*H771-N(I771))</f>
        <v/>
      </c>
      <c r="K771" s="25" t="str">
        <f aca="false">IF($D771="","",N(G771)*IFERROR(INDEX(المنتجات!$H$5:$H$24,MATCH($D771,المنتجات!$A$5:$A$24,0)),0))</f>
        <v/>
      </c>
      <c r="L771" s="25" t="str">
        <f aca="false">IF($D771="","",J771-K771)</f>
        <v/>
      </c>
      <c r="M771" s="29"/>
      <c r="N771" s="29"/>
    </row>
    <row r="772" customFormat="false" ht="15" hidden="false" customHeight="false" outlineLevel="0" collapsed="false">
      <c r="A772" s="32"/>
      <c r="B772" s="29"/>
      <c r="C772" s="29"/>
      <c r="D772" s="29"/>
      <c r="E772" s="28" t="str">
        <f aca="false">IF($D772="","",IFERROR(INDEX(المنتجات!$C$5:$C$24,MATCH($D772,المنتجات!$A$5:$A$24,0)),"كود غير موجود"))</f>
        <v/>
      </c>
      <c r="F772" s="28" t="str">
        <f aca="false">IF($D772="","",IFERROR(INDEX(المنتجات!$B$5:$B$24,MATCH($D772,المنتجات!$A$5:$A$24,0)),""))</f>
        <v/>
      </c>
      <c r="G772" s="24"/>
      <c r="H772" s="25" t="str">
        <f aca="false">IF($D772="","",IFERROR(INDEX(المنتجات!$F$5:$F$24,MATCH($D772,المنتجات!$A$5:$A$24,0)),0))</f>
        <v/>
      </c>
      <c r="I772" s="30"/>
      <c r="J772" s="25" t="str">
        <f aca="false">IF($D772="","",N(G772)*H772-N(I772))</f>
        <v/>
      </c>
      <c r="K772" s="25" t="str">
        <f aca="false">IF($D772="","",N(G772)*IFERROR(INDEX(المنتجات!$H$5:$H$24,MATCH($D772,المنتجات!$A$5:$A$24,0)),0))</f>
        <v/>
      </c>
      <c r="L772" s="25" t="str">
        <f aca="false">IF($D772="","",J772-K772)</f>
        <v/>
      </c>
      <c r="M772" s="29"/>
      <c r="N772" s="29"/>
    </row>
    <row r="773" customFormat="false" ht="15" hidden="false" customHeight="false" outlineLevel="0" collapsed="false">
      <c r="A773" s="32"/>
      <c r="B773" s="29"/>
      <c r="C773" s="29"/>
      <c r="D773" s="29"/>
      <c r="E773" s="28" t="str">
        <f aca="false">IF($D773="","",IFERROR(INDEX(المنتجات!$C$5:$C$24,MATCH($D773,المنتجات!$A$5:$A$24,0)),"كود غير موجود"))</f>
        <v/>
      </c>
      <c r="F773" s="28" t="str">
        <f aca="false">IF($D773="","",IFERROR(INDEX(المنتجات!$B$5:$B$24,MATCH($D773,المنتجات!$A$5:$A$24,0)),""))</f>
        <v/>
      </c>
      <c r="G773" s="24"/>
      <c r="H773" s="25" t="str">
        <f aca="false">IF($D773="","",IFERROR(INDEX(المنتجات!$F$5:$F$24,MATCH($D773,المنتجات!$A$5:$A$24,0)),0))</f>
        <v/>
      </c>
      <c r="I773" s="30"/>
      <c r="J773" s="25" t="str">
        <f aca="false">IF($D773="","",N(G773)*H773-N(I773))</f>
        <v/>
      </c>
      <c r="K773" s="25" t="str">
        <f aca="false">IF($D773="","",N(G773)*IFERROR(INDEX(المنتجات!$H$5:$H$24,MATCH($D773,المنتجات!$A$5:$A$24,0)),0))</f>
        <v/>
      </c>
      <c r="L773" s="25" t="str">
        <f aca="false">IF($D773="","",J773-K773)</f>
        <v/>
      </c>
      <c r="M773" s="29"/>
      <c r="N773" s="29"/>
    </row>
    <row r="774" customFormat="false" ht="15" hidden="false" customHeight="false" outlineLevel="0" collapsed="false">
      <c r="A774" s="32"/>
      <c r="B774" s="29"/>
      <c r="C774" s="29"/>
      <c r="D774" s="29"/>
      <c r="E774" s="28" t="str">
        <f aca="false">IF($D774="","",IFERROR(INDEX(المنتجات!$C$5:$C$24,MATCH($D774,المنتجات!$A$5:$A$24,0)),"كود غير موجود"))</f>
        <v/>
      </c>
      <c r="F774" s="28" t="str">
        <f aca="false">IF($D774="","",IFERROR(INDEX(المنتجات!$B$5:$B$24,MATCH($D774,المنتجات!$A$5:$A$24,0)),""))</f>
        <v/>
      </c>
      <c r="G774" s="24"/>
      <c r="H774" s="25" t="str">
        <f aca="false">IF($D774="","",IFERROR(INDEX(المنتجات!$F$5:$F$24,MATCH($D774,المنتجات!$A$5:$A$24,0)),0))</f>
        <v/>
      </c>
      <c r="I774" s="30"/>
      <c r="J774" s="25" t="str">
        <f aca="false">IF($D774="","",N(G774)*H774-N(I774))</f>
        <v/>
      </c>
      <c r="K774" s="25" t="str">
        <f aca="false">IF($D774="","",N(G774)*IFERROR(INDEX(المنتجات!$H$5:$H$24,MATCH($D774,المنتجات!$A$5:$A$24,0)),0))</f>
        <v/>
      </c>
      <c r="L774" s="25" t="str">
        <f aca="false">IF($D774="","",J774-K774)</f>
        <v/>
      </c>
      <c r="M774" s="29"/>
      <c r="N774" s="29"/>
    </row>
    <row r="775" customFormat="false" ht="15" hidden="false" customHeight="false" outlineLevel="0" collapsed="false">
      <c r="A775" s="32"/>
      <c r="B775" s="29"/>
      <c r="C775" s="29"/>
      <c r="D775" s="29"/>
      <c r="E775" s="28" t="str">
        <f aca="false">IF($D775="","",IFERROR(INDEX(المنتجات!$C$5:$C$24,MATCH($D775,المنتجات!$A$5:$A$24,0)),"كود غير موجود"))</f>
        <v/>
      </c>
      <c r="F775" s="28" t="str">
        <f aca="false">IF($D775="","",IFERROR(INDEX(المنتجات!$B$5:$B$24,MATCH($D775,المنتجات!$A$5:$A$24,0)),""))</f>
        <v/>
      </c>
      <c r="G775" s="24"/>
      <c r="H775" s="25" t="str">
        <f aca="false">IF($D775="","",IFERROR(INDEX(المنتجات!$F$5:$F$24,MATCH($D775,المنتجات!$A$5:$A$24,0)),0))</f>
        <v/>
      </c>
      <c r="I775" s="30"/>
      <c r="J775" s="25" t="str">
        <f aca="false">IF($D775="","",N(G775)*H775-N(I775))</f>
        <v/>
      </c>
      <c r="K775" s="25" t="str">
        <f aca="false">IF($D775="","",N(G775)*IFERROR(INDEX(المنتجات!$H$5:$H$24,MATCH($D775,المنتجات!$A$5:$A$24,0)),0))</f>
        <v/>
      </c>
      <c r="L775" s="25" t="str">
        <f aca="false">IF($D775="","",J775-K775)</f>
        <v/>
      </c>
      <c r="M775" s="29"/>
      <c r="N775" s="29"/>
    </row>
    <row r="776" customFormat="false" ht="15" hidden="false" customHeight="false" outlineLevel="0" collapsed="false">
      <c r="A776" s="32"/>
      <c r="B776" s="29"/>
      <c r="C776" s="29"/>
      <c r="D776" s="29"/>
      <c r="E776" s="28" t="str">
        <f aca="false">IF($D776="","",IFERROR(INDEX(المنتجات!$C$5:$C$24,MATCH($D776,المنتجات!$A$5:$A$24,0)),"كود غير موجود"))</f>
        <v/>
      </c>
      <c r="F776" s="28" t="str">
        <f aca="false">IF($D776="","",IFERROR(INDEX(المنتجات!$B$5:$B$24,MATCH($D776,المنتجات!$A$5:$A$24,0)),""))</f>
        <v/>
      </c>
      <c r="G776" s="24"/>
      <c r="H776" s="25" t="str">
        <f aca="false">IF($D776="","",IFERROR(INDEX(المنتجات!$F$5:$F$24,MATCH($D776,المنتجات!$A$5:$A$24,0)),0))</f>
        <v/>
      </c>
      <c r="I776" s="30"/>
      <c r="J776" s="25" t="str">
        <f aca="false">IF($D776="","",N(G776)*H776-N(I776))</f>
        <v/>
      </c>
      <c r="K776" s="25" t="str">
        <f aca="false">IF($D776="","",N(G776)*IFERROR(INDEX(المنتجات!$H$5:$H$24,MATCH($D776,المنتجات!$A$5:$A$24,0)),0))</f>
        <v/>
      </c>
      <c r="L776" s="25" t="str">
        <f aca="false">IF($D776="","",J776-K776)</f>
        <v/>
      </c>
      <c r="M776" s="29"/>
      <c r="N776" s="29"/>
    </row>
    <row r="777" customFormat="false" ht="15" hidden="false" customHeight="false" outlineLevel="0" collapsed="false">
      <c r="A777" s="32"/>
      <c r="B777" s="29"/>
      <c r="C777" s="29"/>
      <c r="D777" s="29"/>
      <c r="E777" s="28" t="str">
        <f aca="false">IF($D777="","",IFERROR(INDEX(المنتجات!$C$5:$C$24,MATCH($D777,المنتجات!$A$5:$A$24,0)),"كود غير موجود"))</f>
        <v/>
      </c>
      <c r="F777" s="28" t="str">
        <f aca="false">IF($D777="","",IFERROR(INDEX(المنتجات!$B$5:$B$24,MATCH($D777,المنتجات!$A$5:$A$24,0)),""))</f>
        <v/>
      </c>
      <c r="G777" s="24"/>
      <c r="H777" s="25" t="str">
        <f aca="false">IF($D777="","",IFERROR(INDEX(المنتجات!$F$5:$F$24,MATCH($D777,المنتجات!$A$5:$A$24,0)),0))</f>
        <v/>
      </c>
      <c r="I777" s="30"/>
      <c r="J777" s="25" t="str">
        <f aca="false">IF($D777="","",N(G777)*H777-N(I777))</f>
        <v/>
      </c>
      <c r="K777" s="25" t="str">
        <f aca="false">IF($D777="","",N(G777)*IFERROR(INDEX(المنتجات!$H$5:$H$24,MATCH($D777,المنتجات!$A$5:$A$24,0)),0))</f>
        <v/>
      </c>
      <c r="L777" s="25" t="str">
        <f aca="false">IF($D777="","",J777-K777)</f>
        <v/>
      </c>
      <c r="M777" s="29"/>
      <c r="N777" s="29"/>
    </row>
    <row r="778" customFormat="false" ht="15" hidden="false" customHeight="false" outlineLevel="0" collapsed="false">
      <c r="A778" s="32"/>
      <c r="B778" s="29"/>
      <c r="C778" s="29"/>
      <c r="D778" s="29"/>
      <c r="E778" s="28" t="str">
        <f aca="false">IF($D778="","",IFERROR(INDEX(المنتجات!$C$5:$C$24,MATCH($D778,المنتجات!$A$5:$A$24,0)),"كود غير موجود"))</f>
        <v/>
      </c>
      <c r="F778" s="28" t="str">
        <f aca="false">IF($D778="","",IFERROR(INDEX(المنتجات!$B$5:$B$24,MATCH($D778,المنتجات!$A$5:$A$24,0)),""))</f>
        <v/>
      </c>
      <c r="G778" s="24"/>
      <c r="H778" s="25" t="str">
        <f aca="false">IF($D778="","",IFERROR(INDEX(المنتجات!$F$5:$F$24,MATCH($D778,المنتجات!$A$5:$A$24,0)),0))</f>
        <v/>
      </c>
      <c r="I778" s="30"/>
      <c r="J778" s="25" t="str">
        <f aca="false">IF($D778="","",N(G778)*H778-N(I778))</f>
        <v/>
      </c>
      <c r="K778" s="25" t="str">
        <f aca="false">IF($D778="","",N(G778)*IFERROR(INDEX(المنتجات!$H$5:$H$24,MATCH($D778,المنتجات!$A$5:$A$24,0)),0))</f>
        <v/>
      </c>
      <c r="L778" s="25" t="str">
        <f aca="false">IF($D778="","",J778-K778)</f>
        <v/>
      </c>
      <c r="M778" s="29"/>
      <c r="N778" s="29"/>
    </row>
    <row r="779" customFormat="false" ht="15" hidden="false" customHeight="false" outlineLevel="0" collapsed="false">
      <c r="A779" s="32"/>
      <c r="B779" s="29"/>
      <c r="C779" s="29"/>
      <c r="D779" s="29"/>
      <c r="E779" s="28" t="str">
        <f aca="false">IF($D779="","",IFERROR(INDEX(المنتجات!$C$5:$C$24,MATCH($D779,المنتجات!$A$5:$A$24,0)),"كود غير موجود"))</f>
        <v/>
      </c>
      <c r="F779" s="28" t="str">
        <f aca="false">IF($D779="","",IFERROR(INDEX(المنتجات!$B$5:$B$24,MATCH($D779,المنتجات!$A$5:$A$24,0)),""))</f>
        <v/>
      </c>
      <c r="G779" s="24"/>
      <c r="H779" s="25" t="str">
        <f aca="false">IF($D779="","",IFERROR(INDEX(المنتجات!$F$5:$F$24,MATCH($D779,المنتجات!$A$5:$A$24,0)),0))</f>
        <v/>
      </c>
      <c r="I779" s="30"/>
      <c r="J779" s="25" t="str">
        <f aca="false">IF($D779="","",N(G779)*H779-N(I779))</f>
        <v/>
      </c>
      <c r="K779" s="25" t="str">
        <f aca="false">IF($D779="","",N(G779)*IFERROR(INDEX(المنتجات!$H$5:$H$24,MATCH($D779,المنتجات!$A$5:$A$24,0)),0))</f>
        <v/>
      </c>
      <c r="L779" s="25" t="str">
        <f aca="false">IF($D779="","",J779-K779)</f>
        <v/>
      </c>
      <c r="M779" s="29"/>
      <c r="N779" s="29"/>
    </row>
    <row r="780" customFormat="false" ht="15" hidden="false" customHeight="false" outlineLevel="0" collapsed="false">
      <c r="A780" s="32"/>
      <c r="B780" s="29"/>
      <c r="C780" s="29"/>
      <c r="D780" s="29"/>
      <c r="E780" s="28" t="str">
        <f aca="false">IF($D780="","",IFERROR(INDEX(المنتجات!$C$5:$C$24,MATCH($D780,المنتجات!$A$5:$A$24,0)),"كود غير موجود"))</f>
        <v/>
      </c>
      <c r="F780" s="28" t="str">
        <f aca="false">IF($D780="","",IFERROR(INDEX(المنتجات!$B$5:$B$24,MATCH($D780,المنتجات!$A$5:$A$24,0)),""))</f>
        <v/>
      </c>
      <c r="G780" s="24"/>
      <c r="H780" s="25" t="str">
        <f aca="false">IF($D780="","",IFERROR(INDEX(المنتجات!$F$5:$F$24,MATCH($D780,المنتجات!$A$5:$A$24,0)),0))</f>
        <v/>
      </c>
      <c r="I780" s="30"/>
      <c r="J780" s="25" t="str">
        <f aca="false">IF($D780="","",N(G780)*H780-N(I780))</f>
        <v/>
      </c>
      <c r="K780" s="25" t="str">
        <f aca="false">IF($D780="","",N(G780)*IFERROR(INDEX(المنتجات!$H$5:$H$24,MATCH($D780,المنتجات!$A$5:$A$24,0)),0))</f>
        <v/>
      </c>
      <c r="L780" s="25" t="str">
        <f aca="false">IF($D780="","",J780-K780)</f>
        <v/>
      </c>
      <c r="M780" s="29"/>
      <c r="N780" s="29"/>
    </row>
    <row r="781" customFormat="false" ht="15" hidden="false" customHeight="false" outlineLevel="0" collapsed="false">
      <c r="A781" s="32"/>
      <c r="B781" s="29"/>
      <c r="C781" s="29"/>
      <c r="D781" s="29"/>
      <c r="E781" s="28" t="str">
        <f aca="false">IF($D781="","",IFERROR(INDEX(المنتجات!$C$5:$C$24,MATCH($D781,المنتجات!$A$5:$A$24,0)),"كود غير موجود"))</f>
        <v/>
      </c>
      <c r="F781" s="28" t="str">
        <f aca="false">IF($D781="","",IFERROR(INDEX(المنتجات!$B$5:$B$24,MATCH($D781,المنتجات!$A$5:$A$24,0)),""))</f>
        <v/>
      </c>
      <c r="G781" s="24"/>
      <c r="H781" s="25" t="str">
        <f aca="false">IF($D781="","",IFERROR(INDEX(المنتجات!$F$5:$F$24,MATCH($D781,المنتجات!$A$5:$A$24,0)),0))</f>
        <v/>
      </c>
      <c r="I781" s="30"/>
      <c r="J781" s="25" t="str">
        <f aca="false">IF($D781="","",N(G781)*H781-N(I781))</f>
        <v/>
      </c>
      <c r="K781" s="25" t="str">
        <f aca="false">IF($D781="","",N(G781)*IFERROR(INDEX(المنتجات!$H$5:$H$24,MATCH($D781,المنتجات!$A$5:$A$24,0)),0))</f>
        <v/>
      </c>
      <c r="L781" s="25" t="str">
        <f aca="false">IF($D781="","",J781-K781)</f>
        <v/>
      </c>
      <c r="M781" s="29"/>
      <c r="N781" s="29"/>
    </row>
    <row r="782" customFormat="false" ht="15" hidden="false" customHeight="false" outlineLevel="0" collapsed="false">
      <c r="A782" s="32"/>
      <c r="B782" s="29"/>
      <c r="C782" s="29"/>
      <c r="D782" s="29"/>
      <c r="E782" s="28" t="str">
        <f aca="false">IF($D782="","",IFERROR(INDEX(المنتجات!$C$5:$C$24,MATCH($D782,المنتجات!$A$5:$A$24,0)),"كود غير موجود"))</f>
        <v/>
      </c>
      <c r="F782" s="28" t="str">
        <f aca="false">IF($D782="","",IFERROR(INDEX(المنتجات!$B$5:$B$24,MATCH($D782,المنتجات!$A$5:$A$24,0)),""))</f>
        <v/>
      </c>
      <c r="G782" s="24"/>
      <c r="H782" s="25" t="str">
        <f aca="false">IF($D782="","",IFERROR(INDEX(المنتجات!$F$5:$F$24,MATCH($D782,المنتجات!$A$5:$A$24,0)),0))</f>
        <v/>
      </c>
      <c r="I782" s="30"/>
      <c r="J782" s="25" t="str">
        <f aca="false">IF($D782="","",N(G782)*H782-N(I782))</f>
        <v/>
      </c>
      <c r="K782" s="25" t="str">
        <f aca="false">IF($D782="","",N(G782)*IFERROR(INDEX(المنتجات!$H$5:$H$24,MATCH($D782,المنتجات!$A$5:$A$24,0)),0))</f>
        <v/>
      </c>
      <c r="L782" s="25" t="str">
        <f aca="false">IF($D782="","",J782-K782)</f>
        <v/>
      </c>
      <c r="M782" s="29"/>
      <c r="N782" s="29"/>
    </row>
    <row r="783" customFormat="false" ht="15" hidden="false" customHeight="false" outlineLevel="0" collapsed="false">
      <c r="A783" s="32"/>
      <c r="B783" s="29"/>
      <c r="C783" s="29"/>
      <c r="D783" s="29"/>
      <c r="E783" s="28" t="str">
        <f aca="false">IF($D783="","",IFERROR(INDEX(المنتجات!$C$5:$C$24,MATCH($D783,المنتجات!$A$5:$A$24,0)),"كود غير موجود"))</f>
        <v/>
      </c>
      <c r="F783" s="28" t="str">
        <f aca="false">IF($D783="","",IFERROR(INDEX(المنتجات!$B$5:$B$24,MATCH($D783,المنتجات!$A$5:$A$24,0)),""))</f>
        <v/>
      </c>
      <c r="G783" s="24"/>
      <c r="H783" s="25" t="str">
        <f aca="false">IF($D783="","",IFERROR(INDEX(المنتجات!$F$5:$F$24,MATCH($D783,المنتجات!$A$5:$A$24,0)),0))</f>
        <v/>
      </c>
      <c r="I783" s="30"/>
      <c r="J783" s="25" t="str">
        <f aca="false">IF($D783="","",N(G783)*H783-N(I783))</f>
        <v/>
      </c>
      <c r="K783" s="25" t="str">
        <f aca="false">IF($D783="","",N(G783)*IFERROR(INDEX(المنتجات!$H$5:$H$24,MATCH($D783,المنتجات!$A$5:$A$24,0)),0))</f>
        <v/>
      </c>
      <c r="L783" s="25" t="str">
        <f aca="false">IF($D783="","",J783-K783)</f>
        <v/>
      </c>
      <c r="M783" s="29"/>
      <c r="N783" s="29"/>
    </row>
    <row r="784" customFormat="false" ht="15" hidden="false" customHeight="false" outlineLevel="0" collapsed="false">
      <c r="A784" s="32"/>
      <c r="B784" s="29"/>
      <c r="C784" s="29"/>
      <c r="D784" s="29"/>
      <c r="E784" s="28" t="str">
        <f aca="false">IF($D784="","",IFERROR(INDEX(المنتجات!$C$5:$C$24,MATCH($D784,المنتجات!$A$5:$A$24,0)),"كود غير موجود"))</f>
        <v/>
      </c>
      <c r="F784" s="28" t="str">
        <f aca="false">IF($D784="","",IFERROR(INDEX(المنتجات!$B$5:$B$24,MATCH($D784,المنتجات!$A$5:$A$24,0)),""))</f>
        <v/>
      </c>
      <c r="G784" s="24"/>
      <c r="H784" s="25" t="str">
        <f aca="false">IF($D784="","",IFERROR(INDEX(المنتجات!$F$5:$F$24,MATCH($D784,المنتجات!$A$5:$A$24,0)),0))</f>
        <v/>
      </c>
      <c r="I784" s="30"/>
      <c r="J784" s="25" t="str">
        <f aca="false">IF($D784="","",N(G784)*H784-N(I784))</f>
        <v/>
      </c>
      <c r="K784" s="25" t="str">
        <f aca="false">IF($D784="","",N(G784)*IFERROR(INDEX(المنتجات!$H$5:$H$24,MATCH($D784,المنتجات!$A$5:$A$24,0)),0))</f>
        <v/>
      </c>
      <c r="L784" s="25" t="str">
        <f aca="false">IF($D784="","",J784-K784)</f>
        <v/>
      </c>
      <c r="M784" s="29"/>
      <c r="N784" s="29"/>
    </row>
    <row r="785" customFormat="false" ht="15" hidden="false" customHeight="false" outlineLevel="0" collapsed="false">
      <c r="A785" s="32"/>
      <c r="B785" s="29"/>
      <c r="C785" s="29"/>
      <c r="D785" s="29"/>
      <c r="E785" s="28" t="str">
        <f aca="false">IF($D785="","",IFERROR(INDEX(المنتجات!$C$5:$C$24,MATCH($D785,المنتجات!$A$5:$A$24,0)),"كود غير موجود"))</f>
        <v/>
      </c>
      <c r="F785" s="28" t="str">
        <f aca="false">IF($D785="","",IFERROR(INDEX(المنتجات!$B$5:$B$24,MATCH($D785,المنتجات!$A$5:$A$24,0)),""))</f>
        <v/>
      </c>
      <c r="G785" s="24"/>
      <c r="H785" s="25" t="str">
        <f aca="false">IF($D785="","",IFERROR(INDEX(المنتجات!$F$5:$F$24,MATCH($D785,المنتجات!$A$5:$A$24,0)),0))</f>
        <v/>
      </c>
      <c r="I785" s="30"/>
      <c r="J785" s="25" t="str">
        <f aca="false">IF($D785="","",N(G785)*H785-N(I785))</f>
        <v/>
      </c>
      <c r="K785" s="25" t="str">
        <f aca="false">IF($D785="","",N(G785)*IFERROR(INDEX(المنتجات!$H$5:$H$24,MATCH($D785,المنتجات!$A$5:$A$24,0)),0))</f>
        <v/>
      </c>
      <c r="L785" s="25" t="str">
        <f aca="false">IF($D785="","",J785-K785)</f>
        <v/>
      </c>
      <c r="M785" s="29"/>
      <c r="N785" s="29"/>
    </row>
    <row r="786" customFormat="false" ht="15" hidden="false" customHeight="false" outlineLevel="0" collapsed="false">
      <c r="A786" s="32"/>
      <c r="B786" s="29"/>
      <c r="C786" s="29"/>
      <c r="D786" s="29"/>
      <c r="E786" s="28" t="str">
        <f aca="false">IF($D786="","",IFERROR(INDEX(المنتجات!$C$5:$C$24,MATCH($D786,المنتجات!$A$5:$A$24,0)),"كود غير موجود"))</f>
        <v/>
      </c>
      <c r="F786" s="28" t="str">
        <f aca="false">IF($D786="","",IFERROR(INDEX(المنتجات!$B$5:$B$24,MATCH($D786,المنتجات!$A$5:$A$24,0)),""))</f>
        <v/>
      </c>
      <c r="G786" s="24"/>
      <c r="H786" s="25" t="str">
        <f aca="false">IF($D786="","",IFERROR(INDEX(المنتجات!$F$5:$F$24,MATCH($D786,المنتجات!$A$5:$A$24,0)),0))</f>
        <v/>
      </c>
      <c r="I786" s="30"/>
      <c r="J786" s="25" t="str">
        <f aca="false">IF($D786="","",N(G786)*H786-N(I786))</f>
        <v/>
      </c>
      <c r="K786" s="25" t="str">
        <f aca="false">IF($D786="","",N(G786)*IFERROR(INDEX(المنتجات!$H$5:$H$24,MATCH($D786,المنتجات!$A$5:$A$24,0)),0))</f>
        <v/>
      </c>
      <c r="L786" s="25" t="str">
        <f aca="false">IF($D786="","",J786-K786)</f>
        <v/>
      </c>
      <c r="M786" s="29"/>
      <c r="N786" s="29"/>
    </row>
    <row r="787" customFormat="false" ht="15" hidden="false" customHeight="false" outlineLevel="0" collapsed="false">
      <c r="A787" s="32"/>
      <c r="B787" s="29"/>
      <c r="C787" s="29"/>
      <c r="D787" s="29"/>
      <c r="E787" s="28" t="str">
        <f aca="false">IF($D787="","",IFERROR(INDEX(المنتجات!$C$5:$C$24,MATCH($D787,المنتجات!$A$5:$A$24,0)),"كود غير موجود"))</f>
        <v/>
      </c>
      <c r="F787" s="28" t="str">
        <f aca="false">IF($D787="","",IFERROR(INDEX(المنتجات!$B$5:$B$24,MATCH($D787,المنتجات!$A$5:$A$24,0)),""))</f>
        <v/>
      </c>
      <c r="G787" s="24"/>
      <c r="H787" s="25" t="str">
        <f aca="false">IF($D787="","",IFERROR(INDEX(المنتجات!$F$5:$F$24,MATCH($D787,المنتجات!$A$5:$A$24,0)),0))</f>
        <v/>
      </c>
      <c r="I787" s="30"/>
      <c r="J787" s="25" t="str">
        <f aca="false">IF($D787="","",N(G787)*H787-N(I787))</f>
        <v/>
      </c>
      <c r="K787" s="25" t="str">
        <f aca="false">IF($D787="","",N(G787)*IFERROR(INDEX(المنتجات!$H$5:$H$24,MATCH($D787,المنتجات!$A$5:$A$24,0)),0))</f>
        <v/>
      </c>
      <c r="L787" s="25" t="str">
        <f aca="false">IF($D787="","",J787-K787)</f>
        <v/>
      </c>
      <c r="M787" s="29"/>
      <c r="N787" s="29"/>
    </row>
    <row r="788" customFormat="false" ht="15" hidden="false" customHeight="false" outlineLevel="0" collapsed="false">
      <c r="A788" s="32"/>
      <c r="B788" s="29"/>
      <c r="C788" s="29"/>
      <c r="D788" s="29"/>
      <c r="E788" s="28" t="str">
        <f aca="false">IF($D788="","",IFERROR(INDEX(المنتجات!$C$5:$C$24,MATCH($D788,المنتجات!$A$5:$A$24,0)),"كود غير موجود"))</f>
        <v/>
      </c>
      <c r="F788" s="28" t="str">
        <f aca="false">IF($D788="","",IFERROR(INDEX(المنتجات!$B$5:$B$24,MATCH($D788,المنتجات!$A$5:$A$24,0)),""))</f>
        <v/>
      </c>
      <c r="G788" s="24"/>
      <c r="H788" s="25" t="str">
        <f aca="false">IF($D788="","",IFERROR(INDEX(المنتجات!$F$5:$F$24,MATCH($D788,المنتجات!$A$5:$A$24,0)),0))</f>
        <v/>
      </c>
      <c r="I788" s="30"/>
      <c r="J788" s="25" t="str">
        <f aca="false">IF($D788="","",N(G788)*H788-N(I788))</f>
        <v/>
      </c>
      <c r="K788" s="25" t="str">
        <f aca="false">IF($D788="","",N(G788)*IFERROR(INDEX(المنتجات!$H$5:$H$24,MATCH($D788,المنتجات!$A$5:$A$24,0)),0))</f>
        <v/>
      </c>
      <c r="L788" s="25" t="str">
        <f aca="false">IF($D788="","",J788-K788)</f>
        <v/>
      </c>
      <c r="M788" s="29"/>
      <c r="N788" s="29"/>
    </row>
    <row r="789" customFormat="false" ht="15" hidden="false" customHeight="false" outlineLevel="0" collapsed="false">
      <c r="A789" s="32"/>
      <c r="B789" s="29"/>
      <c r="C789" s="29"/>
      <c r="D789" s="29"/>
      <c r="E789" s="28" t="str">
        <f aca="false">IF($D789="","",IFERROR(INDEX(المنتجات!$C$5:$C$24,MATCH($D789,المنتجات!$A$5:$A$24,0)),"كود غير موجود"))</f>
        <v/>
      </c>
      <c r="F789" s="28" t="str">
        <f aca="false">IF($D789="","",IFERROR(INDEX(المنتجات!$B$5:$B$24,MATCH($D789,المنتجات!$A$5:$A$24,0)),""))</f>
        <v/>
      </c>
      <c r="G789" s="24"/>
      <c r="H789" s="25" t="str">
        <f aca="false">IF($D789="","",IFERROR(INDEX(المنتجات!$F$5:$F$24,MATCH($D789,المنتجات!$A$5:$A$24,0)),0))</f>
        <v/>
      </c>
      <c r="I789" s="30"/>
      <c r="J789" s="25" t="str">
        <f aca="false">IF($D789="","",N(G789)*H789-N(I789))</f>
        <v/>
      </c>
      <c r="K789" s="25" t="str">
        <f aca="false">IF($D789="","",N(G789)*IFERROR(INDEX(المنتجات!$H$5:$H$24,MATCH($D789,المنتجات!$A$5:$A$24,0)),0))</f>
        <v/>
      </c>
      <c r="L789" s="25" t="str">
        <f aca="false">IF($D789="","",J789-K789)</f>
        <v/>
      </c>
      <c r="M789" s="29"/>
      <c r="N789" s="29"/>
    </row>
    <row r="790" customFormat="false" ht="15" hidden="false" customHeight="false" outlineLevel="0" collapsed="false">
      <c r="A790" s="32"/>
      <c r="B790" s="29"/>
      <c r="C790" s="29"/>
      <c r="D790" s="29"/>
      <c r="E790" s="28" t="str">
        <f aca="false">IF($D790="","",IFERROR(INDEX(المنتجات!$C$5:$C$24,MATCH($D790,المنتجات!$A$5:$A$24,0)),"كود غير موجود"))</f>
        <v/>
      </c>
      <c r="F790" s="28" t="str">
        <f aca="false">IF($D790="","",IFERROR(INDEX(المنتجات!$B$5:$B$24,MATCH($D790,المنتجات!$A$5:$A$24,0)),""))</f>
        <v/>
      </c>
      <c r="G790" s="24"/>
      <c r="H790" s="25" t="str">
        <f aca="false">IF($D790="","",IFERROR(INDEX(المنتجات!$F$5:$F$24,MATCH($D790,المنتجات!$A$5:$A$24,0)),0))</f>
        <v/>
      </c>
      <c r="I790" s="30"/>
      <c r="J790" s="25" t="str">
        <f aca="false">IF($D790="","",N(G790)*H790-N(I790))</f>
        <v/>
      </c>
      <c r="K790" s="25" t="str">
        <f aca="false">IF($D790="","",N(G790)*IFERROR(INDEX(المنتجات!$H$5:$H$24,MATCH($D790,المنتجات!$A$5:$A$24,0)),0))</f>
        <v/>
      </c>
      <c r="L790" s="25" t="str">
        <f aca="false">IF($D790="","",J790-K790)</f>
        <v/>
      </c>
      <c r="M790" s="29"/>
      <c r="N790" s="29"/>
    </row>
    <row r="791" customFormat="false" ht="15" hidden="false" customHeight="false" outlineLevel="0" collapsed="false">
      <c r="A791" s="32"/>
      <c r="B791" s="29"/>
      <c r="C791" s="29"/>
      <c r="D791" s="29"/>
      <c r="E791" s="28" t="str">
        <f aca="false">IF($D791="","",IFERROR(INDEX(المنتجات!$C$5:$C$24,MATCH($D791,المنتجات!$A$5:$A$24,0)),"كود غير موجود"))</f>
        <v/>
      </c>
      <c r="F791" s="28" t="str">
        <f aca="false">IF($D791="","",IFERROR(INDEX(المنتجات!$B$5:$B$24,MATCH($D791,المنتجات!$A$5:$A$24,0)),""))</f>
        <v/>
      </c>
      <c r="G791" s="24"/>
      <c r="H791" s="25" t="str">
        <f aca="false">IF($D791="","",IFERROR(INDEX(المنتجات!$F$5:$F$24,MATCH($D791,المنتجات!$A$5:$A$24,0)),0))</f>
        <v/>
      </c>
      <c r="I791" s="30"/>
      <c r="J791" s="25" t="str">
        <f aca="false">IF($D791="","",N(G791)*H791-N(I791))</f>
        <v/>
      </c>
      <c r="K791" s="25" t="str">
        <f aca="false">IF($D791="","",N(G791)*IFERROR(INDEX(المنتجات!$H$5:$H$24,MATCH($D791,المنتجات!$A$5:$A$24,0)),0))</f>
        <v/>
      </c>
      <c r="L791" s="25" t="str">
        <f aca="false">IF($D791="","",J791-K791)</f>
        <v/>
      </c>
      <c r="M791" s="29"/>
      <c r="N791" s="29"/>
    </row>
    <row r="792" customFormat="false" ht="15" hidden="false" customHeight="false" outlineLevel="0" collapsed="false">
      <c r="A792" s="32"/>
      <c r="B792" s="29"/>
      <c r="C792" s="29"/>
      <c r="D792" s="29"/>
      <c r="E792" s="28" t="str">
        <f aca="false">IF($D792="","",IFERROR(INDEX(المنتجات!$C$5:$C$24,MATCH($D792,المنتجات!$A$5:$A$24,0)),"كود غير موجود"))</f>
        <v/>
      </c>
      <c r="F792" s="28" t="str">
        <f aca="false">IF($D792="","",IFERROR(INDEX(المنتجات!$B$5:$B$24,MATCH($D792,المنتجات!$A$5:$A$24,0)),""))</f>
        <v/>
      </c>
      <c r="G792" s="24"/>
      <c r="H792" s="25" t="str">
        <f aca="false">IF($D792="","",IFERROR(INDEX(المنتجات!$F$5:$F$24,MATCH($D792,المنتجات!$A$5:$A$24,0)),0))</f>
        <v/>
      </c>
      <c r="I792" s="30"/>
      <c r="J792" s="25" t="str">
        <f aca="false">IF($D792="","",N(G792)*H792-N(I792))</f>
        <v/>
      </c>
      <c r="K792" s="25" t="str">
        <f aca="false">IF($D792="","",N(G792)*IFERROR(INDEX(المنتجات!$H$5:$H$24,MATCH($D792,المنتجات!$A$5:$A$24,0)),0))</f>
        <v/>
      </c>
      <c r="L792" s="25" t="str">
        <f aca="false">IF($D792="","",J792-K792)</f>
        <v/>
      </c>
      <c r="M792" s="29"/>
      <c r="N792" s="29"/>
    </row>
    <row r="793" customFormat="false" ht="15" hidden="false" customHeight="false" outlineLevel="0" collapsed="false">
      <c r="A793" s="32"/>
      <c r="B793" s="29"/>
      <c r="C793" s="29"/>
      <c r="D793" s="29"/>
      <c r="E793" s="28" t="str">
        <f aca="false">IF($D793="","",IFERROR(INDEX(المنتجات!$C$5:$C$24,MATCH($D793,المنتجات!$A$5:$A$24,0)),"كود غير موجود"))</f>
        <v/>
      </c>
      <c r="F793" s="28" t="str">
        <f aca="false">IF($D793="","",IFERROR(INDEX(المنتجات!$B$5:$B$24,MATCH($D793,المنتجات!$A$5:$A$24,0)),""))</f>
        <v/>
      </c>
      <c r="G793" s="24"/>
      <c r="H793" s="25" t="str">
        <f aca="false">IF($D793="","",IFERROR(INDEX(المنتجات!$F$5:$F$24,MATCH($D793,المنتجات!$A$5:$A$24,0)),0))</f>
        <v/>
      </c>
      <c r="I793" s="30"/>
      <c r="J793" s="25" t="str">
        <f aca="false">IF($D793="","",N(G793)*H793-N(I793))</f>
        <v/>
      </c>
      <c r="K793" s="25" t="str">
        <f aca="false">IF($D793="","",N(G793)*IFERROR(INDEX(المنتجات!$H$5:$H$24,MATCH($D793,المنتجات!$A$5:$A$24,0)),0))</f>
        <v/>
      </c>
      <c r="L793" s="25" t="str">
        <f aca="false">IF($D793="","",J793-K793)</f>
        <v/>
      </c>
      <c r="M793" s="29"/>
      <c r="N793" s="29"/>
    </row>
    <row r="794" customFormat="false" ht="15" hidden="false" customHeight="false" outlineLevel="0" collapsed="false">
      <c r="A794" s="32"/>
      <c r="B794" s="29"/>
      <c r="C794" s="29"/>
      <c r="D794" s="29"/>
      <c r="E794" s="28" t="str">
        <f aca="false">IF($D794="","",IFERROR(INDEX(المنتجات!$C$5:$C$24,MATCH($D794,المنتجات!$A$5:$A$24,0)),"كود غير موجود"))</f>
        <v/>
      </c>
      <c r="F794" s="28" t="str">
        <f aca="false">IF($D794="","",IFERROR(INDEX(المنتجات!$B$5:$B$24,MATCH($D794,المنتجات!$A$5:$A$24,0)),""))</f>
        <v/>
      </c>
      <c r="G794" s="24"/>
      <c r="H794" s="25" t="str">
        <f aca="false">IF($D794="","",IFERROR(INDEX(المنتجات!$F$5:$F$24,MATCH($D794,المنتجات!$A$5:$A$24,0)),0))</f>
        <v/>
      </c>
      <c r="I794" s="30"/>
      <c r="J794" s="25" t="str">
        <f aca="false">IF($D794="","",N(G794)*H794-N(I794))</f>
        <v/>
      </c>
      <c r="K794" s="25" t="str">
        <f aca="false">IF($D794="","",N(G794)*IFERROR(INDEX(المنتجات!$H$5:$H$24,MATCH($D794,المنتجات!$A$5:$A$24,0)),0))</f>
        <v/>
      </c>
      <c r="L794" s="25" t="str">
        <f aca="false">IF($D794="","",J794-K794)</f>
        <v/>
      </c>
      <c r="M794" s="29"/>
      <c r="N794" s="29"/>
    </row>
    <row r="795" customFormat="false" ht="15" hidden="false" customHeight="false" outlineLevel="0" collapsed="false">
      <c r="A795" s="32"/>
      <c r="B795" s="29"/>
      <c r="C795" s="29"/>
      <c r="D795" s="29"/>
      <c r="E795" s="28" t="str">
        <f aca="false">IF($D795="","",IFERROR(INDEX(المنتجات!$C$5:$C$24,MATCH($D795,المنتجات!$A$5:$A$24,0)),"كود غير موجود"))</f>
        <v/>
      </c>
      <c r="F795" s="28" t="str">
        <f aca="false">IF($D795="","",IFERROR(INDEX(المنتجات!$B$5:$B$24,MATCH($D795,المنتجات!$A$5:$A$24,0)),""))</f>
        <v/>
      </c>
      <c r="G795" s="24"/>
      <c r="H795" s="25" t="str">
        <f aca="false">IF($D795="","",IFERROR(INDEX(المنتجات!$F$5:$F$24,MATCH($D795,المنتجات!$A$5:$A$24,0)),0))</f>
        <v/>
      </c>
      <c r="I795" s="30"/>
      <c r="J795" s="25" t="str">
        <f aca="false">IF($D795="","",N(G795)*H795-N(I795))</f>
        <v/>
      </c>
      <c r="K795" s="25" t="str">
        <f aca="false">IF($D795="","",N(G795)*IFERROR(INDEX(المنتجات!$H$5:$H$24,MATCH($D795,المنتجات!$A$5:$A$24,0)),0))</f>
        <v/>
      </c>
      <c r="L795" s="25" t="str">
        <f aca="false">IF($D795="","",J795-K795)</f>
        <v/>
      </c>
      <c r="M795" s="29"/>
      <c r="N795" s="29"/>
    </row>
    <row r="796" customFormat="false" ht="15" hidden="false" customHeight="false" outlineLevel="0" collapsed="false">
      <c r="A796" s="32"/>
      <c r="B796" s="29"/>
      <c r="C796" s="29"/>
      <c r="D796" s="29"/>
      <c r="E796" s="28" t="str">
        <f aca="false">IF($D796="","",IFERROR(INDEX(المنتجات!$C$5:$C$24,MATCH($D796,المنتجات!$A$5:$A$24,0)),"كود غير موجود"))</f>
        <v/>
      </c>
      <c r="F796" s="28" t="str">
        <f aca="false">IF($D796="","",IFERROR(INDEX(المنتجات!$B$5:$B$24,MATCH($D796,المنتجات!$A$5:$A$24,0)),""))</f>
        <v/>
      </c>
      <c r="G796" s="24"/>
      <c r="H796" s="25" t="str">
        <f aca="false">IF($D796="","",IFERROR(INDEX(المنتجات!$F$5:$F$24,MATCH($D796,المنتجات!$A$5:$A$24,0)),0))</f>
        <v/>
      </c>
      <c r="I796" s="30"/>
      <c r="J796" s="25" t="str">
        <f aca="false">IF($D796="","",N(G796)*H796-N(I796))</f>
        <v/>
      </c>
      <c r="K796" s="25" t="str">
        <f aca="false">IF($D796="","",N(G796)*IFERROR(INDEX(المنتجات!$H$5:$H$24,MATCH($D796,المنتجات!$A$5:$A$24,0)),0))</f>
        <v/>
      </c>
      <c r="L796" s="25" t="str">
        <f aca="false">IF($D796="","",J796-K796)</f>
        <v/>
      </c>
      <c r="M796" s="29"/>
      <c r="N796" s="29"/>
    </row>
    <row r="797" customFormat="false" ht="15" hidden="false" customHeight="false" outlineLevel="0" collapsed="false">
      <c r="A797" s="32"/>
      <c r="B797" s="29"/>
      <c r="C797" s="29"/>
      <c r="D797" s="29"/>
      <c r="E797" s="28" t="str">
        <f aca="false">IF($D797="","",IFERROR(INDEX(المنتجات!$C$5:$C$24,MATCH($D797,المنتجات!$A$5:$A$24,0)),"كود غير موجود"))</f>
        <v/>
      </c>
      <c r="F797" s="28" t="str">
        <f aca="false">IF($D797="","",IFERROR(INDEX(المنتجات!$B$5:$B$24,MATCH($D797,المنتجات!$A$5:$A$24,0)),""))</f>
        <v/>
      </c>
      <c r="G797" s="24"/>
      <c r="H797" s="25" t="str">
        <f aca="false">IF($D797="","",IFERROR(INDEX(المنتجات!$F$5:$F$24,MATCH($D797,المنتجات!$A$5:$A$24,0)),0))</f>
        <v/>
      </c>
      <c r="I797" s="30"/>
      <c r="J797" s="25" t="str">
        <f aca="false">IF($D797="","",N(G797)*H797-N(I797))</f>
        <v/>
      </c>
      <c r="K797" s="25" t="str">
        <f aca="false">IF($D797="","",N(G797)*IFERROR(INDEX(المنتجات!$H$5:$H$24,MATCH($D797,المنتجات!$A$5:$A$24,0)),0))</f>
        <v/>
      </c>
      <c r="L797" s="25" t="str">
        <f aca="false">IF($D797="","",J797-K797)</f>
        <v/>
      </c>
      <c r="M797" s="29"/>
      <c r="N797" s="29"/>
    </row>
    <row r="798" customFormat="false" ht="15" hidden="false" customHeight="false" outlineLevel="0" collapsed="false">
      <c r="A798" s="32"/>
      <c r="B798" s="29"/>
      <c r="C798" s="29"/>
      <c r="D798" s="29"/>
      <c r="E798" s="28" t="str">
        <f aca="false">IF($D798="","",IFERROR(INDEX(المنتجات!$C$5:$C$24,MATCH($D798,المنتجات!$A$5:$A$24,0)),"كود غير موجود"))</f>
        <v/>
      </c>
      <c r="F798" s="28" t="str">
        <f aca="false">IF($D798="","",IFERROR(INDEX(المنتجات!$B$5:$B$24,MATCH($D798,المنتجات!$A$5:$A$24,0)),""))</f>
        <v/>
      </c>
      <c r="G798" s="24"/>
      <c r="H798" s="25" t="str">
        <f aca="false">IF($D798="","",IFERROR(INDEX(المنتجات!$F$5:$F$24,MATCH($D798,المنتجات!$A$5:$A$24,0)),0))</f>
        <v/>
      </c>
      <c r="I798" s="30"/>
      <c r="J798" s="25" t="str">
        <f aca="false">IF($D798="","",N(G798)*H798-N(I798))</f>
        <v/>
      </c>
      <c r="K798" s="25" t="str">
        <f aca="false">IF($D798="","",N(G798)*IFERROR(INDEX(المنتجات!$H$5:$H$24,MATCH($D798,المنتجات!$A$5:$A$24,0)),0))</f>
        <v/>
      </c>
      <c r="L798" s="25" t="str">
        <f aca="false">IF($D798="","",J798-K798)</f>
        <v/>
      </c>
      <c r="M798" s="29"/>
      <c r="N798" s="29"/>
    </row>
    <row r="799" customFormat="false" ht="15" hidden="false" customHeight="false" outlineLevel="0" collapsed="false">
      <c r="A799" s="32"/>
      <c r="B799" s="29"/>
      <c r="C799" s="29"/>
      <c r="D799" s="29"/>
      <c r="E799" s="28" t="str">
        <f aca="false">IF($D799="","",IFERROR(INDEX(المنتجات!$C$5:$C$24,MATCH($D799,المنتجات!$A$5:$A$24,0)),"كود غير موجود"))</f>
        <v/>
      </c>
      <c r="F799" s="28" t="str">
        <f aca="false">IF($D799="","",IFERROR(INDEX(المنتجات!$B$5:$B$24,MATCH($D799,المنتجات!$A$5:$A$24,0)),""))</f>
        <v/>
      </c>
      <c r="G799" s="24"/>
      <c r="H799" s="25" t="str">
        <f aca="false">IF($D799="","",IFERROR(INDEX(المنتجات!$F$5:$F$24,MATCH($D799,المنتجات!$A$5:$A$24,0)),0))</f>
        <v/>
      </c>
      <c r="I799" s="30"/>
      <c r="J799" s="25" t="str">
        <f aca="false">IF($D799="","",N(G799)*H799-N(I799))</f>
        <v/>
      </c>
      <c r="K799" s="25" t="str">
        <f aca="false">IF($D799="","",N(G799)*IFERROR(INDEX(المنتجات!$H$5:$H$24,MATCH($D799,المنتجات!$A$5:$A$24,0)),0))</f>
        <v/>
      </c>
      <c r="L799" s="25" t="str">
        <f aca="false">IF($D799="","",J799-K799)</f>
        <v/>
      </c>
      <c r="M799" s="29"/>
      <c r="N799" s="29"/>
    </row>
    <row r="800" customFormat="false" ht="15" hidden="false" customHeight="false" outlineLevel="0" collapsed="false">
      <c r="A800" s="32"/>
      <c r="B800" s="29"/>
      <c r="C800" s="29"/>
      <c r="D800" s="29"/>
      <c r="E800" s="28" t="str">
        <f aca="false">IF($D800="","",IFERROR(INDEX(المنتجات!$C$5:$C$24,MATCH($D800,المنتجات!$A$5:$A$24,0)),"كود غير موجود"))</f>
        <v/>
      </c>
      <c r="F800" s="28" t="str">
        <f aca="false">IF($D800="","",IFERROR(INDEX(المنتجات!$B$5:$B$24,MATCH($D800,المنتجات!$A$5:$A$24,0)),""))</f>
        <v/>
      </c>
      <c r="G800" s="24"/>
      <c r="H800" s="25" t="str">
        <f aca="false">IF($D800="","",IFERROR(INDEX(المنتجات!$F$5:$F$24,MATCH($D800,المنتجات!$A$5:$A$24,0)),0))</f>
        <v/>
      </c>
      <c r="I800" s="30"/>
      <c r="J800" s="25" t="str">
        <f aca="false">IF($D800="","",N(G800)*H800-N(I800))</f>
        <v/>
      </c>
      <c r="K800" s="25" t="str">
        <f aca="false">IF($D800="","",N(G800)*IFERROR(INDEX(المنتجات!$H$5:$H$24,MATCH($D800,المنتجات!$A$5:$A$24,0)),0))</f>
        <v/>
      </c>
      <c r="L800" s="25" t="str">
        <f aca="false">IF($D800="","",J800-K800)</f>
        <v/>
      </c>
      <c r="M800" s="29"/>
      <c r="N800" s="29"/>
    </row>
    <row r="801" customFormat="false" ht="15" hidden="false" customHeight="false" outlineLevel="0" collapsed="false">
      <c r="A801" s="32"/>
      <c r="B801" s="29"/>
      <c r="C801" s="29"/>
      <c r="D801" s="29"/>
      <c r="E801" s="28" t="str">
        <f aca="false">IF($D801="","",IFERROR(INDEX(المنتجات!$C$5:$C$24,MATCH($D801,المنتجات!$A$5:$A$24,0)),"كود غير موجود"))</f>
        <v/>
      </c>
      <c r="F801" s="28" t="str">
        <f aca="false">IF($D801="","",IFERROR(INDEX(المنتجات!$B$5:$B$24,MATCH($D801,المنتجات!$A$5:$A$24,0)),""))</f>
        <v/>
      </c>
      <c r="G801" s="24"/>
      <c r="H801" s="25" t="str">
        <f aca="false">IF($D801="","",IFERROR(INDEX(المنتجات!$F$5:$F$24,MATCH($D801,المنتجات!$A$5:$A$24,0)),0))</f>
        <v/>
      </c>
      <c r="I801" s="30"/>
      <c r="J801" s="25" t="str">
        <f aca="false">IF($D801="","",N(G801)*H801-N(I801))</f>
        <v/>
      </c>
      <c r="K801" s="25" t="str">
        <f aca="false">IF($D801="","",N(G801)*IFERROR(INDEX(المنتجات!$H$5:$H$24,MATCH($D801,المنتجات!$A$5:$A$24,0)),0))</f>
        <v/>
      </c>
      <c r="L801" s="25" t="str">
        <f aca="false">IF($D801="","",J801-K801)</f>
        <v/>
      </c>
      <c r="M801" s="29"/>
      <c r="N801" s="29"/>
    </row>
    <row r="802" customFormat="false" ht="15" hidden="false" customHeight="false" outlineLevel="0" collapsed="false">
      <c r="A802" s="32"/>
      <c r="B802" s="29"/>
      <c r="C802" s="29"/>
      <c r="D802" s="29"/>
      <c r="E802" s="28" t="str">
        <f aca="false">IF($D802="","",IFERROR(INDEX(المنتجات!$C$5:$C$24,MATCH($D802,المنتجات!$A$5:$A$24,0)),"كود غير موجود"))</f>
        <v/>
      </c>
      <c r="F802" s="28" t="str">
        <f aca="false">IF($D802="","",IFERROR(INDEX(المنتجات!$B$5:$B$24,MATCH($D802,المنتجات!$A$5:$A$24,0)),""))</f>
        <v/>
      </c>
      <c r="G802" s="24"/>
      <c r="H802" s="25" t="str">
        <f aca="false">IF($D802="","",IFERROR(INDEX(المنتجات!$F$5:$F$24,MATCH($D802,المنتجات!$A$5:$A$24,0)),0))</f>
        <v/>
      </c>
      <c r="I802" s="30"/>
      <c r="J802" s="25" t="str">
        <f aca="false">IF($D802="","",N(G802)*H802-N(I802))</f>
        <v/>
      </c>
      <c r="K802" s="25" t="str">
        <f aca="false">IF($D802="","",N(G802)*IFERROR(INDEX(المنتجات!$H$5:$H$24,MATCH($D802,المنتجات!$A$5:$A$24,0)),0))</f>
        <v/>
      </c>
      <c r="L802" s="25" t="str">
        <f aca="false">IF($D802="","",J802-K802)</f>
        <v/>
      </c>
      <c r="M802" s="29"/>
      <c r="N802" s="29"/>
    </row>
    <row r="803" customFormat="false" ht="15" hidden="false" customHeight="false" outlineLevel="0" collapsed="false">
      <c r="A803" s="32"/>
      <c r="B803" s="29"/>
      <c r="C803" s="29"/>
      <c r="D803" s="29"/>
      <c r="E803" s="28" t="str">
        <f aca="false">IF($D803="","",IFERROR(INDEX(المنتجات!$C$5:$C$24,MATCH($D803,المنتجات!$A$5:$A$24,0)),"كود غير موجود"))</f>
        <v/>
      </c>
      <c r="F803" s="28" t="str">
        <f aca="false">IF($D803="","",IFERROR(INDEX(المنتجات!$B$5:$B$24,MATCH($D803,المنتجات!$A$5:$A$24,0)),""))</f>
        <v/>
      </c>
      <c r="G803" s="24"/>
      <c r="H803" s="25" t="str">
        <f aca="false">IF($D803="","",IFERROR(INDEX(المنتجات!$F$5:$F$24,MATCH($D803,المنتجات!$A$5:$A$24,0)),0))</f>
        <v/>
      </c>
      <c r="I803" s="30"/>
      <c r="J803" s="25" t="str">
        <f aca="false">IF($D803="","",N(G803)*H803-N(I803))</f>
        <v/>
      </c>
      <c r="K803" s="25" t="str">
        <f aca="false">IF($D803="","",N(G803)*IFERROR(INDEX(المنتجات!$H$5:$H$24,MATCH($D803,المنتجات!$A$5:$A$24,0)),0))</f>
        <v/>
      </c>
      <c r="L803" s="25" t="str">
        <f aca="false">IF($D803="","",J803-K803)</f>
        <v/>
      </c>
      <c r="M803" s="29"/>
      <c r="N803" s="29"/>
    </row>
    <row r="804" customFormat="false" ht="15" hidden="false" customHeight="false" outlineLevel="0" collapsed="false">
      <c r="A804" s="32"/>
      <c r="B804" s="29"/>
      <c r="C804" s="29"/>
      <c r="D804" s="29"/>
      <c r="E804" s="28" t="str">
        <f aca="false">IF($D804="","",IFERROR(INDEX(المنتجات!$C$5:$C$24,MATCH($D804,المنتجات!$A$5:$A$24,0)),"كود غير موجود"))</f>
        <v/>
      </c>
      <c r="F804" s="28" t="str">
        <f aca="false">IF($D804="","",IFERROR(INDEX(المنتجات!$B$5:$B$24,MATCH($D804,المنتجات!$A$5:$A$24,0)),""))</f>
        <v/>
      </c>
      <c r="G804" s="24"/>
      <c r="H804" s="25" t="str">
        <f aca="false">IF($D804="","",IFERROR(INDEX(المنتجات!$F$5:$F$24,MATCH($D804,المنتجات!$A$5:$A$24,0)),0))</f>
        <v/>
      </c>
      <c r="I804" s="30"/>
      <c r="J804" s="25" t="str">
        <f aca="false">IF($D804="","",N(G804)*H804-N(I804))</f>
        <v/>
      </c>
      <c r="K804" s="25" t="str">
        <f aca="false">IF($D804="","",N(G804)*IFERROR(INDEX(المنتجات!$H$5:$H$24,MATCH($D804,المنتجات!$A$5:$A$24,0)),0))</f>
        <v/>
      </c>
      <c r="L804" s="25" t="str">
        <f aca="false">IF($D804="","",J804-K804)</f>
        <v/>
      </c>
      <c r="M804" s="29"/>
      <c r="N804" s="29"/>
    </row>
    <row r="805" customFormat="false" ht="15" hidden="false" customHeight="false" outlineLevel="0" collapsed="false">
      <c r="A805" s="32"/>
      <c r="B805" s="29"/>
      <c r="C805" s="29"/>
      <c r="D805" s="29"/>
      <c r="E805" s="28" t="str">
        <f aca="false">IF($D805="","",IFERROR(INDEX(المنتجات!$C$5:$C$24,MATCH($D805,المنتجات!$A$5:$A$24,0)),"كود غير موجود"))</f>
        <v/>
      </c>
      <c r="F805" s="28" t="str">
        <f aca="false">IF($D805="","",IFERROR(INDEX(المنتجات!$B$5:$B$24,MATCH($D805,المنتجات!$A$5:$A$24,0)),""))</f>
        <v/>
      </c>
      <c r="G805" s="24"/>
      <c r="H805" s="25" t="str">
        <f aca="false">IF($D805="","",IFERROR(INDEX(المنتجات!$F$5:$F$24,MATCH($D805,المنتجات!$A$5:$A$24,0)),0))</f>
        <v/>
      </c>
      <c r="I805" s="30"/>
      <c r="J805" s="25" t="str">
        <f aca="false">IF($D805="","",N(G805)*H805-N(I805))</f>
        <v/>
      </c>
      <c r="K805" s="25" t="str">
        <f aca="false">IF($D805="","",N(G805)*IFERROR(INDEX(المنتجات!$H$5:$H$24,MATCH($D805,المنتجات!$A$5:$A$24,0)),0))</f>
        <v/>
      </c>
      <c r="L805" s="25" t="str">
        <f aca="false">IF($D805="","",J805-K805)</f>
        <v/>
      </c>
      <c r="M805" s="29"/>
      <c r="N805" s="29"/>
    </row>
    <row r="806" customFormat="false" ht="15" hidden="false" customHeight="false" outlineLevel="0" collapsed="false">
      <c r="A806" s="32"/>
      <c r="B806" s="29"/>
      <c r="C806" s="29"/>
      <c r="D806" s="29"/>
      <c r="E806" s="28" t="str">
        <f aca="false">IF($D806="","",IFERROR(INDEX(المنتجات!$C$5:$C$24,MATCH($D806,المنتجات!$A$5:$A$24,0)),"كود غير موجود"))</f>
        <v/>
      </c>
      <c r="F806" s="28" t="str">
        <f aca="false">IF($D806="","",IFERROR(INDEX(المنتجات!$B$5:$B$24,MATCH($D806,المنتجات!$A$5:$A$24,0)),""))</f>
        <v/>
      </c>
      <c r="G806" s="24"/>
      <c r="H806" s="25" t="str">
        <f aca="false">IF($D806="","",IFERROR(INDEX(المنتجات!$F$5:$F$24,MATCH($D806,المنتجات!$A$5:$A$24,0)),0))</f>
        <v/>
      </c>
      <c r="I806" s="30"/>
      <c r="J806" s="25" t="str">
        <f aca="false">IF($D806="","",N(G806)*H806-N(I806))</f>
        <v/>
      </c>
      <c r="K806" s="25" t="str">
        <f aca="false">IF($D806="","",N(G806)*IFERROR(INDEX(المنتجات!$H$5:$H$24,MATCH($D806,المنتجات!$A$5:$A$24,0)),0))</f>
        <v/>
      </c>
      <c r="L806" s="25" t="str">
        <f aca="false">IF($D806="","",J806-K806)</f>
        <v/>
      </c>
      <c r="M806" s="29"/>
      <c r="N806" s="29"/>
    </row>
    <row r="807" customFormat="false" ht="15" hidden="false" customHeight="false" outlineLevel="0" collapsed="false">
      <c r="A807" s="32"/>
      <c r="B807" s="29"/>
      <c r="C807" s="29"/>
      <c r="D807" s="29"/>
      <c r="E807" s="28" t="str">
        <f aca="false">IF($D807="","",IFERROR(INDEX(المنتجات!$C$5:$C$24,MATCH($D807,المنتجات!$A$5:$A$24,0)),"كود غير موجود"))</f>
        <v/>
      </c>
      <c r="F807" s="28" t="str">
        <f aca="false">IF($D807="","",IFERROR(INDEX(المنتجات!$B$5:$B$24,MATCH($D807,المنتجات!$A$5:$A$24,0)),""))</f>
        <v/>
      </c>
      <c r="G807" s="24"/>
      <c r="H807" s="25" t="str">
        <f aca="false">IF($D807="","",IFERROR(INDEX(المنتجات!$F$5:$F$24,MATCH($D807,المنتجات!$A$5:$A$24,0)),0))</f>
        <v/>
      </c>
      <c r="I807" s="30"/>
      <c r="J807" s="25" t="str">
        <f aca="false">IF($D807="","",N(G807)*H807-N(I807))</f>
        <v/>
      </c>
      <c r="K807" s="25" t="str">
        <f aca="false">IF($D807="","",N(G807)*IFERROR(INDEX(المنتجات!$H$5:$H$24,MATCH($D807,المنتجات!$A$5:$A$24,0)),0))</f>
        <v/>
      </c>
      <c r="L807" s="25" t="str">
        <f aca="false">IF($D807="","",J807-K807)</f>
        <v/>
      </c>
      <c r="M807" s="29"/>
      <c r="N807" s="29"/>
    </row>
    <row r="808" customFormat="false" ht="15" hidden="false" customHeight="false" outlineLevel="0" collapsed="false">
      <c r="A808" s="32"/>
      <c r="B808" s="29"/>
      <c r="C808" s="29"/>
      <c r="D808" s="29"/>
      <c r="E808" s="28" t="str">
        <f aca="false">IF($D808="","",IFERROR(INDEX(المنتجات!$C$5:$C$24,MATCH($D808,المنتجات!$A$5:$A$24,0)),"كود غير موجود"))</f>
        <v/>
      </c>
      <c r="F808" s="28" t="str">
        <f aca="false">IF($D808="","",IFERROR(INDEX(المنتجات!$B$5:$B$24,MATCH($D808,المنتجات!$A$5:$A$24,0)),""))</f>
        <v/>
      </c>
      <c r="G808" s="24"/>
      <c r="H808" s="25" t="str">
        <f aca="false">IF($D808="","",IFERROR(INDEX(المنتجات!$F$5:$F$24,MATCH($D808,المنتجات!$A$5:$A$24,0)),0))</f>
        <v/>
      </c>
      <c r="I808" s="30"/>
      <c r="J808" s="25" t="str">
        <f aca="false">IF($D808="","",N(G808)*H808-N(I808))</f>
        <v/>
      </c>
      <c r="K808" s="25" t="str">
        <f aca="false">IF($D808="","",N(G808)*IFERROR(INDEX(المنتجات!$H$5:$H$24,MATCH($D808,المنتجات!$A$5:$A$24,0)),0))</f>
        <v/>
      </c>
      <c r="L808" s="25" t="str">
        <f aca="false">IF($D808="","",J808-K808)</f>
        <v/>
      </c>
      <c r="M808" s="29"/>
      <c r="N808" s="29"/>
    </row>
    <row r="809" customFormat="false" ht="15" hidden="false" customHeight="false" outlineLevel="0" collapsed="false">
      <c r="A809" s="32"/>
      <c r="B809" s="29"/>
      <c r="C809" s="29"/>
      <c r="D809" s="29"/>
      <c r="E809" s="28" t="str">
        <f aca="false">IF($D809="","",IFERROR(INDEX(المنتجات!$C$5:$C$24,MATCH($D809,المنتجات!$A$5:$A$24,0)),"كود غير موجود"))</f>
        <v/>
      </c>
      <c r="F809" s="28" t="str">
        <f aca="false">IF($D809="","",IFERROR(INDEX(المنتجات!$B$5:$B$24,MATCH($D809,المنتجات!$A$5:$A$24,0)),""))</f>
        <v/>
      </c>
      <c r="G809" s="24"/>
      <c r="H809" s="25" t="str">
        <f aca="false">IF($D809="","",IFERROR(INDEX(المنتجات!$F$5:$F$24,MATCH($D809,المنتجات!$A$5:$A$24,0)),0))</f>
        <v/>
      </c>
      <c r="I809" s="30"/>
      <c r="J809" s="25" t="str">
        <f aca="false">IF($D809="","",N(G809)*H809-N(I809))</f>
        <v/>
      </c>
      <c r="K809" s="25" t="str">
        <f aca="false">IF($D809="","",N(G809)*IFERROR(INDEX(المنتجات!$H$5:$H$24,MATCH($D809,المنتجات!$A$5:$A$24,0)),0))</f>
        <v/>
      </c>
      <c r="L809" s="25" t="str">
        <f aca="false">IF($D809="","",J809-K809)</f>
        <v/>
      </c>
      <c r="M809" s="29"/>
      <c r="N809" s="29"/>
    </row>
    <row r="810" customFormat="false" ht="15" hidden="false" customHeight="false" outlineLevel="0" collapsed="false">
      <c r="A810" s="32"/>
      <c r="B810" s="29"/>
      <c r="C810" s="29"/>
      <c r="D810" s="29"/>
      <c r="E810" s="28" t="str">
        <f aca="false">IF($D810="","",IFERROR(INDEX(المنتجات!$C$5:$C$24,MATCH($D810,المنتجات!$A$5:$A$24,0)),"كود غير موجود"))</f>
        <v/>
      </c>
      <c r="F810" s="28" t="str">
        <f aca="false">IF($D810="","",IFERROR(INDEX(المنتجات!$B$5:$B$24,MATCH($D810,المنتجات!$A$5:$A$24,0)),""))</f>
        <v/>
      </c>
      <c r="G810" s="24"/>
      <c r="H810" s="25" t="str">
        <f aca="false">IF($D810="","",IFERROR(INDEX(المنتجات!$F$5:$F$24,MATCH($D810,المنتجات!$A$5:$A$24,0)),0))</f>
        <v/>
      </c>
      <c r="I810" s="30"/>
      <c r="J810" s="25" t="str">
        <f aca="false">IF($D810="","",N(G810)*H810-N(I810))</f>
        <v/>
      </c>
      <c r="K810" s="25" t="str">
        <f aca="false">IF($D810="","",N(G810)*IFERROR(INDEX(المنتجات!$H$5:$H$24,MATCH($D810,المنتجات!$A$5:$A$24,0)),0))</f>
        <v/>
      </c>
      <c r="L810" s="25" t="str">
        <f aca="false">IF($D810="","",J810-K810)</f>
        <v/>
      </c>
      <c r="M810" s="29"/>
      <c r="N810" s="29"/>
    </row>
    <row r="811" customFormat="false" ht="15" hidden="false" customHeight="false" outlineLevel="0" collapsed="false">
      <c r="A811" s="32"/>
      <c r="B811" s="29"/>
      <c r="C811" s="29"/>
      <c r="D811" s="29"/>
      <c r="E811" s="28" t="str">
        <f aca="false">IF($D811="","",IFERROR(INDEX(المنتجات!$C$5:$C$24,MATCH($D811,المنتجات!$A$5:$A$24,0)),"كود غير موجود"))</f>
        <v/>
      </c>
      <c r="F811" s="28" t="str">
        <f aca="false">IF($D811="","",IFERROR(INDEX(المنتجات!$B$5:$B$24,MATCH($D811,المنتجات!$A$5:$A$24,0)),""))</f>
        <v/>
      </c>
      <c r="G811" s="24"/>
      <c r="H811" s="25" t="str">
        <f aca="false">IF($D811="","",IFERROR(INDEX(المنتجات!$F$5:$F$24,MATCH($D811,المنتجات!$A$5:$A$24,0)),0))</f>
        <v/>
      </c>
      <c r="I811" s="30"/>
      <c r="J811" s="25" t="str">
        <f aca="false">IF($D811="","",N(G811)*H811-N(I811))</f>
        <v/>
      </c>
      <c r="K811" s="25" t="str">
        <f aca="false">IF($D811="","",N(G811)*IFERROR(INDEX(المنتجات!$H$5:$H$24,MATCH($D811,المنتجات!$A$5:$A$24,0)),0))</f>
        <v/>
      </c>
      <c r="L811" s="25" t="str">
        <f aca="false">IF($D811="","",J811-K811)</f>
        <v/>
      </c>
      <c r="M811" s="29"/>
      <c r="N811" s="29"/>
    </row>
    <row r="812" customFormat="false" ht="15" hidden="false" customHeight="false" outlineLevel="0" collapsed="false">
      <c r="A812" s="32"/>
      <c r="B812" s="29"/>
      <c r="C812" s="29"/>
      <c r="D812" s="29"/>
      <c r="E812" s="28" t="str">
        <f aca="false">IF($D812="","",IFERROR(INDEX(المنتجات!$C$5:$C$24,MATCH($D812,المنتجات!$A$5:$A$24,0)),"كود غير موجود"))</f>
        <v/>
      </c>
      <c r="F812" s="28" t="str">
        <f aca="false">IF($D812="","",IFERROR(INDEX(المنتجات!$B$5:$B$24,MATCH($D812,المنتجات!$A$5:$A$24,0)),""))</f>
        <v/>
      </c>
      <c r="G812" s="24"/>
      <c r="H812" s="25" t="str">
        <f aca="false">IF($D812="","",IFERROR(INDEX(المنتجات!$F$5:$F$24,MATCH($D812,المنتجات!$A$5:$A$24,0)),0))</f>
        <v/>
      </c>
      <c r="I812" s="30"/>
      <c r="J812" s="25" t="str">
        <f aca="false">IF($D812="","",N(G812)*H812-N(I812))</f>
        <v/>
      </c>
      <c r="K812" s="25" t="str">
        <f aca="false">IF($D812="","",N(G812)*IFERROR(INDEX(المنتجات!$H$5:$H$24,MATCH($D812,المنتجات!$A$5:$A$24,0)),0))</f>
        <v/>
      </c>
      <c r="L812" s="25" t="str">
        <f aca="false">IF($D812="","",J812-K812)</f>
        <v/>
      </c>
      <c r="M812" s="29"/>
      <c r="N812" s="29"/>
    </row>
    <row r="813" customFormat="false" ht="15" hidden="false" customHeight="false" outlineLevel="0" collapsed="false">
      <c r="A813" s="32"/>
      <c r="B813" s="29"/>
      <c r="C813" s="29"/>
      <c r="D813" s="29"/>
      <c r="E813" s="28" t="str">
        <f aca="false">IF($D813="","",IFERROR(INDEX(المنتجات!$C$5:$C$24,MATCH($D813,المنتجات!$A$5:$A$24,0)),"كود غير موجود"))</f>
        <v/>
      </c>
      <c r="F813" s="28" t="str">
        <f aca="false">IF($D813="","",IFERROR(INDEX(المنتجات!$B$5:$B$24,MATCH($D813,المنتجات!$A$5:$A$24,0)),""))</f>
        <v/>
      </c>
      <c r="G813" s="24"/>
      <c r="H813" s="25" t="str">
        <f aca="false">IF($D813="","",IFERROR(INDEX(المنتجات!$F$5:$F$24,MATCH($D813,المنتجات!$A$5:$A$24,0)),0))</f>
        <v/>
      </c>
      <c r="I813" s="30"/>
      <c r="J813" s="25" t="str">
        <f aca="false">IF($D813="","",N(G813)*H813-N(I813))</f>
        <v/>
      </c>
      <c r="K813" s="25" t="str">
        <f aca="false">IF($D813="","",N(G813)*IFERROR(INDEX(المنتجات!$H$5:$H$24,MATCH($D813,المنتجات!$A$5:$A$24,0)),0))</f>
        <v/>
      </c>
      <c r="L813" s="25" t="str">
        <f aca="false">IF($D813="","",J813-K813)</f>
        <v/>
      </c>
      <c r="M813" s="29"/>
      <c r="N813" s="29"/>
    </row>
    <row r="814" customFormat="false" ht="15" hidden="false" customHeight="false" outlineLevel="0" collapsed="false">
      <c r="A814" s="32"/>
      <c r="B814" s="29"/>
      <c r="C814" s="29"/>
      <c r="D814" s="29"/>
      <c r="E814" s="28" t="str">
        <f aca="false">IF($D814="","",IFERROR(INDEX(المنتجات!$C$5:$C$24,MATCH($D814,المنتجات!$A$5:$A$24,0)),"كود غير موجود"))</f>
        <v/>
      </c>
      <c r="F814" s="28" t="str">
        <f aca="false">IF($D814="","",IFERROR(INDEX(المنتجات!$B$5:$B$24,MATCH($D814,المنتجات!$A$5:$A$24,0)),""))</f>
        <v/>
      </c>
      <c r="G814" s="24"/>
      <c r="H814" s="25" t="str">
        <f aca="false">IF($D814="","",IFERROR(INDEX(المنتجات!$F$5:$F$24,MATCH($D814,المنتجات!$A$5:$A$24,0)),0))</f>
        <v/>
      </c>
      <c r="I814" s="30"/>
      <c r="J814" s="25" t="str">
        <f aca="false">IF($D814="","",N(G814)*H814-N(I814))</f>
        <v/>
      </c>
      <c r="K814" s="25" t="str">
        <f aca="false">IF($D814="","",N(G814)*IFERROR(INDEX(المنتجات!$H$5:$H$24,MATCH($D814,المنتجات!$A$5:$A$24,0)),0))</f>
        <v/>
      </c>
      <c r="L814" s="25" t="str">
        <f aca="false">IF($D814="","",J814-K814)</f>
        <v/>
      </c>
      <c r="M814" s="29"/>
      <c r="N814" s="29"/>
    </row>
    <row r="815" customFormat="false" ht="15" hidden="false" customHeight="false" outlineLevel="0" collapsed="false">
      <c r="A815" s="32"/>
      <c r="B815" s="29"/>
      <c r="C815" s="29"/>
      <c r="D815" s="29"/>
      <c r="E815" s="28" t="str">
        <f aca="false">IF($D815="","",IFERROR(INDEX(المنتجات!$C$5:$C$24,MATCH($D815,المنتجات!$A$5:$A$24,0)),"كود غير موجود"))</f>
        <v/>
      </c>
      <c r="F815" s="28" t="str">
        <f aca="false">IF($D815="","",IFERROR(INDEX(المنتجات!$B$5:$B$24,MATCH($D815,المنتجات!$A$5:$A$24,0)),""))</f>
        <v/>
      </c>
      <c r="G815" s="24"/>
      <c r="H815" s="25" t="str">
        <f aca="false">IF($D815="","",IFERROR(INDEX(المنتجات!$F$5:$F$24,MATCH($D815,المنتجات!$A$5:$A$24,0)),0))</f>
        <v/>
      </c>
      <c r="I815" s="30"/>
      <c r="J815" s="25" t="str">
        <f aca="false">IF($D815="","",N(G815)*H815-N(I815))</f>
        <v/>
      </c>
      <c r="K815" s="25" t="str">
        <f aca="false">IF($D815="","",N(G815)*IFERROR(INDEX(المنتجات!$H$5:$H$24,MATCH($D815,المنتجات!$A$5:$A$24,0)),0))</f>
        <v/>
      </c>
      <c r="L815" s="25" t="str">
        <f aca="false">IF($D815="","",J815-K815)</f>
        <v/>
      </c>
      <c r="M815" s="29"/>
      <c r="N815" s="29"/>
    </row>
    <row r="816" customFormat="false" ht="15" hidden="false" customHeight="false" outlineLevel="0" collapsed="false">
      <c r="A816" s="32"/>
      <c r="B816" s="29"/>
      <c r="C816" s="29"/>
      <c r="D816" s="29"/>
      <c r="E816" s="28" t="str">
        <f aca="false">IF($D816="","",IFERROR(INDEX(المنتجات!$C$5:$C$24,MATCH($D816,المنتجات!$A$5:$A$24,0)),"كود غير موجود"))</f>
        <v/>
      </c>
      <c r="F816" s="28" t="str">
        <f aca="false">IF($D816="","",IFERROR(INDEX(المنتجات!$B$5:$B$24,MATCH($D816,المنتجات!$A$5:$A$24,0)),""))</f>
        <v/>
      </c>
      <c r="G816" s="24"/>
      <c r="H816" s="25" t="str">
        <f aca="false">IF($D816="","",IFERROR(INDEX(المنتجات!$F$5:$F$24,MATCH($D816,المنتجات!$A$5:$A$24,0)),0))</f>
        <v/>
      </c>
      <c r="I816" s="30"/>
      <c r="J816" s="25" t="str">
        <f aca="false">IF($D816="","",N(G816)*H816-N(I816))</f>
        <v/>
      </c>
      <c r="K816" s="25" t="str">
        <f aca="false">IF($D816="","",N(G816)*IFERROR(INDEX(المنتجات!$H$5:$H$24,MATCH($D816,المنتجات!$A$5:$A$24,0)),0))</f>
        <v/>
      </c>
      <c r="L816" s="25" t="str">
        <f aca="false">IF($D816="","",J816-K816)</f>
        <v/>
      </c>
      <c r="M816" s="29"/>
      <c r="N816" s="29"/>
    </row>
    <row r="817" customFormat="false" ht="15" hidden="false" customHeight="false" outlineLevel="0" collapsed="false">
      <c r="A817" s="32"/>
      <c r="B817" s="29"/>
      <c r="C817" s="29"/>
      <c r="D817" s="29"/>
      <c r="E817" s="28" t="str">
        <f aca="false">IF($D817="","",IFERROR(INDEX(المنتجات!$C$5:$C$24,MATCH($D817,المنتجات!$A$5:$A$24,0)),"كود غير موجود"))</f>
        <v/>
      </c>
      <c r="F817" s="28" t="str">
        <f aca="false">IF($D817="","",IFERROR(INDEX(المنتجات!$B$5:$B$24,MATCH($D817,المنتجات!$A$5:$A$24,0)),""))</f>
        <v/>
      </c>
      <c r="G817" s="24"/>
      <c r="H817" s="25" t="str">
        <f aca="false">IF($D817="","",IFERROR(INDEX(المنتجات!$F$5:$F$24,MATCH($D817,المنتجات!$A$5:$A$24,0)),0))</f>
        <v/>
      </c>
      <c r="I817" s="30"/>
      <c r="J817" s="25" t="str">
        <f aca="false">IF($D817="","",N(G817)*H817-N(I817))</f>
        <v/>
      </c>
      <c r="K817" s="25" t="str">
        <f aca="false">IF($D817="","",N(G817)*IFERROR(INDEX(المنتجات!$H$5:$H$24,MATCH($D817,المنتجات!$A$5:$A$24,0)),0))</f>
        <v/>
      </c>
      <c r="L817" s="25" t="str">
        <f aca="false">IF($D817="","",J817-K817)</f>
        <v/>
      </c>
      <c r="M817" s="29"/>
      <c r="N817" s="29"/>
    </row>
    <row r="818" customFormat="false" ht="15" hidden="false" customHeight="false" outlineLevel="0" collapsed="false">
      <c r="A818" s="32"/>
      <c r="B818" s="29"/>
      <c r="C818" s="29"/>
      <c r="D818" s="29"/>
      <c r="E818" s="28" t="str">
        <f aca="false">IF($D818="","",IFERROR(INDEX(المنتجات!$C$5:$C$24,MATCH($D818,المنتجات!$A$5:$A$24,0)),"كود غير موجود"))</f>
        <v/>
      </c>
      <c r="F818" s="28" t="str">
        <f aca="false">IF($D818="","",IFERROR(INDEX(المنتجات!$B$5:$B$24,MATCH($D818,المنتجات!$A$5:$A$24,0)),""))</f>
        <v/>
      </c>
      <c r="G818" s="24"/>
      <c r="H818" s="25" t="str">
        <f aca="false">IF($D818="","",IFERROR(INDEX(المنتجات!$F$5:$F$24,MATCH($D818,المنتجات!$A$5:$A$24,0)),0))</f>
        <v/>
      </c>
      <c r="I818" s="30"/>
      <c r="J818" s="25" t="str">
        <f aca="false">IF($D818="","",N(G818)*H818-N(I818))</f>
        <v/>
      </c>
      <c r="K818" s="25" t="str">
        <f aca="false">IF($D818="","",N(G818)*IFERROR(INDEX(المنتجات!$H$5:$H$24,MATCH($D818,المنتجات!$A$5:$A$24,0)),0))</f>
        <v/>
      </c>
      <c r="L818" s="25" t="str">
        <f aca="false">IF($D818="","",J818-K818)</f>
        <v/>
      </c>
      <c r="M818" s="29"/>
      <c r="N818" s="29"/>
    </row>
    <row r="819" customFormat="false" ht="15" hidden="false" customHeight="false" outlineLevel="0" collapsed="false">
      <c r="A819" s="32"/>
      <c r="B819" s="29"/>
      <c r="C819" s="29"/>
      <c r="D819" s="29"/>
      <c r="E819" s="28" t="str">
        <f aca="false">IF($D819="","",IFERROR(INDEX(المنتجات!$C$5:$C$24,MATCH($D819,المنتجات!$A$5:$A$24,0)),"كود غير موجود"))</f>
        <v/>
      </c>
      <c r="F819" s="28" t="str">
        <f aca="false">IF($D819="","",IFERROR(INDEX(المنتجات!$B$5:$B$24,MATCH($D819,المنتجات!$A$5:$A$24,0)),""))</f>
        <v/>
      </c>
      <c r="G819" s="24"/>
      <c r="H819" s="25" t="str">
        <f aca="false">IF($D819="","",IFERROR(INDEX(المنتجات!$F$5:$F$24,MATCH($D819,المنتجات!$A$5:$A$24,0)),0))</f>
        <v/>
      </c>
      <c r="I819" s="30"/>
      <c r="J819" s="25" t="str">
        <f aca="false">IF($D819="","",N(G819)*H819-N(I819))</f>
        <v/>
      </c>
      <c r="K819" s="25" t="str">
        <f aca="false">IF($D819="","",N(G819)*IFERROR(INDEX(المنتجات!$H$5:$H$24,MATCH($D819,المنتجات!$A$5:$A$24,0)),0))</f>
        <v/>
      </c>
      <c r="L819" s="25" t="str">
        <f aca="false">IF($D819="","",J819-K819)</f>
        <v/>
      </c>
      <c r="M819" s="29"/>
      <c r="N819" s="29"/>
    </row>
    <row r="820" customFormat="false" ht="15" hidden="false" customHeight="false" outlineLevel="0" collapsed="false">
      <c r="A820" s="32"/>
      <c r="B820" s="29"/>
      <c r="C820" s="29"/>
      <c r="D820" s="29"/>
      <c r="E820" s="28" t="str">
        <f aca="false">IF($D820="","",IFERROR(INDEX(المنتجات!$C$5:$C$24,MATCH($D820,المنتجات!$A$5:$A$24,0)),"كود غير موجود"))</f>
        <v/>
      </c>
      <c r="F820" s="28" t="str">
        <f aca="false">IF($D820="","",IFERROR(INDEX(المنتجات!$B$5:$B$24,MATCH($D820,المنتجات!$A$5:$A$24,0)),""))</f>
        <v/>
      </c>
      <c r="G820" s="24"/>
      <c r="H820" s="25" t="str">
        <f aca="false">IF($D820="","",IFERROR(INDEX(المنتجات!$F$5:$F$24,MATCH($D820,المنتجات!$A$5:$A$24,0)),0))</f>
        <v/>
      </c>
      <c r="I820" s="30"/>
      <c r="J820" s="25" t="str">
        <f aca="false">IF($D820="","",N(G820)*H820-N(I820))</f>
        <v/>
      </c>
      <c r="K820" s="25" t="str">
        <f aca="false">IF($D820="","",N(G820)*IFERROR(INDEX(المنتجات!$H$5:$H$24,MATCH($D820,المنتجات!$A$5:$A$24,0)),0))</f>
        <v/>
      </c>
      <c r="L820" s="25" t="str">
        <f aca="false">IF($D820="","",J820-K820)</f>
        <v/>
      </c>
      <c r="M820" s="29"/>
      <c r="N820" s="29"/>
    </row>
    <row r="821" customFormat="false" ht="15" hidden="false" customHeight="false" outlineLevel="0" collapsed="false">
      <c r="A821" s="32"/>
      <c r="B821" s="29"/>
      <c r="C821" s="29"/>
      <c r="D821" s="29"/>
      <c r="E821" s="28" t="str">
        <f aca="false">IF($D821="","",IFERROR(INDEX(المنتجات!$C$5:$C$24,MATCH($D821,المنتجات!$A$5:$A$24,0)),"كود غير موجود"))</f>
        <v/>
      </c>
      <c r="F821" s="28" t="str">
        <f aca="false">IF($D821="","",IFERROR(INDEX(المنتجات!$B$5:$B$24,MATCH($D821,المنتجات!$A$5:$A$24,0)),""))</f>
        <v/>
      </c>
      <c r="G821" s="24"/>
      <c r="H821" s="25" t="str">
        <f aca="false">IF($D821="","",IFERROR(INDEX(المنتجات!$F$5:$F$24,MATCH($D821,المنتجات!$A$5:$A$24,0)),0))</f>
        <v/>
      </c>
      <c r="I821" s="30"/>
      <c r="J821" s="25" t="str">
        <f aca="false">IF($D821="","",N(G821)*H821-N(I821))</f>
        <v/>
      </c>
      <c r="K821" s="25" t="str">
        <f aca="false">IF($D821="","",N(G821)*IFERROR(INDEX(المنتجات!$H$5:$H$24,MATCH($D821,المنتجات!$A$5:$A$24,0)),0))</f>
        <v/>
      </c>
      <c r="L821" s="25" t="str">
        <f aca="false">IF($D821="","",J821-K821)</f>
        <v/>
      </c>
      <c r="M821" s="29"/>
      <c r="N821" s="29"/>
    </row>
    <row r="822" customFormat="false" ht="15" hidden="false" customHeight="false" outlineLevel="0" collapsed="false">
      <c r="A822" s="32"/>
      <c r="B822" s="29"/>
      <c r="C822" s="29"/>
      <c r="D822" s="29"/>
      <c r="E822" s="28" t="str">
        <f aca="false">IF($D822="","",IFERROR(INDEX(المنتجات!$C$5:$C$24,MATCH($D822,المنتجات!$A$5:$A$24,0)),"كود غير موجود"))</f>
        <v/>
      </c>
      <c r="F822" s="28" t="str">
        <f aca="false">IF($D822="","",IFERROR(INDEX(المنتجات!$B$5:$B$24,MATCH($D822,المنتجات!$A$5:$A$24,0)),""))</f>
        <v/>
      </c>
      <c r="G822" s="24"/>
      <c r="H822" s="25" t="str">
        <f aca="false">IF($D822="","",IFERROR(INDEX(المنتجات!$F$5:$F$24,MATCH($D822,المنتجات!$A$5:$A$24,0)),0))</f>
        <v/>
      </c>
      <c r="I822" s="30"/>
      <c r="J822" s="25" t="str">
        <f aca="false">IF($D822="","",N(G822)*H822-N(I822))</f>
        <v/>
      </c>
      <c r="K822" s="25" t="str">
        <f aca="false">IF($D822="","",N(G822)*IFERROR(INDEX(المنتجات!$H$5:$H$24,MATCH($D822,المنتجات!$A$5:$A$24,0)),0))</f>
        <v/>
      </c>
      <c r="L822" s="25" t="str">
        <f aca="false">IF($D822="","",J822-K822)</f>
        <v/>
      </c>
      <c r="M822" s="29"/>
      <c r="N822" s="29"/>
    </row>
    <row r="823" customFormat="false" ht="15" hidden="false" customHeight="false" outlineLevel="0" collapsed="false">
      <c r="A823" s="32"/>
      <c r="B823" s="29"/>
      <c r="C823" s="29"/>
      <c r="D823" s="29"/>
      <c r="E823" s="28" t="str">
        <f aca="false">IF($D823="","",IFERROR(INDEX(المنتجات!$C$5:$C$24,MATCH($D823,المنتجات!$A$5:$A$24,0)),"كود غير موجود"))</f>
        <v/>
      </c>
      <c r="F823" s="28" t="str">
        <f aca="false">IF($D823="","",IFERROR(INDEX(المنتجات!$B$5:$B$24,MATCH($D823,المنتجات!$A$5:$A$24,0)),""))</f>
        <v/>
      </c>
      <c r="G823" s="24"/>
      <c r="H823" s="25" t="str">
        <f aca="false">IF($D823="","",IFERROR(INDEX(المنتجات!$F$5:$F$24,MATCH($D823,المنتجات!$A$5:$A$24,0)),0))</f>
        <v/>
      </c>
      <c r="I823" s="30"/>
      <c r="J823" s="25" t="str">
        <f aca="false">IF($D823="","",N(G823)*H823-N(I823))</f>
        <v/>
      </c>
      <c r="K823" s="25" t="str">
        <f aca="false">IF($D823="","",N(G823)*IFERROR(INDEX(المنتجات!$H$5:$H$24,MATCH($D823,المنتجات!$A$5:$A$24,0)),0))</f>
        <v/>
      </c>
      <c r="L823" s="25" t="str">
        <f aca="false">IF($D823="","",J823-K823)</f>
        <v/>
      </c>
      <c r="M823" s="29"/>
      <c r="N823" s="29"/>
    </row>
    <row r="824" customFormat="false" ht="15" hidden="false" customHeight="false" outlineLevel="0" collapsed="false">
      <c r="A824" s="32"/>
      <c r="B824" s="29"/>
      <c r="C824" s="29"/>
      <c r="D824" s="29"/>
      <c r="E824" s="28" t="str">
        <f aca="false">IF($D824="","",IFERROR(INDEX(المنتجات!$C$5:$C$24,MATCH($D824,المنتجات!$A$5:$A$24,0)),"كود غير موجود"))</f>
        <v/>
      </c>
      <c r="F824" s="28" t="str">
        <f aca="false">IF($D824="","",IFERROR(INDEX(المنتجات!$B$5:$B$24,MATCH($D824,المنتجات!$A$5:$A$24,0)),""))</f>
        <v/>
      </c>
      <c r="G824" s="24"/>
      <c r="H824" s="25" t="str">
        <f aca="false">IF($D824="","",IFERROR(INDEX(المنتجات!$F$5:$F$24,MATCH($D824,المنتجات!$A$5:$A$24,0)),0))</f>
        <v/>
      </c>
      <c r="I824" s="30"/>
      <c r="J824" s="25" t="str">
        <f aca="false">IF($D824="","",N(G824)*H824-N(I824))</f>
        <v/>
      </c>
      <c r="K824" s="25" t="str">
        <f aca="false">IF($D824="","",N(G824)*IFERROR(INDEX(المنتجات!$H$5:$H$24,MATCH($D824,المنتجات!$A$5:$A$24,0)),0))</f>
        <v/>
      </c>
      <c r="L824" s="25" t="str">
        <f aca="false">IF($D824="","",J824-K824)</f>
        <v/>
      </c>
      <c r="M824" s="29"/>
      <c r="N824" s="29"/>
    </row>
    <row r="825" customFormat="false" ht="15" hidden="false" customHeight="false" outlineLevel="0" collapsed="false">
      <c r="A825" s="32"/>
      <c r="B825" s="29"/>
      <c r="C825" s="29"/>
      <c r="D825" s="29"/>
      <c r="E825" s="28" t="str">
        <f aca="false">IF($D825="","",IFERROR(INDEX(المنتجات!$C$5:$C$24,MATCH($D825,المنتجات!$A$5:$A$24,0)),"كود غير موجود"))</f>
        <v/>
      </c>
      <c r="F825" s="28" t="str">
        <f aca="false">IF($D825="","",IFERROR(INDEX(المنتجات!$B$5:$B$24,MATCH($D825,المنتجات!$A$5:$A$24,0)),""))</f>
        <v/>
      </c>
      <c r="G825" s="24"/>
      <c r="H825" s="25" t="str">
        <f aca="false">IF($D825="","",IFERROR(INDEX(المنتجات!$F$5:$F$24,MATCH($D825,المنتجات!$A$5:$A$24,0)),0))</f>
        <v/>
      </c>
      <c r="I825" s="30"/>
      <c r="J825" s="25" t="str">
        <f aca="false">IF($D825="","",N(G825)*H825-N(I825))</f>
        <v/>
      </c>
      <c r="K825" s="25" t="str">
        <f aca="false">IF($D825="","",N(G825)*IFERROR(INDEX(المنتجات!$H$5:$H$24,MATCH($D825,المنتجات!$A$5:$A$24,0)),0))</f>
        <v/>
      </c>
      <c r="L825" s="25" t="str">
        <f aca="false">IF($D825="","",J825-K825)</f>
        <v/>
      </c>
      <c r="M825" s="29"/>
      <c r="N825" s="29"/>
    </row>
    <row r="826" customFormat="false" ht="15" hidden="false" customHeight="false" outlineLevel="0" collapsed="false">
      <c r="A826" s="32"/>
      <c r="B826" s="29"/>
      <c r="C826" s="29"/>
      <c r="D826" s="29"/>
      <c r="E826" s="28" t="str">
        <f aca="false">IF($D826="","",IFERROR(INDEX(المنتجات!$C$5:$C$24,MATCH($D826,المنتجات!$A$5:$A$24,0)),"كود غير موجود"))</f>
        <v/>
      </c>
      <c r="F826" s="28" t="str">
        <f aca="false">IF($D826="","",IFERROR(INDEX(المنتجات!$B$5:$B$24,MATCH($D826,المنتجات!$A$5:$A$24,0)),""))</f>
        <v/>
      </c>
      <c r="G826" s="24"/>
      <c r="H826" s="25" t="str">
        <f aca="false">IF($D826="","",IFERROR(INDEX(المنتجات!$F$5:$F$24,MATCH($D826,المنتجات!$A$5:$A$24,0)),0))</f>
        <v/>
      </c>
      <c r="I826" s="30"/>
      <c r="J826" s="25" t="str">
        <f aca="false">IF($D826="","",N(G826)*H826-N(I826))</f>
        <v/>
      </c>
      <c r="K826" s="25" t="str">
        <f aca="false">IF($D826="","",N(G826)*IFERROR(INDEX(المنتجات!$H$5:$H$24,MATCH($D826,المنتجات!$A$5:$A$24,0)),0))</f>
        <v/>
      </c>
      <c r="L826" s="25" t="str">
        <f aca="false">IF($D826="","",J826-K826)</f>
        <v/>
      </c>
      <c r="M826" s="29"/>
      <c r="N826" s="29"/>
    </row>
    <row r="827" customFormat="false" ht="15" hidden="false" customHeight="false" outlineLevel="0" collapsed="false">
      <c r="A827" s="32"/>
      <c r="B827" s="29"/>
      <c r="C827" s="29"/>
      <c r="D827" s="29"/>
      <c r="E827" s="28" t="str">
        <f aca="false">IF($D827="","",IFERROR(INDEX(المنتجات!$C$5:$C$24,MATCH($D827,المنتجات!$A$5:$A$24,0)),"كود غير موجود"))</f>
        <v/>
      </c>
      <c r="F827" s="28" t="str">
        <f aca="false">IF($D827="","",IFERROR(INDEX(المنتجات!$B$5:$B$24,MATCH($D827,المنتجات!$A$5:$A$24,0)),""))</f>
        <v/>
      </c>
      <c r="G827" s="24"/>
      <c r="H827" s="25" t="str">
        <f aca="false">IF($D827="","",IFERROR(INDEX(المنتجات!$F$5:$F$24,MATCH($D827,المنتجات!$A$5:$A$24,0)),0))</f>
        <v/>
      </c>
      <c r="I827" s="30"/>
      <c r="J827" s="25" t="str">
        <f aca="false">IF($D827="","",N(G827)*H827-N(I827))</f>
        <v/>
      </c>
      <c r="K827" s="25" t="str">
        <f aca="false">IF($D827="","",N(G827)*IFERROR(INDEX(المنتجات!$H$5:$H$24,MATCH($D827,المنتجات!$A$5:$A$24,0)),0))</f>
        <v/>
      </c>
      <c r="L827" s="25" t="str">
        <f aca="false">IF($D827="","",J827-K827)</f>
        <v/>
      </c>
      <c r="M827" s="29"/>
      <c r="N827" s="29"/>
    </row>
    <row r="828" customFormat="false" ht="15" hidden="false" customHeight="false" outlineLevel="0" collapsed="false">
      <c r="A828" s="32"/>
      <c r="B828" s="29"/>
      <c r="C828" s="29"/>
      <c r="D828" s="29"/>
      <c r="E828" s="28" t="str">
        <f aca="false">IF($D828="","",IFERROR(INDEX(المنتجات!$C$5:$C$24,MATCH($D828,المنتجات!$A$5:$A$24,0)),"كود غير موجود"))</f>
        <v/>
      </c>
      <c r="F828" s="28" t="str">
        <f aca="false">IF($D828="","",IFERROR(INDEX(المنتجات!$B$5:$B$24,MATCH($D828,المنتجات!$A$5:$A$24,0)),""))</f>
        <v/>
      </c>
      <c r="G828" s="24"/>
      <c r="H828" s="25" t="str">
        <f aca="false">IF($D828="","",IFERROR(INDEX(المنتجات!$F$5:$F$24,MATCH($D828,المنتجات!$A$5:$A$24,0)),0))</f>
        <v/>
      </c>
      <c r="I828" s="30"/>
      <c r="J828" s="25" t="str">
        <f aca="false">IF($D828="","",N(G828)*H828-N(I828))</f>
        <v/>
      </c>
      <c r="K828" s="25" t="str">
        <f aca="false">IF($D828="","",N(G828)*IFERROR(INDEX(المنتجات!$H$5:$H$24,MATCH($D828,المنتجات!$A$5:$A$24,0)),0))</f>
        <v/>
      </c>
      <c r="L828" s="25" t="str">
        <f aca="false">IF($D828="","",J828-K828)</f>
        <v/>
      </c>
      <c r="M828" s="29"/>
      <c r="N828" s="29"/>
    </row>
    <row r="829" customFormat="false" ht="15" hidden="false" customHeight="false" outlineLevel="0" collapsed="false">
      <c r="A829" s="32"/>
      <c r="B829" s="29"/>
      <c r="C829" s="29"/>
      <c r="D829" s="29"/>
      <c r="E829" s="28" t="str">
        <f aca="false">IF($D829="","",IFERROR(INDEX(المنتجات!$C$5:$C$24,MATCH($D829,المنتجات!$A$5:$A$24,0)),"كود غير موجود"))</f>
        <v/>
      </c>
      <c r="F829" s="28" t="str">
        <f aca="false">IF($D829="","",IFERROR(INDEX(المنتجات!$B$5:$B$24,MATCH($D829,المنتجات!$A$5:$A$24,0)),""))</f>
        <v/>
      </c>
      <c r="G829" s="24"/>
      <c r="H829" s="25" t="str">
        <f aca="false">IF($D829="","",IFERROR(INDEX(المنتجات!$F$5:$F$24,MATCH($D829,المنتجات!$A$5:$A$24,0)),0))</f>
        <v/>
      </c>
      <c r="I829" s="30"/>
      <c r="J829" s="25" t="str">
        <f aca="false">IF($D829="","",N(G829)*H829-N(I829))</f>
        <v/>
      </c>
      <c r="K829" s="25" t="str">
        <f aca="false">IF($D829="","",N(G829)*IFERROR(INDEX(المنتجات!$H$5:$H$24,MATCH($D829,المنتجات!$A$5:$A$24,0)),0))</f>
        <v/>
      </c>
      <c r="L829" s="25" t="str">
        <f aca="false">IF($D829="","",J829-K829)</f>
        <v/>
      </c>
      <c r="M829" s="29"/>
      <c r="N829" s="29"/>
    </row>
    <row r="830" customFormat="false" ht="15" hidden="false" customHeight="false" outlineLevel="0" collapsed="false">
      <c r="A830" s="32"/>
      <c r="B830" s="29"/>
      <c r="C830" s="29"/>
      <c r="D830" s="29"/>
      <c r="E830" s="28" t="str">
        <f aca="false">IF($D830="","",IFERROR(INDEX(المنتجات!$C$5:$C$24,MATCH($D830,المنتجات!$A$5:$A$24,0)),"كود غير موجود"))</f>
        <v/>
      </c>
      <c r="F830" s="28" t="str">
        <f aca="false">IF($D830="","",IFERROR(INDEX(المنتجات!$B$5:$B$24,MATCH($D830,المنتجات!$A$5:$A$24,0)),""))</f>
        <v/>
      </c>
      <c r="G830" s="24"/>
      <c r="H830" s="25" t="str">
        <f aca="false">IF($D830="","",IFERROR(INDEX(المنتجات!$F$5:$F$24,MATCH($D830,المنتجات!$A$5:$A$24,0)),0))</f>
        <v/>
      </c>
      <c r="I830" s="30"/>
      <c r="J830" s="25" t="str">
        <f aca="false">IF($D830="","",N(G830)*H830-N(I830))</f>
        <v/>
      </c>
      <c r="K830" s="25" t="str">
        <f aca="false">IF($D830="","",N(G830)*IFERROR(INDEX(المنتجات!$H$5:$H$24,MATCH($D830,المنتجات!$A$5:$A$24,0)),0))</f>
        <v/>
      </c>
      <c r="L830" s="25" t="str">
        <f aca="false">IF($D830="","",J830-K830)</f>
        <v/>
      </c>
      <c r="M830" s="29"/>
      <c r="N830" s="29"/>
    </row>
    <row r="831" customFormat="false" ht="15" hidden="false" customHeight="false" outlineLevel="0" collapsed="false">
      <c r="A831" s="32"/>
      <c r="B831" s="29"/>
      <c r="C831" s="29"/>
      <c r="D831" s="29"/>
      <c r="E831" s="28" t="str">
        <f aca="false">IF($D831="","",IFERROR(INDEX(المنتجات!$C$5:$C$24,MATCH($D831,المنتجات!$A$5:$A$24,0)),"كود غير موجود"))</f>
        <v/>
      </c>
      <c r="F831" s="28" t="str">
        <f aca="false">IF($D831="","",IFERROR(INDEX(المنتجات!$B$5:$B$24,MATCH($D831,المنتجات!$A$5:$A$24,0)),""))</f>
        <v/>
      </c>
      <c r="G831" s="24"/>
      <c r="H831" s="25" t="str">
        <f aca="false">IF($D831="","",IFERROR(INDEX(المنتجات!$F$5:$F$24,MATCH($D831,المنتجات!$A$5:$A$24,0)),0))</f>
        <v/>
      </c>
      <c r="I831" s="30"/>
      <c r="J831" s="25" t="str">
        <f aca="false">IF($D831="","",N(G831)*H831-N(I831))</f>
        <v/>
      </c>
      <c r="K831" s="25" t="str">
        <f aca="false">IF($D831="","",N(G831)*IFERROR(INDEX(المنتجات!$H$5:$H$24,MATCH($D831,المنتجات!$A$5:$A$24,0)),0))</f>
        <v/>
      </c>
      <c r="L831" s="25" t="str">
        <f aca="false">IF($D831="","",J831-K831)</f>
        <v/>
      </c>
      <c r="M831" s="29"/>
      <c r="N831" s="29"/>
    </row>
    <row r="832" customFormat="false" ht="15" hidden="false" customHeight="false" outlineLevel="0" collapsed="false">
      <c r="A832" s="32"/>
      <c r="B832" s="29"/>
      <c r="C832" s="29"/>
      <c r="D832" s="29"/>
      <c r="E832" s="28" t="str">
        <f aca="false">IF($D832="","",IFERROR(INDEX(المنتجات!$C$5:$C$24,MATCH($D832,المنتجات!$A$5:$A$24,0)),"كود غير موجود"))</f>
        <v/>
      </c>
      <c r="F832" s="28" t="str">
        <f aca="false">IF($D832="","",IFERROR(INDEX(المنتجات!$B$5:$B$24,MATCH($D832,المنتجات!$A$5:$A$24,0)),""))</f>
        <v/>
      </c>
      <c r="G832" s="24"/>
      <c r="H832" s="25" t="str">
        <f aca="false">IF($D832="","",IFERROR(INDEX(المنتجات!$F$5:$F$24,MATCH($D832,المنتجات!$A$5:$A$24,0)),0))</f>
        <v/>
      </c>
      <c r="I832" s="30"/>
      <c r="J832" s="25" t="str">
        <f aca="false">IF($D832="","",N(G832)*H832-N(I832))</f>
        <v/>
      </c>
      <c r="K832" s="25" t="str">
        <f aca="false">IF($D832="","",N(G832)*IFERROR(INDEX(المنتجات!$H$5:$H$24,MATCH($D832,المنتجات!$A$5:$A$24,0)),0))</f>
        <v/>
      </c>
      <c r="L832" s="25" t="str">
        <f aca="false">IF($D832="","",J832-K832)</f>
        <v/>
      </c>
      <c r="M832" s="29"/>
      <c r="N832" s="29"/>
    </row>
    <row r="833" customFormat="false" ht="15" hidden="false" customHeight="false" outlineLevel="0" collapsed="false">
      <c r="A833" s="32"/>
      <c r="B833" s="29"/>
      <c r="C833" s="29"/>
      <c r="D833" s="29"/>
      <c r="E833" s="28" t="str">
        <f aca="false">IF($D833="","",IFERROR(INDEX(المنتجات!$C$5:$C$24,MATCH($D833,المنتجات!$A$5:$A$24,0)),"كود غير موجود"))</f>
        <v/>
      </c>
      <c r="F833" s="28" t="str">
        <f aca="false">IF($D833="","",IFERROR(INDEX(المنتجات!$B$5:$B$24,MATCH($D833,المنتجات!$A$5:$A$24,0)),""))</f>
        <v/>
      </c>
      <c r="G833" s="24"/>
      <c r="H833" s="25" t="str">
        <f aca="false">IF($D833="","",IFERROR(INDEX(المنتجات!$F$5:$F$24,MATCH($D833,المنتجات!$A$5:$A$24,0)),0))</f>
        <v/>
      </c>
      <c r="I833" s="30"/>
      <c r="J833" s="25" t="str">
        <f aca="false">IF($D833="","",N(G833)*H833-N(I833))</f>
        <v/>
      </c>
      <c r="K833" s="25" t="str">
        <f aca="false">IF($D833="","",N(G833)*IFERROR(INDEX(المنتجات!$H$5:$H$24,MATCH($D833,المنتجات!$A$5:$A$24,0)),0))</f>
        <v/>
      </c>
      <c r="L833" s="25" t="str">
        <f aca="false">IF($D833="","",J833-K833)</f>
        <v/>
      </c>
      <c r="M833" s="29"/>
      <c r="N833" s="29"/>
    </row>
    <row r="834" customFormat="false" ht="15" hidden="false" customHeight="false" outlineLevel="0" collapsed="false">
      <c r="A834" s="32"/>
      <c r="B834" s="29"/>
      <c r="C834" s="29"/>
      <c r="D834" s="29"/>
      <c r="E834" s="28" t="str">
        <f aca="false">IF($D834="","",IFERROR(INDEX(المنتجات!$C$5:$C$24,MATCH($D834,المنتجات!$A$5:$A$24,0)),"كود غير موجود"))</f>
        <v/>
      </c>
      <c r="F834" s="28" t="str">
        <f aca="false">IF($D834="","",IFERROR(INDEX(المنتجات!$B$5:$B$24,MATCH($D834,المنتجات!$A$5:$A$24,0)),""))</f>
        <v/>
      </c>
      <c r="G834" s="24"/>
      <c r="H834" s="25" t="str">
        <f aca="false">IF($D834="","",IFERROR(INDEX(المنتجات!$F$5:$F$24,MATCH($D834,المنتجات!$A$5:$A$24,0)),0))</f>
        <v/>
      </c>
      <c r="I834" s="30"/>
      <c r="J834" s="25" t="str">
        <f aca="false">IF($D834="","",N(G834)*H834-N(I834))</f>
        <v/>
      </c>
      <c r="K834" s="25" t="str">
        <f aca="false">IF($D834="","",N(G834)*IFERROR(INDEX(المنتجات!$H$5:$H$24,MATCH($D834,المنتجات!$A$5:$A$24,0)),0))</f>
        <v/>
      </c>
      <c r="L834" s="25" t="str">
        <f aca="false">IF($D834="","",J834-K834)</f>
        <v/>
      </c>
      <c r="M834" s="29"/>
      <c r="N834" s="29"/>
    </row>
    <row r="835" customFormat="false" ht="15" hidden="false" customHeight="false" outlineLevel="0" collapsed="false">
      <c r="A835" s="32"/>
      <c r="B835" s="29"/>
      <c r="C835" s="29"/>
      <c r="D835" s="29"/>
      <c r="E835" s="28" t="str">
        <f aca="false">IF($D835="","",IFERROR(INDEX(المنتجات!$C$5:$C$24,MATCH($D835,المنتجات!$A$5:$A$24,0)),"كود غير موجود"))</f>
        <v/>
      </c>
      <c r="F835" s="28" t="str">
        <f aca="false">IF($D835="","",IFERROR(INDEX(المنتجات!$B$5:$B$24,MATCH($D835,المنتجات!$A$5:$A$24,0)),""))</f>
        <v/>
      </c>
      <c r="G835" s="24"/>
      <c r="H835" s="25" t="str">
        <f aca="false">IF($D835="","",IFERROR(INDEX(المنتجات!$F$5:$F$24,MATCH($D835,المنتجات!$A$5:$A$24,0)),0))</f>
        <v/>
      </c>
      <c r="I835" s="30"/>
      <c r="J835" s="25" t="str">
        <f aca="false">IF($D835="","",N(G835)*H835-N(I835))</f>
        <v/>
      </c>
      <c r="K835" s="25" t="str">
        <f aca="false">IF($D835="","",N(G835)*IFERROR(INDEX(المنتجات!$H$5:$H$24,MATCH($D835,المنتجات!$A$5:$A$24,0)),0))</f>
        <v/>
      </c>
      <c r="L835" s="25" t="str">
        <f aca="false">IF($D835="","",J835-K835)</f>
        <v/>
      </c>
      <c r="M835" s="29"/>
      <c r="N835" s="29"/>
    </row>
    <row r="836" customFormat="false" ht="15" hidden="false" customHeight="false" outlineLevel="0" collapsed="false">
      <c r="A836" s="32"/>
      <c r="B836" s="29"/>
      <c r="C836" s="29"/>
      <c r="D836" s="29"/>
      <c r="E836" s="28" t="str">
        <f aca="false">IF($D836="","",IFERROR(INDEX(المنتجات!$C$5:$C$24,MATCH($D836,المنتجات!$A$5:$A$24,0)),"كود غير موجود"))</f>
        <v/>
      </c>
      <c r="F836" s="28" t="str">
        <f aca="false">IF($D836="","",IFERROR(INDEX(المنتجات!$B$5:$B$24,MATCH($D836,المنتجات!$A$5:$A$24,0)),""))</f>
        <v/>
      </c>
      <c r="G836" s="24"/>
      <c r="H836" s="25" t="str">
        <f aca="false">IF($D836="","",IFERROR(INDEX(المنتجات!$F$5:$F$24,MATCH($D836,المنتجات!$A$5:$A$24,0)),0))</f>
        <v/>
      </c>
      <c r="I836" s="30"/>
      <c r="J836" s="25" t="str">
        <f aca="false">IF($D836="","",N(G836)*H836-N(I836))</f>
        <v/>
      </c>
      <c r="K836" s="25" t="str">
        <f aca="false">IF($D836="","",N(G836)*IFERROR(INDEX(المنتجات!$H$5:$H$24,MATCH($D836,المنتجات!$A$5:$A$24,0)),0))</f>
        <v/>
      </c>
      <c r="L836" s="25" t="str">
        <f aca="false">IF($D836="","",J836-K836)</f>
        <v/>
      </c>
      <c r="M836" s="29"/>
      <c r="N836" s="29"/>
    </row>
    <row r="837" customFormat="false" ht="15" hidden="false" customHeight="false" outlineLevel="0" collapsed="false">
      <c r="A837" s="32"/>
      <c r="B837" s="29"/>
      <c r="C837" s="29"/>
      <c r="D837" s="29"/>
      <c r="E837" s="28" t="str">
        <f aca="false">IF($D837="","",IFERROR(INDEX(المنتجات!$C$5:$C$24,MATCH($D837,المنتجات!$A$5:$A$24,0)),"كود غير موجود"))</f>
        <v/>
      </c>
      <c r="F837" s="28" t="str">
        <f aca="false">IF($D837="","",IFERROR(INDEX(المنتجات!$B$5:$B$24,MATCH($D837,المنتجات!$A$5:$A$24,0)),""))</f>
        <v/>
      </c>
      <c r="G837" s="24"/>
      <c r="H837" s="25" t="str">
        <f aca="false">IF($D837="","",IFERROR(INDEX(المنتجات!$F$5:$F$24,MATCH($D837,المنتجات!$A$5:$A$24,0)),0))</f>
        <v/>
      </c>
      <c r="I837" s="30"/>
      <c r="J837" s="25" t="str">
        <f aca="false">IF($D837="","",N(G837)*H837-N(I837))</f>
        <v/>
      </c>
      <c r="K837" s="25" t="str">
        <f aca="false">IF($D837="","",N(G837)*IFERROR(INDEX(المنتجات!$H$5:$H$24,MATCH($D837,المنتجات!$A$5:$A$24,0)),0))</f>
        <v/>
      </c>
      <c r="L837" s="25" t="str">
        <f aca="false">IF($D837="","",J837-K837)</f>
        <v/>
      </c>
      <c r="M837" s="29"/>
      <c r="N837" s="29"/>
    </row>
    <row r="838" customFormat="false" ht="15" hidden="false" customHeight="false" outlineLevel="0" collapsed="false">
      <c r="A838" s="32"/>
      <c r="B838" s="29"/>
      <c r="C838" s="29"/>
      <c r="D838" s="29"/>
      <c r="E838" s="28" t="str">
        <f aca="false">IF($D838="","",IFERROR(INDEX(المنتجات!$C$5:$C$24,MATCH($D838,المنتجات!$A$5:$A$24,0)),"كود غير موجود"))</f>
        <v/>
      </c>
      <c r="F838" s="28" t="str">
        <f aca="false">IF($D838="","",IFERROR(INDEX(المنتجات!$B$5:$B$24,MATCH($D838,المنتجات!$A$5:$A$24,0)),""))</f>
        <v/>
      </c>
      <c r="G838" s="24"/>
      <c r="H838" s="25" t="str">
        <f aca="false">IF($D838="","",IFERROR(INDEX(المنتجات!$F$5:$F$24,MATCH($D838,المنتجات!$A$5:$A$24,0)),0))</f>
        <v/>
      </c>
      <c r="I838" s="30"/>
      <c r="J838" s="25" t="str">
        <f aca="false">IF($D838="","",N(G838)*H838-N(I838))</f>
        <v/>
      </c>
      <c r="K838" s="25" t="str">
        <f aca="false">IF($D838="","",N(G838)*IFERROR(INDEX(المنتجات!$H$5:$H$24,MATCH($D838,المنتجات!$A$5:$A$24,0)),0))</f>
        <v/>
      </c>
      <c r="L838" s="25" t="str">
        <f aca="false">IF($D838="","",J838-K838)</f>
        <v/>
      </c>
      <c r="M838" s="29"/>
      <c r="N838" s="29"/>
    </row>
    <row r="839" customFormat="false" ht="15" hidden="false" customHeight="false" outlineLevel="0" collapsed="false">
      <c r="A839" s="32"/>
      <c r="B839" s="29"/>
      <c r="C839" s="29"/>
      <c r="D839" s="29"/>
      <c r="E839" s="28" t="str">
        <f aca="false">IF($D839="","",IFERROR(INDEX(المنتجات!$C$5:$C$24,MATCH($D839,المنتجات!$A$5:$A$24,0)),"كود غير موجود"))</f>
        <v/>
      </c>
      <c r="F839" s="28" t="str">
        <f aca="false">IF($D839="","",IFERROR(INDEX(المنتجات!$B$5:$B$24,MATCH($D839,المنتجات!$A$5:$A$24,0)),""))</f>
        <v/>
      </c>
      <c r="G839" s="24"/>
      <c r="H839" s="25" t="str">
        <f aca="false">IF($D839="","",IFERROR(INDEX(المنتجات!$F$5:$F$24,MATCH($D839,المنتجات!$A$5:$A$24,0)),0))</f>
        <v/>
      </c>
      <c r="I839" s="30"/>
      <c r="J839" s="25" t="str">
        <f aca="false">IF($D839="","",N(G839)*H839-N(I839))</f>
        <v/>
      </c>
      <c r="K839" s="25" t="str">
        <f aca="false">IF($D839="","",N(G839)*IFERROR(INDEX(المنتجات!$H$5:$H$24,MATCH($D839,المنتجات!$A$5:$A$24,0)),0))</f>
        <v/>
      </c>
      <c r="L839" s="25" t="str">
        <f aca="false">IF($D839="","",J839-K839)</f>
        <v/>
      </c>
      <c r="M839" s="29"/>
      <c r="N839" s="29"/>
    </row>
    <row r="840" customFormat="false" ht="15" hidden="false" customHeight="false" outlineLevel="0" collapsed="false">
      <c r="A840" s="32"/>
      <c r="B840" s="29"/>
      <c r="C840" s="29"/>
      <c r="D840" s="29"/>
      <c r="E840" s="28" t="str">
        <f aca="false">IF($D840="","",IFERROR(INDEX(المنتجات!$C$5:$C$24,MATCH($D840,المنتجات!$A$5:$A$24,0)),"كود غير موجود"))</f>
        <v/>
      </c>
      <c r="F840" s="28" t="str">
        <f aca="false">IF($D840="","",IFERROR(INDEX(المنتجات!$B$5:$B$24,MATCH($D840,المنتجات!$A$5:$A$24,0)),""))</f>
        <v/>
      </c>
      <c r="G840" s="24"/>
      <c r="H840" s="25" t="str">
        <f aca="false">IF($D840="","",IFERROR(INDEX(المنتجات!$F$5:$F$24,MATCH($D840,المنتجات!$A$5:$A$24,0)),0))</f>
        <v/>
      </c>
      <c r="I840" s="30"/>
      <c r="J840" s="25" t="str">
        <f aca="false">IF($D840="","",N(G840)*H840-N(I840))</f>
        <v/>
      </c>
      <c r="K840" s="25" t="str">
        <f aca="false">IF($D840="","",N(G840)*IFERROR(INDEX(المنتجات!$H$5:$H$24,MATCH($D840,المنتجات!$A$5:$A$24,0)),0))</f>
        <v/>
      </c>
      <c r="L840" s="25" t="str">
        <f aca="false">IF($D840="","",J840-K840)</f>
        <v/>
      </c>
      <c r="M840" s="29"/>
      <c r="N840" s="29"/>
    </row>
    <row r="841" customFormat="false" ht="15" hidden="false" customHeight="false" outlineLevel="0" collapsed="false">
      <c r="A841" s="32"/>
      <c r="B841" s="29"/>
      <c r="C841" s="29"/>
      <c r="D841" s="29"/>
      <c r="E841" s="28" t="str">
        <f aca="false">IF($D841="","",IFERROR(INDEX(المنتجات!$C$5:$C$24,MATCH($D841,المنتجات!$A$5:$A$24,0)),"كود غير موجود"))</f>
        <v/>
      </c>
      <c r="F841" s="28" t="str">
        <f aca="false">IF($D841="","",IFERROR(INDEX(المنتجات!$B$5:$B$24,MATCH($D841,المنتجات!$A$5:$A$24,0)),""))</f>
        <v/>
      </c>
      <c r="G841" s="24"/>
      <c r="H841" s="25" t="str">
        <f aca="false">IF($D841="","",IFERROR(INDEX(المنتجات!$F$5:$F$24,MATCH($D841,المنتجات!$A$5:$A$24,0)),0))</f>
        <v/>
      </c>
      <c r="I841" s="30"/>
      <c r="J841" s="25" t="str">
        <f aca="false">IF($D841="","",N(G841)*H841-N(I841))</f>
        <v/>
      </c>
      <c r="K841" s="25" t="str">
        <f aca="false">IF($D841="","",N(G841)*IFERROR(INDEX(المنتجات!$H$5:$H$24,MATCH($D841,المنتجات!$A$5:$A$24,0)),0))</f>
        <v/>
      </c>
      <c r="L841" s="25" t="str">
        <f aca="false">IF($D841="","",J841-K841)</f>
        <v/>
      </c>
      <c r="M841" s="29"/>
      <c r="N841" s="29"/>
    </row>
    <row r="842" customFormat="false" ht="15" hidden="false" customHeight="false" outlineLevel="0" collapsed="false">
      <c r="A842" s="32"/>
      <c r="B842" s="29"/>
      <c r="C842" s="29"/>
      <c r="D842" s="29"/>
      <c r="E842" s="28" t="str">
        <f aca="false">IF($D842="","",IFERROR(INDEX(المنتجات!$C$5:$C$24,MATCH($D842,المنتجات!$A$5:$A$24,0)),"كود غير موجود"))</f>
        <v/>
      </c>
      <c r="F842" s="28" t="str">
        <f aca="false">IF($D842="","",IFERROR(INDEX(المنتجات!$B$5:$B$24,MATCH($D842,المنتجات!$A$5:$A$24,0)),""))</f>
        <v/>
      </c>
      <c r="G842" s="24"/>
      <c r="H842" s="25" t="str">
        <f aca="false">IF($D842="","",IFERROR(INDEX(المنتجات!$F$5:$F$24,MATCH($D842,المنتجات!$A$5:$A$24,0)),0))</f>
        <v/>
      </c>
      <c r="I842" s="30"/>
      <c r="J842" s="25" t="str">
        <f aca="false">IF($D842="","",N(G842)*H842-N(I842))</f>
        <v/>
      </c>
      <c r="K842" s="25" t="str">
        <f aca="false">IF($D842="","",N(G842)*IFERROR(INDEX(المنتجات!$H$5:$H$24,MATCH($D842,المنتجات!$A$5:$A$24,0)),0))</f>
        <v/>
      </c>
      <c r="L842" s="25" t="str">
        <f aca="false">IF($D842="","",J842-K842)</f>
        <v/>
      </c>
      <c r="M842" s="29"/>
      <c r="N842" s="29"/>
    </row>
    <row r="843" customFormat="false" ht="15" hidden="false" customHeight="false" outlineLevel="0" collapsed="false">
      <c r="A843" s="32"/>
      <c r="B843" s="29"/>
      <c r="C843" s="29"/>
      <c r="D843" s="29"/>
      <c r="E843" s="28" t="str">
        <f aca="false">IF($D843="","",IFERROR(INDEX(المنتجات!$C$5:$C$24,MATCH($D843,المنتجات!$A$5:$A$24,0)),"كود غير موجود"))</f>
        <v/>
      </c>
      <c r="F843" s="28" t="str">
        <f aca="false">IF($D843="","",IFERROR(INDEX(المنتجات!$B$5:$B$24,MATCH($D843,المنتجات!$A$5:$A$24,0)),""))</f>
        <v/>
      </c>
      <c r="G843" s="24"/>
      <c r="H843" s="25" t="str">
        <f aca="false">IF($D843="","",IFERROR(INDEX(المنتجات!$F$5:$F$24,MATCH($D843,المنتجات!$A$5:$A$24,0)),0))</f>
        <v/>
      </c>
      <c r="I843" s="30"/>
      <c r="J843" s="25" t="str">
        <f aca="false">IF($D843="","",N(G843)*H843-N(I843))</f>
        <v/>
      </c>
      <c r="K843" s="25" t="str">
        <f aca="false">IF($D843="","",N(G843)*IFERROR(INDEX(المنتجات!$H$5:$H$24,MATCH($D843,المنتجات!$A$5:$A$24,0)),0))</f>
        <v/>
      </c>
      <c r="L843" s="25" t="str">
        <f aca="false">IF($D843="","",J843-K843)</f>
        <v/>
      </c>
      <c r="M843" s="29"/>
      <c r="N843" s="29"/>
    </row>
    <row r="844" customFormat="false" ht="15" hidden="false" customHeight="false" outlineLevel="0" collapsed="false">
      <c r="A844" s="32"/>
      <c r="B844" s="29"/>
      <c r="C844" s="29"/>
      <c r="D844" s="29"/>
      <c r="E844" s="28" t="str">
        <f aca="false">IF($D844="","",IFERROR(INDEX(المنتجات!$C$5:$C$24,MATCH($D844,المنتجات!$A$5:$A$24,0)),"كود غير موجود"))</f>
        <v/>
      </c>
      <c r="F844" s="28" t="str">
        <f aca="false">IF($D844="","",IFERROR(INDEX(المنتجات!$B$5:$B$24,MATCH($D844,المنتجات!$A$5:$A$24,0)),""))</f>
        <v/>
      </c>
      <c r="G844" s="24"/>
      <c r="H844" s="25" t="str">
        <f aca="false">IF($D844="","",IFERROR(INDEX(المنتجات!$F$5:$F$24,MATCH($D844,المنتجات!$A$5:$A$24,0)),0))</f>
        <v/>
      </c>
      <c r="I844" s="30"/>
      <c r="J844" s="25" t="str">
        <f aca="false">IF($D844="","",N(G844)*H844-N(I844))</f>
        <v/>
      </c>
      <c r="K844" s="25" t="str">
        <f aca="false">IF($D844="","",N(G844)*IFERROR(INDEX(المنتجات!$H$5:$H$24,MATCH($D844,المنتجات!$A$5:$A$24,0)),0))</f>
        <v/>
      </c>
      <c r="L844" s="25" t="str">
        <f aca="false">IF($D844="","",J844-K844)</f>
        <v/>
      </c>
      <c r="M844" s="29"/>
      <c r="N844" s="29"/>
    </row>
    <row r="845" customFormat="false" ht="15" hidden="false" customHeight="false" outlineLevel="0" collapsed="false">
      <c r="A845" s="32"/>
      <c r="B845" s="29"/>
      <c r="C845" s="29"/>
      <c r="D845" s="29"/>
      <c r="E845" s="28" t="str">
        <f aca="false">IF($D845="","",IFERROR(INDEX(المنتجات!$C$5:$C$24,MATCH($D845,المنتجات!$A$5:$A$24,0)),"كود غير موجود"))</f>
        <v/>
      </c>
      <c r="F845" s="28" t="str">
        <f aca="false">IF($D845="","",IFERROR(INDEX(المنتجات!$B$5:$B$24,MATCH($D845,المنتجات!$A$5:$A$24,0)),""))</f>
        <v/>
      </c>
      <c r="G845" s="24"/>
      <c r="H845" s="25" t="str">
        <f aca="false">IF($D845="","",IFERROR(INDEX(المنتجات!$F$5:$F$24,MATCH($D845,المنتجات!$A$5:$A$24,0)),0))</f>
        <v/>
      </c>
      <c r="I845" s="30"/>
      <c r="J845" s="25" t="str">
        <f aca="false">IF($D845="","",N(G845)*H845-N(I845))</f>
        <v/>
      </c>
      <c r="K845" s="25" t="str">
        <f aca="false">IF($D845="","",N(G845)*IFERROR(INDEX(المنتجات!$H$5:$H$24,MATCH($D845,المنتجات!$A$5:$A$24,0)),0))</f>
        <v/>
      </c>
      <c r="L845" s="25" t="str">
        <f aca="false">IF($D845="","",J845-K845)</f>
        <v/>
      </c>
      <c r="M845" s="29"/>
      <c r="N845" s="29"/>
    </row>
    <row r="846" customFormat="false" ht="15" hidden="false" customHeight="false" outlineLevel="0" collapsed="false">
      <c r="A846" s="32"/>
      <c r="B846" s="29"/>
      <c r="C846" s="29"/>
      <c r="D846" s="29"/>
      <c r="E846" s="28" t="str">
        <f aca="false">IF($D846="","",IFERROR(INDEX(المنتجات!$C$5:$C$24,MATCH($D846,المنتجات!$A$5:$A$24,0)),"كود غير موجود"))</f>
        <v/>
      </c>
      <c r="F846" s="28" t="str">
        <f aca="false">IF($D846="","",IFERROR(INDEX(المنتجات!$B$5:$B$24,MATCH($D846,المنتجات!$A$5:$A$24,0)),""))</f>
        <v/>
      </c>
      <c r="G846" s="24"/>
      <c r="H846" s="25" t="str">
        <f aca="false">IF($D846="","",IFERROR(INDEX(المنتجات!$F$5:$F$24,MATCH($D846,المنتجات!$A$5:$A$24,0)),0))</f>
        <v/>
      </c>
      <c r="I846" s="30"/>
      <c r="J846" s="25" t="str">
        <f aca="false">IF($D846="","",N(G846)*H846-N(I846))</f>
        <v/>
      </c>
      <c r="K846" s="25" t="str">
        <f aca="false">IF($D846="","",N(G846)*IFERROR(INDEX(المنتجات!$H$5:$H$24,MATCH($D846,المنتجات!$A$5:$A$24,0)),0))</f>
        <v/>
      </c>
      <c r="L846" s="25" t="str">
        <f aca="false">IF($D846="","",J846-K846)</f>
        <v/>
      </c>
      <c r="M846" s="29"/>
      <c r="N846" s="29"/>
    </row>
    <row r="847" customFormat="false" ht="15" hidden="false" customHeight="false" outlineLevel="0" collapsed="false">
      <c r="A847" s="32"/>
      <c r="B847" s="29"/>
      <c r="C847" s="29"/>
      <c r="D847" s="29"/>
      <c r="E847" s="28" t="str">
        <f aca="false">IF($D847="","",IFERROR(INDEX(المنتجات!$C$5:$C$24,MATCH($D847,المنتجات!$A$5:$A$24,0)),"كود غير موجود"))</f>
        <v/>
      </c>
      <c r="F847" s="28" t="str">
        <f aca="false">IF($D847="","",IFERROR(INDEX(المنتجات!$B$5:$B$24,MATCH($D847,المنتجات!$A$5:$A$24,0)),""))</f>
        <v/>
      </c>
      <c r="G847" s="24"/>
      <c r="H847" s="25" t="str">
        <f aca="false">IF($D847="","",IFERROR(INDEX(المنتجات!$F$5:$F$24,MATCH($D847,المنتجات!$A$5:$A$24,0)),0))</f>
        <v/>
      </c>
      <c r="I847" s="30"/>
      <c r="J847" s="25" t="str">
        <f aca="false">IF($D847="","",N(G847)*H847-N(I847))</f>
        <v/>
      </c>
      <c r="K847" s="25" t="str">
        <f aca="false">IF($D847="","",N(G847)*IFERROR(INDEX(المنتجات!$H$5:$H$24,MATCH($D847,المنتجات!$A$5:$A$24,0)),0))</f>
        <v/>
      </c>
      <c r="L847" s="25" t="str">
        <f aca="false">IF($D847="","",J847-K847)</f>
        <v/>
      </c>
      <c r="M847" s="29"/>
      <c r="N847" s="29"/>
    </row>
    <row r="848" customFormat="false" ht="15" hidden="false" customHeight="false" outlineLevel="0" collapsed="false">
      <c r="A848" s="32"/>
      <c r="B848" s="29"/>
      <c r="C848" s="29"/>
      <c r="D848" s="29"/>
      <c r="E848" s="28" t="str">
        <f aca="false">IF($D848="","",IFERROR(INDEX(المنتجات!$C$5:$C$24,MATCH($D848,المنتجات!$A$5:$A$24,0)),"كود غير موجود"))</f>
        <v/>
      </c>
      <c r="F848" s="28" t="str">
        <f aca="false">IF($D848="","",IFERROR(INDEX(المنتجات!$B$5:$B$24,MATCH($D848,المنتجات!$A$5:$A$24,0)),""))</f>
        <v/>
      </c>
      <c r="G848" s="24"/>
      <c r="H848" s="25" t="str">
        <f aca="false">IF($D848="","",IFERROR(INDEX(المنتجات!$F$5:$F$24,MATCH($D848,المنتجات!$A$5:$A$24,0)),0))</f>
        <v/>
      </c>
      <c r="I848" s="30"/>
      <c r="J848" s="25" t="str">
        <f aca="false">IF($D848="","",N(G848)*H848-N(I848))</f>
        <v/>
      </c>
      <c r="K848" s="25" t="str">
        <f aca="false">IF($D848="","",N(G848)*IFERROR(INDEX(المنتجات!$H$5:$H$24,MATCH($D848,المنتجات!$A$5:$A$24,0)),0))</f>
        <v/>
      </c>
      <c r="L848" s="25" t="str">
        <f aca="false">IF($D848="","",J848-K848)</f>
        <v/>
      </c>
      <c r="M848" s="29"/>
      <c r="N848" s="29"/>
    </row>
    <row r="849" customFormat="false" ht="15" hidden="false" customHeight="false" outlineLevel="0" collapsed="false">
      <c r="A849" s="32"/>
      <c r="B849" s="29"/>
      <c r="C849" s="29"/>
      <c r="D849" s="29"/>
      <c r="E849" s="28" t="str">
        <f aca="false">IF($D849="","",IFERROR(INDEX(المنتجات!$C$5:$C$24,MATCH($D849,المنتجات!$A$5:$A$24,0)),"كود غير موجود"))</f>
        <v/>
      </c>
      <c r="F849" s="28" t="str">
        <f aca="false">IF($D849="","",IFERROR(INDEX(المنتجات!$B$5:$B$24,MATCH($D849,المنتجات!$A$5:$A$24,0)),""))</f>
        <v/>
      </c>
      <c r="G849" s="24"/>
      <c r="H849" s="25" t="str">
        <f aca="false">IF($D849="","",IFERROR(INDEX(المنتجات!$F$5:$F$24,MATCH($D849,المنتجات!$A$5:$A$24,0)),0))</f>
        <v/>
      </c>
      <c r="I849" s="30"/>
      <c r="J849" s="25" t="str">
        <f aca="false">IF($D849="","",N(G849)*H849-N(I849))</f>
        <v/>
      </c>
      <c r="K849" s="25" t="str">
        <f aca="false">IF($D849="","",N(G849)*IFERROR(INDEX(المنتجات!$H$5:$H$24,MATCH($D849,المنتجات!$A$5:$A$24,0)),0))</f>
        <v/>
      </c>
      <c r="L849" s="25" t="str">
        <f aca="false">IF($D849="","",J849-K849)</f>
        <v/>
      </c>
      <c r="M849" s="29"/>
      <c r="N849" s="29"/>
    </row>
    <row r="850" customFormat="false" ht="15" hidden="false" customHeight="false" outlineLevel="0" collapsed="false">
      <c r="A850" s="32"/>
      <c r="B850" s="29"/>
      <c r="C850" s="29"/>
      <c r="D850" s="29"/>
      <c r="E850" s="28" t="str">
        <f aca="false">IF($D850="","",IFERROR(INDEX(المنتجات!$C$5:$C$24,MATCH($D850,المنتجات!$A$5:$A$24,0)),"كود غير موجود"))</f>
        <v/>
      </c>
      <c r="F850" s="28" t="str">
        <f aca="false">IF($D850="","",IFERROR(INDEX(المنتجات!$B$5:$B$24,MATCH($D850,المنتجات!$A$5:$A$24,0)),""))</f>
        <v/>
      </c>
      <c r="G850" s="24"/>
      <c r="H850" s="25" t="str">
        <f aca="false">IF($D850="","",IFERROR(INDEX(المنتجات!$F$5:$F$24,MATCH($D850,المنتجات!$A$5:$A$24,0)),0))</f>
        <v/>
      </c>
      <c r="I850" s="30"/>
      <c r="J850" s="25" t="str">
        <f aca="false">IF($D850="","",N(G850)*H850-N(I850))</f>
        <v/>
      </c>
      <c r="K850" s="25" t="str">
        <f aca="false">IF($D850="","",N(G850)*IFERROR(INDEX(المنتجات!$H$5:$H$24,MATCH($D850,المنتجات!$A$5:$A$24,0)),0))</f>
        <v/>
      </c>
      <c r="L850" s="25" t="str">
        <f aca="false">IF($D850="","",J850-K850)</f>
        <v/>
      </c>
      <c r="M850" s="29"/>
      <c r="N850" s="29"/>
    </row>
    <row r="851" customFormat="false" ht="15" hidden="false" customHeight="false" outlineLevel="0" collapsed="false">
      <c r="A851" s="32"/>
      <c r="B851" s="29"/>
      <c r="C851" s="29"/>
      <c r="D851" s="29"/>
      <c r="E851" s="28" t="str">
        <f aca="false">IF($D851="","",IFERROR(INDEX(المنتجات!$C$5:$C$24,MATCH($D851,المنتجات!$A$5:$A$24,0)),"كود غير موجود"))</f>
        <v/>
      </c>
      <c r="F851" s="28" t="str">
        <f aca="false">IF($D851="","",IFERROR(INDEX(المنتجات!$B$5:$B$24,MATCH($D851,المنتجات!$A$5:$A$24,0)),""))</f>
        <v/>
      </c>
      <c r="G851" s="24"/>
      <c r="H851" s="25" t="str">
        <f aca="false">IF($D851="","",IFERROR(INDEX(المنتجات!$F$5:$F$24,MATCH($D851,المنتجات!$A$5:$A$24,0)),0))</f>
        <v/>
      </c>
      <c r="I851" s="30"/>
      <c r="J851" s="25" t="str">
        <f aca="false">IF($D851="","",N(G851)*H851-N(I851))</f>
        <v/>
      </c>
      <c r="K851" s="25" t="str">
        <f aca="false">IF($D851="","",N(G851)*IFERROR(INDEX(المنتجات!$H$5:$H$24,MATCH($D851,المنتجات!$A$5:$A$24,0)),0))</f>
        <v/>
      </c>
      <c r="L851" s="25" t="str">
        <f aca="false">IF($D851="","",J851-K851)</f>
        <v/>
      </c>
      <c r="M851" s="29"/>
      <c r="N851" s="29"/>
    </row>
    <row r="852" customFormat="false" ht="15" hidden="false" customHeight="false" outlineLevel="0" collapsed="false">
      <c r="A852" s="32"/>
      <c r="B852" s="29"/>
      <c r="C852" s="29"/>
      <c r="D852" s="29"/>
      <c r="E852" s="28" t="str">
        <f aca="false">IF($D852="","",IFERROR(INDEX(المنتجات!$C$5:$C$24,MATCH($D852,المنتجات!$A$5:$A$24,0)),"كود غير موجود"))</f>
        <v/>
      </c>
      <c r="F852" s="28" t="str">
        <f aca="false">IF($D852="","",IFERROR(INDEX(المنتجات!$B$5:$B$24,MATCH($D852,المنتجات!$A$5:$A$24,0)),""))</f>
        <v/>
      </c>
      <c r="G852" s="24"/>
      <c r="H852" s="25" t="str">
        <f aca="false">IF($D852="","",IFERROR(INDEX(المنتجات!$F$5:$F$24,MATCH($D852,المنتجات!$A$5:$A$24,0)),0))</f>
        <v/>
      </c>
      <c r="I852" s="30"/>
      <c r="J852" s="25" t="str">
        <f aca="false">IF($D852="","",N(G852)*H852-N(I852))</f>
        <v/>
      </c>
      <c r="K852" s="25" t="str">
        <f aca="false">IF($D852="","",N(G852)*IFERROR(INDEX(المنتجات!$H$5:$H$24,MATCH($D852,المنتجات!$A$5:$A$24,0)),0))</f>
        <v/>
      </c>
      <c r="L852" s="25" t="str">
        <f aca="false">IF($D852="","",J852-K852)</f>
        <v/>
      </c>
      <c r="M852" s="29"/>
      <c r="N852" s="29"/>
    </row>
    <row r="853" customFormat="false" ht="15" hidden="false" customHeight="false" outlineLevel="0" collapsed="false">
      <c r="A853" s="32"/>
      <c r="B853" s="29"/>
      <c r="C853" s="29"/>
      <c r="D853" s="29"/>
      <c r="E853" s="28" t="str">
        <f aca="false">IF($D853="","",IFERROR(INDEX(المنتجات!$C$5:$C$24,MATCH($D853,المنتجات!$A$5:$A$24,0)),"كود غير موجود"))</f>
        <v/>
      </c>
      <c r="F853" s="28" t="str">
        <f aca="false">IF($D853="","",IFERROR(INDEX(المنتجات!$B$5:$B$24,MATCH($D853,المنتجات!$A$5:$A$24,0)),""))</f>
        <v/>
      </c>
      <c r="G853" s="24"/>
      <c r="H853" s="25" t="str">
        <f aca="false">IF($D853="","",IFERROR(INDEX(المنتجات!$F$5:$F$24,MATCH($D853,المنتجات!$A$5:$A$24,0)),0))</f>
        <v/>
      </c>
      <c r="I853" s="30"/>
      <c r="J853" s="25" t="str">
        <f aca="false">IF($D853="","",N(G853)*H853-N(I853))</f>
        <v/>
      </c>
      <c r="K853" s="25" t="str">
        <f aca="false">IF($D853="","",N(G853)*IFERROR(INDEX(المنتجات!$H$5:$H$24,MATCH($D853,المنتجات!$A$5:$A$24,0)),0))</f>
        <v/>
      </c>
      <c r="L853" s="25" t="str">
        <f aca="false">IF($D853="","",J853-K853)</f>
        <v/>
      </c>
      <c r="M853" s="29"/>
      <c r="N853" s="29"/>
    </row>
    <row r="854" customFormat="false" ht="15" hidden="false" customHeight="false" outlineLevel="0" collapsed="false">
      <c r="A854" s="32"/>
      <c r="B854" s="29"/>
      <c r="C854" s="29"/>
      <c r="D854" s="29"/>
      <c r="E854" s="28" t="str">
        <f aca="false">IF($D854="","",IFERROR(INDEX(المنتجات!$C$5:$C$24,MATCH($D854,المنتجات!$A$5:$A$24,0)),"كود غير موجود"))</f>
        <v/>
      </c>
      <c r="F854" s="28" t="str">
        <f aca="false">IF($D854="","",IFERROR(INDEX(المنتجات!$B$5:$B$24,MATCH($D854,المنتجات!$A$5:$A$24,0)),""))</f>
        <v/>
      </c>
      <c r="G854" s="24"/>
      <c r="H854" s="25" t="str">
        <f aca="false">IF($D854="","",IFERROR(INDEX(المنتجات!$F$5:$F$24,MATCH($D854,المنتجات!$A$5:$A$24,0)),0))</f>
        <v/>
      </c>
      <c r="I854" s="30"/>
      <c r="J854" s="25" t="str">
        <f aca="false">IF($D854="","",N(G854)*H854-N(I854))</f>
        <v/>
      </c>
      <c r="K854" s="25" t="str">
        <f aca="false">IF($D854="","",N(G854)*IFERROR(INDEX(المنتجات!$H$5:$H$24,MATCH($D854,المنتجات!$A$5:$A$24,0)),0))</f>
        <v/>
      </c>
      <c r="L854" s="25" t="str">
        <f aca="false">IF($D854="","",J854-K854)</f>
        <v/>
      </c>
      <c r="M854" s="29"/>
      <c r="N854" s="29"/>
    </row>
    <row r="855" customFormat="false" ht="15" hidden="false" customHeight="false" outlineLevel="0" collapsed="false">
      <c r="A855" s="32"/>
      <c r="B855" s="29"/>
      <c r="C855" s="29"/>
      <c r="D855" s="29"/>
      <c r="E855" s="28" t="str">
        <f aca="false">IF($D855="","",IFERROR(INDEX(المنتجات!$C$5:$C$24,MATCH($D855,المنتجات!$A$5:$A$24,0)),"كود غير موجود"))</f>
        <v/>
      </c>
      <c r="F855" s="28" t="str">
        <f aca="false">IF($D855="","",IFERROR(INDEX(المنتجات!$B$5:$B$24,MATCH($D855,المنتجات!$A$5:$A$24,0)),""))</f>
        <v/>
      </c>
      <c r="G855" s="24"/>
      <c r="H855" s="25" t="str">
        <f aca="false">IF($D855="","",IFERROR(INDEX(المنتجات!$F$5:$F$24,MATCH($D855,المنتجات!$A$5:$A$24,0)),0))</f>
        <v/>
      </c>
      <c r="I855" s="30"/>
      <c r="J855" s="25" t="str">
        <f aca="false">IF($D855="","",N(G855)*H855-N(I855))</f>
        <v/>
      </c>
      <c r="K855" s="25" t="str">
        <f aca="false">IF($D855="","",N(G855)*IFERROR(INDEX(المنتجات!$H$5:$H$24,MATCH($D855,المنتجات!$A$5:$A$24,0)),0))</f>
        <v/>
      </c>
      <c r="L855" s="25" t="str">
        <f aca="false">IF($D855="","",J855-K855)</f>
        <v/>
      </c>
      <c r="M855" s="29"/>
      <c r="N855" s="29"/>
    </row>
    <row r="856" customFormat="false" ht="15" hidden="false" customHeight="false" outlineLevel="0" collapsed="false">
      <c r="A856" s="32"/>
      <c r="B856" s="29"/>
      <c r="C856" s="29"/>
      <c r="D856" s="29"/>
      <c r="E856" s="28" t="str">
        <f aca="false">IF($D856="","",IFERROR(INDEX(المنتجات!$C$5:$C$24,MATCH($D856,المنتجات!$A$5:$A$24,0)),"كود غير موجود"))</f>
        <v/>
      </c>
      <c r="F856" s="28" t="str">
        <f aca="false">IF($D856="","",IFERROR(INDEX(المنتجات!$B$5:$B$24,MATCH($D856,المنتجات!$A$5:$A$24,0)),""))</f>
        <v/>
      </c>
      <c r="G856" s="24"/>
      <c r="H856" s="25" t="str">
        <f aca="false">IF($D856="","",IFERROR(INDEX(المنتجات!$F$5:$F$24,MATCH($D856,المنتجات!$A$5:$A$24,0)),0))</f>
        <v/>
      </c>
      <c r="I856" s="30"/>
      <c r="J856" s="25" t="str">
        <f aca="false">IF($D856="","",N(G856)*H856-N(I856))</f>
        <v/>
      </c>
      <c r="K856" s="25" t="str">
        <f aca="false">IF($D856="","",N(G856)*IFERROR(INDEX(المنتجات!$H$5:$H$24,MATCH($D856,المنتجات!$A$5:$A$24,0)),0))</f>
        <v/>
      </c>
      <c r="L856" s="25" t="str">
        <f aca="false">IF($D856="","",J856-K856)</f>
        <v/>
      </c>
      <c r="M856" s="29"/>
      <c r="N856" s="29"/>
    </row>
    <row r="857" customFormat="false" ht="15" hidden="false" customHeight="false" outlineLevel="0" collapsed="false">
      <c r="A857" s="32"/>
      <c r="B857" s="29"/>
      <c r="C857" s="29"/>
      <c r="D857" s="29"/>
      <c r="E857" s="28" t="str">
        <f aca="false">IF($D857="","",IFERROR(INDEX(المنتجات!$C$5:$C$24,MATCH($D857,المنتجات!$A$5:$A$24,0)),"كود غير موجود"))</f>
        <v/>
      </c>
      <c r="F857" s="28" t="str">
        <f aca="false">IF($D857="","",IFERROR(INDEX(المنتجات!$B$5:$B$24,MATCH($D857,المنتجات!$A$5:$A$24,0)),""))</f>
        <v/>
      </c>
      <c r="G857" s="24"/>
      <c r="H857" s="25" t="str">
        <f aca="false">IF($D857="","",IFERROR(INDEX(المنتجات!$F$5:$F$24,MATCH($D857,المنتجات!$A$5:$A$24,0)),0))</f>
        <v/>
      </c>
      <c r="I857" s="30"/>
      <c r="J857" s="25" t="str">
        <f aca="false">IF($D857="","",N(G857)*H857-N(I857))</f>
        <v/>
      </c>
      <c r="K857" s="25" t="str">
        <f aca="false">IF($D857="","",N(G857)*IFERROR(INDEX(المنتجات!$H$5:$H$24,MATCH($D857,المنتجات!$A$5:$A$24,0)),0))</f>
        <v/>
      </c>
      <c r="L857" s="25" t="str">
        <f aca="false">IF($D857="","",J857-K857)</f>
        <v/>
      </c>
      <c r="M857" s="29"/>
      <c r="N857" s="29"/>
    </row>
    <row r="858" customFormat="false" ht="15" hidden="false" customHeight="false" outlineLevel="0" collapsed="false">
      <c r="A858" s="32"/>
      <c r="B858" s="29"/>
      <c r="C858" s="29"/>
      <c r="D858" s="29"/>
      <c r="E858" s="28" t="str">
        <f aca="false">IF($D858="","",IFERROR(INDEX(المنتجات!$C$5:$C$24,MATCH($D858,المنتجات!$A$5:$A$24,0)),"كود غير موجود"))</f>
        <v/>
      </c>
      <c r="F858" s="28" t="str">
        <f aca="false">IF($D858="","",IFERROR(INDEX(المنتجات!$B$5:$B$24,MATCH($D858,المنتجات!$A$5:$A$24,0)),""))</f>
        <v/>
      </c>
      <c r="G858" s="24"/>
      <c r="H858" s="25" t="str">
        <f aca="false">IF($D858="","",IFERROR(INDEX(المنتجات!$F$5:$F$24,MATCH($D858,المنتجات!$A$5:$A$24,0)),0))</f>
        <v/>
      </c>
      <c r="I858" s="30"/>
      <c r="J858" s="25" t="str">
        <f aca="false">IF($D858="","",N(G858)*H858-N(I858))</f>
        <v/>
      </c>
      <c r="K858" s="25" t="str">
        <f aca="false">IF($D858="","",N(G858)*IFERROR(INDEX(المنتجات!$H$5:$H$24,MATCH($D858,المنتجات!$A$5:$A$24,0)),0))</f>
        <v/>
      </c>
      <c r="L858" s="25" t="str">
        <f aca="false">IF($D858="","",J858-K858)</f>
        <v/>
      </c>
      <c r="M858" s="29"/>
      <c r="N858" s="29"/>
    </row>
    <row r="859" customFormat="false" ht="15" hidden="false" customHeight="false" outlineLevel="0" collapsed="false">
      <c r="A859" s="32"/>
      <c r="B859" s="29"/>
      <c r="C859" s="29"/>
      <c r="D859" s="29"/>
      <c r="E859" s="28" t="str">
        <f aca="false">IF($D859="","",IFERROR(INDEX(المنتجات!$C$5:$C$24,MATCH($D859,المنتجات!$A$5:$A$24,0)),"كود غير موجود"))</f>
        <v/>
      </c>
      <c r="F859" s="28" t="str">
        <f aca="false">IF($D859="","",IFERROR(INDEX(المنتجات!$B$5:$B$24,MATCH($D859,المنتجات!$A$5:$A$24,0)),""))</f>
        <v/>
      </c>
      <c r="G859" s="24"/>
      <c r="H859" s="25" t="str">
        <f aca="false">IF($D859="","",IFERROR(INDEX(المنتجات!$F$5:$F$24,MATCH($D859,المنتجات!$A$5:$A$24,0)),0))</f>
        <v/>
      </c>
      <c r="I859" s="30"/>
      <c r="J859" s="25" t="str">
        <f aca="false">IF($D859="","",N(G859)*H859-N(I859))</f>
        <v/>
      </c>
      <c r="K859" s="25" t="str">
        <f aca="false">IF($D859="","",N(G859)*IFERROR(INDEX(المنتجات!$H$5:$H$24,MATCH($D859,المنتجات!$A$5:$A$24,0)),0))</f>
        <v/>
      </c>
      <c r="L859" s="25" t="str">
        <f aca="false">IF($D859="","",J859-K859)</f>
        <v/>
      </c>
      <c r="M859" s="29"/>
      <c r="N859" s="29"/>
    </row>
    <row r="860" customFormat="false" ht="15" hidden="false" customHeight="false" outlineLevel="0" collapsed="false">
      <c r="A860" s="32"/>
      <c r="B860" s="29"/>
      <c r="C860" s="29"/>
      <c r="D860" s="29"/>
      <c r="E860" s="28" t="str">
        <f aca="false">IF($D860="","",IFERROR(INDEX(المنتجات!$C$5:$C$24,MATCH($D860,المنتجات!$A$5:$A$24,0)),"كود غير موجود"))</f>
        <v/>
      </c>
      <c r="F860" s="28" t="str">
        <f aca="false">IF($D860="","",IFERROR(INDEX(المنتجات!$B$5:$B$24,MATCH($D860,المنتجات!$A$5:$A$24,0)),""))</f>
        <v/>
      </c>
      <c r="G860" s="24"/>
      <c r="H860" s="25" t="str">
        <f aca="false">IF($D860="","",IFERROR(INDEX(المنتجات!$F$5:$F$24,MATCH($D860,المنتجات!$A$5:$A$24,0)),0))</f>
        <v/>
      </c>
      <c r="I860" s="30"/>
      <c r="J860" s="25" t="str">
        <f aca="false">IF($D860="","",N(G860)*H860-N(I860))</f>
        <v/>
      </c>
      <c r="K860" s="25" t="str">
        <f aca="false">IF($D860="","",N(G860)*IFERROR(INDEX(المنتجات!$H$5:$H$24,MATCH($D860,المنتجات!$A$5:$A$24,0)),0))</f>
        <v/>
      </c>
      <c r="L860" s="25" t="str">
        <f aca="false">IF($D860="","",J860-K860)</f>
        <v/>
      </c>
      <c r="M860" s="29"/>
      <c r="N860" s="29"/>
    </row>
    <row r="861" customFormat="false" ht="15" hidden="false" customHeight="false" outlineLevel="0" collapsed="false">
      <c r="A861" s="32"/>
      <c r="B861" s="29"/>
      <c r="C861" s="29"/>
      <c r="D861" s="29"/>
      <c r="E861" s="28" t="str">
        <f aca="false">IF($D861="","",IFERROR(INDEX(المنتجات!$C$5:$C$24,MATCH($D861,المنتجات!$A$5:$A$24,0)),"كود غير موجود"))</f>
        <v/>
      </c>
      <c r="F861" s="28" t="str">
        <f aca="false">IF($D861="","",IFERROR(INDEX(المنتجات!$B$5:$B$24,MATCH($D861,المنتجات!$A$5:$A$24,0)),""))</f>
        <v/>
      </c>
      <c r="G861" s="24"/>
      <c r="H861" s="25" t="str">
        <f aca="false">IF($D861="","",IFERROR(INDEX(المنتجات!$F$5:$F$24,MATCH($D861,المنتجات!$A$5:$A$24,0)),0))</f>
        <v/>
      </c>
      <c r="I861" s="30"/>
      <c r="J861" s="25" t="str">
        <f aca="false">IF($D861="","",N(G861)*H861-N(I861))</f>
        <v/>
      </c>
      <c r="K861" s="25" t="str">
        <f aca="false">IF($D861="","",N(G861)*IFERROR(INDEX(المنتجات!$H$5:$H$24,MATCH($D861,المنتجات!$A$5:$A$24,0)),0))</f>
        <v/>
      </c>
      <c r="L861" s="25" t="str">
        <f aca="false">IF($D861="","",J861-K861)</f>
        <v/>
      </c>
      <c r="M861" s="29"/>
      <c r="N861" s="29"/>
    </row>
    <row r="862" customFormat="false" ht="15" hidden="false" customHeight="false" outlineLevel="0" collapsed="false">
      <c r="A862" s="32"/>
      <c r="B862" s="29"/>
      <c r="C862" s="29"/>
      <c r="D862" s="29"/>
      <c r="E862" s="28" t="str">
        <f aca="false">IF($D862="","",IFERROR(INDEX(المنتجات!$C$5:$C$24,MATCH($D862,المنتجات!$A$5:$A$24,0)),"كود غير موجود"))</f>
        <v/>
      </c>
      <c r="F862" s="28" t="str">
        <f aca="false">IF($D862="","",IFERROR(INDEX(المنتجات!$B$5:$B$24,MATCH($D862,المنتجات!$A$5:$A$24,0)),""))</f>
        <v/>
      </c>
      <c r="G862" s="24"/>
      <c r="H862" s="25" t="str">
        <f aca="false">IF($D862="","",IFERROR(INDEX(المنتجات!$F$5:$F$24,MATCH($D862,المنتجات!$A$5:$A$24,0)),0))</f>
        <v/>
      </c>
      <c r="I862" s="30"/>
      <c r="J862" s="25" t="str">
        <f aca="false">IF($D862="","",N(G862)*H862-N(I862))</f>
        <v/>
      </c>
      <c r="K862" s="25" t="str">
        <f aca="false">IF($D862="","",N(G862)*IFERROR(INDEX(المنتجات!$H$5:$H$24,MATCH($D862,المنتجات!$A$5:$A$24,0)),0))</f>
        <v/>
      </c>
      <c r="L862" s="25" t="str">
        <f aca="false">IF($D862="","",J862-K862)</f>
        <v/>
      </c>
      <c r="M862" s="29"/>
      <c r="N862" s="29"/>
    </row>
    <row r="863" customFormat="false" ht="15" hidden="false" customHeight="false" outlineLevel="0" collapsed="false">
      <c r="A863" s="32"/>
      <c r="B863" s="29"/>
      <c r="C863" s="29"/>
      <c r="D863" s="29"/>
      <c r="E863" s="28" t="str">
        <f aca="false">IF($D863="","",IFERROR(INDEX(المنتجات!$C$5:$C$24,MATCH($D863,المنتجات!$A$5:$A$24,0)),"كود غير موجود"))</f>
        <v/>
      </c>
      <c r="F863" s="28" t="str">
        <f aca="false">IF($D863="","",IFERROR(INDEX(المنتجات!$B$5:$B$24,MATCH($D863,المنتجات!$A$5:$A$24,0)),""))</f>
        <v/>
      </c>
      <c r="G863" s="24"/>
      <c r="H863" s="25" t="str">
        <f aca="false">IF($D863="","",IFERROR(INDEX(المنتجات!$F$5:$F$24,MATCH($D863,المنتجات!$A$5:$A$24,0)),0))</f>
        <v/>
      </c>
      <c r="I863" s="30"/>
      <c r="J863" s="25" t="str">
        <f aca="false">IF($D863="","",N(G863)*H863-N(I863))</f>
        <v/>
      </c>
      <c r="K863" s="25" t="str">
        <f aca="false">IF($D863="","",N(G863)*IFERROR(INDEX(المنتجات!$H$5:$H$24,MATCH($D863,المنتجات!$A$5:$A$24,0)),0))</f>
        <v/>
      </c>
      <c r="L863" s="25" t="str">
        <f aca="false">IF($D863="","",J863-K863)</f>
        <v/>
      </c>
      <c r="M863" s="29"/>
      <c r="N863" s="29"/>
    </row>
    <row r="864" customFormat="false" ht="15" hidden="false" customHeight="false" outlineLevel="0" collapsed="false">
      <c r="A864" s="32"/>
      <c r="B864" s="29"/>
      <c r="C864" s="29"/>
      <c r="D864" s="29"/>
      <c r="E864" s="28" t="str">
        <f aca="false">IF($D864="","",IFERROR(INDEX(المنتجات!$C$5:$C$24,MATCH($D864,المنتجات!$A$5:$A$24,0)),"كود غير موجود"))</f>
        <v/>
      </c>
      <c r="F864" s="28" t="str">
        <f aca="false">IF($D864="","",IFERROR(INDEX(المنتجات!$B$5:$B$24,MATCH($D864,المنتجات!$A$5:$A$24,0)),""))</f>
        <v/>
      </c>
      <c r="G864" s="24"/>
      <c r="H864" s="25" t="str">
        <f aca="false">IF($D864="","",IFERROR(INDEX(المنتجات!$F$5:$F$24,MATCH($D864,المنتجات!$A$5:$A$24,0)),0))</f>
        <v/>
      </c>
      <c r="I864" s="30"/>
      <c r="J864" s="25" t="str">
        <f aca="false">IF($D864="","",N(G864)*H864-N(I864))</f>
        <v/>
      </c>
      <c r="K864" s="25" t="str">
        <f aca="false">IF($D864="","",N(G864)*IFERROR(INDEX(المنتجات!$H$5:$H$24,MATCH($D864,المنتجات!$A$5:$A$24,0)),0))</f>
        <v/>
      </c>
      <c r="L864" s="25" t="str">
        <f aca="false">IF($D864="","",J864-K864)</f>
        <v/>
      </c>
      <c r="M864" s="29"/>
      <c r="N864" s="29"/>
    </row>
    <row r="865" customFormat="false" ht="15" hidden="false" customHeight="false" outlineLevel="0" collapsed="false">
      <c r="A865" s="32"/>
      <c r="B865" s="29"/>
      <c r="C865" s="29"/>
      <c r="D865" s="29"/>
      <c r="E865" s="28" t="str">
        <f aca="false">IF($D865="","",IFERROR(INDEX(المنتجات!$C$5:$C$24,MATCH($D865,المنتجات!$A$5:$A$24,0)),"كود غير موجود"))</f>
        <v/>
      </c>
      <c r="F865" s="28" t="str">
        <f aca="false">IF($D865="","",IFERROR(INDEX(المنتجات!$B$5:$B$24,MATCH($D865,المنتجات!$A$5:$A$24,0)),""))</f>
        <v/>
      </c>
      <c r="G865" s="24"/>
      <c r="H865" s="25" t="str">
        <f aca="false">IF($D865="","",IFERROR(INDEX(المنتجات!$F$5:$F$24,MATCH($D865,المنتجات!$A$5:$A$24,0)),0))</f>
        <v/>
      </c>
      <c r="I865" s="30"/>
      <c r="J865" s="25" t="str">
        <f aca="false">IF($D865="","",N(G865)*H865-N(I865))</f>
        <v/>
      </c>
      <c r="K865" s="25" t="str">
        <f aca="false">IF($D865="","",N(G865)*IFERROR(INDEX(المنتجات!$H$5:$H$24,MATCH($D865,المنتجات!$A$5:$A$24,0)),0))</f>
        <v/>
      </c>
      <c r="L865" s="25" t="str">
        <f aca="false">IF($D865="","",J865-K865)</f>
        <v/>
      </c>
      <c r="M865" s="29"/>
      <c r="N865" s="29"/>
    </row>
    <row r="866" customFormat="false" ht="15" hidden="false" customHeight="false" outlineLevel="0" collapsed="false">
      <c r="A866" s="32"/>
      <c r="B866" s="29"/>
      <c r="C866" s="29"/>
      <c r="D866" s="29"/>
      <c r="E866" s="28" t="str">
        <f aca="false">IF($D866="","",IFERROR(INDEX(المنتجات!$C$5:$C$24,MATCH($D866,المنتجات!$A$5:$A$24,0)),"كود غير موجود"))</f>
        <v/>
      </c>
      <c r="F866" s="28" t="str">
        <f aca="false">IF($D866="","",IFERROR(INDEX(المنتجات!$B$5:$B$24,MATCH($D866,المنتجات!$A$5:$A$24,0)),""))</f>
        <v/>
      </c>
      <c r="G866" s="24"/>
      <c r="H866" s="25" t="str">
        <f aca="false">IF($D866="","",IFERROR(INDEX(المنتجات!$F$5:$F$24,MATCH($D866,المنتجات!$A$5:$A$24,0)),0))</f>
        <v/>
      </c>
      <c r="I866" s="30"/>
      <c r="J866" s="25" t="str">
        <f aca="false">IF($D866="","",N(G866)*H866-N(I866))</f>
        <v/>
      </c>
      <c r="K866" s="25" t="str">
        <f aca="false">IF($D866="","",N(G866)*IFERROR(INDEX(المنتجات!$H$5:$H$24,MATCH($D866,المنتجات!$A$5:$A$24,0)),0))</f>
        <v/>
      </c>
      <c r="L866" s="25" t="str">
        <f aca="false">IF($D866="","",J866-K866)</f>
        <v/>
      </c>
      <c r="M866" s="29"/>
      <c r="N866" s="29"/>
    </row>
    <row r="867" customFormat="false" ht="15" hidden="false" customHeight="false" outlineLevel="0" collapsed="false">
      <c r="A867" s="32"/>
      <c r="B867" s="29"/>
      <c r="C867" s="29"/>
      <c r="D867" s="29"/>
      <c r="E867" s="28" t="str">
        <f aca="false">IF($D867="","",IFERROR(INDEX(المنتجات!$C$5:$C$24,MATCH($D867,المنتجات!$A$5:$A$24,0)),"كود غير موجود"))</f>
        <v/>
      </c>
      <c r="F867" s="28" t="str">
        <f aca="false">IF($D867="","",IFERROR(INDEX(المنتجات!$B$5:$B$24,MATCH($D867,المنتجات!$A$5:$A$24,0)),""))</f>
        <v/>
      </c>
      <c r="G867" s="24"/>
      <c r="H867" s="25" t="str">
        <f aca="false">IF($D867="","",IFERROR(INDEX(المنتجات!$F$5:$F$24,MATCH($D867,المنتجات!$A$5:$A$24,0)),0))</f>
        <v/>
      </c>
      <c r="I867" s="30"/>
      <c r="J867" s="25" t="str">
        <f aca="false">IF($D867="","",N(G867)*H867-N(I867))</f>
        <v/>
      </c>
      <c r="K867" s="25" t="str">
        <f aca="false">IF($D867="","",N(G867)*IFERROR(INDEX(المنتجات!$H$5:$H$24,MATCH($D867,المنتجات!$A$5:$A$24,0)),0))</f>
        <v/>
      </c>
      <c r="L867" s="25" t="str">
        <f aca="false">IF($D867="","",J867-K867)</f>
        <v/>
      </c>
      <c r="M867" s="29"/>
      <c r="N867" s="29"/>
    </row>
    <row r="868" customFormat="false" ht="15" hidden="false" customHeight="false" outlineLevel="0" collapsed="false">
      <c r="A868" s="32"/>
      <c r="B868" s="29"/>
      <c r="C868" s="29"/>
      <c r="D868" s="29"/>
      <c r="E868" s="28" t="str">
        <f aca="false">IF($D868="","",IFERROR(INDEX(المنتجات!$C$5:$C$24,MATCH($D868,المنتجات!$A$5:$A$24,0)),"كود غير موجود"))</f>
        <v/>
      </c>
      <c r="F868" s="28" t="str">
        <f aca="false">IF($D868="","",IFERROR(INDEX(المنتجات!$B$5:$B$24,MATCH($D868,المنتجات!$A$5:$A$24,0)),""))</f>
        <v/>
      </c>
      <c r="G868" s="24"/>
      <c r="H868" s="25" t="str">
        <f aca="false">IF($D868="","",IFERROR(INDEX(المنتجات!$F$5:$F$24,MATCH($D868,المنتجات!$A$5:$A$24,0)),0))</f>
        <v/>
      </c>
      <c r="I868" s="30"/>
      <c r="J868" s="25" t="str">
        <f aca="false">IF($D868="","",N(G868)*H868-N(I868))</f>
        <v/>
      </c>
      <c r="K868" s="25" t="str">
        <f aca="false">IF($D868="","",N(G868)*IFERROR(INDEX(المنتجات!$H$5:$H$24,MATCH($D868,المنتجات!$A$5:$A$24,0)),0))</f>
        <v/>
      </c>
      <c r="L868" s="25" t="str">
        <f aca="false">IF($D868="","",J868-K868)</f>
        <v/>
      </c>
      <c r="M868" s="29"/>
      <c r="N868" s="29"/>
    </row>
    <row r="869" customFormat="false" ht="15" hidden="false" customHeight="false" outlineLevel="0" collapsed="false">
      <c r="A869" s="32"/>
      <c r="B869" s="29"/>
      <c r="C869" s="29"/>
      <c r="D869" s="29"/>
      <c r="E869" s="28" t="str">
        <f aca="false">IF($D869="","",IFERROR(INDEX(المنتجات!$C$5:$C$24,MATCH($D869,المنتجات!$A$5:$A$24,0)),"كود غير موجود"))</f>
        <v/>
      </c>
      <c r="F869" s="28" t="str">
        <f aca="false">IF($D869="","",IFERROR(INDEX(المنتجات!$B$5:$B$24,MATCH($D869,المنتجات!$A$5:$A$24,0)),""))</f>
        <v/>
      </c>
      <c r="G869" s="24"/>
      <c r="H869" s="25" t="str">
        <f aca="false">IF($D869="","",IFERROR(INDEX(المنتجات!$F$5:$F$24,MATCH($D869,المنتجات!$A$5:$A$24,0)),0))</f>
        <v/>
      </c>
      <c r="I869" s="30"/>
      <c r="J869" s="25" t="str">
        <f aca="false">IF($D869="","",N(G869)*H869-N(I869))</f>
        <v/>
      </c>
      <c r="K869" s="25" t="str">
        <f aca="false">IF($D869="","",N(G869)*IFERROR(INDEX(المنتجات!$H$5:$H$24,MATCH($D869,المنتجات!$A$5:$A$24,0)),0))</f>
        <v/>
      </c>
      <c r="L869" s="25" t="str">
        <f aca="false">IF($D869="","",J869-K869)</f>
        <v/>
      </c>
      <c r="M869" s="29"/>
      <c r="N869" s="29"/>
    </row>
    <row r="870" customFormat="false" ht="15" hidden="false" customHeight="false" outlineLevel="0" collapsed="false">
      <c r="A870" s="32"/>
      <c r="B870" s="29"/>
      <c r="C870" s="29"/>
      <c r="D870" s="29"/>
      <c r="E870" s="28" t="str">
        <f aca="false">IF($D870="","",IFERROR(INDEX(المنتجات!$C$5:$C$24,MATCH($D870,المنتجات!$A$5:$A$24,0)),"كود غير موجود"))</f>
        <v/>
      </c>
      <c r="F870" s="28" t="str">
        <f aca="false">IF($D870="","",IFERROR(INDEX(المنتجات!$B$5:$B$24,MATCH($D870,المنتجات!$A$5:$A$24,0)),""))</f>
        <v/>
      </c>
      <c r="G870" s="24"/>
      <c r="H870" s="25" t="str">
        <f aca="false">IF($D870="","",IFERROR(INDEX(المنتجات!$F$5:$F$24,MATCH($D870,المنتجات!$A$5:$A$24,0)),0))</f>
        <v/>
      </c>
      <c r="I870" s="30"/>
      <c r="J870" s="25" t="str">
        <f aca="false">IF($D870="","",N(G870)*H870-N(I870))</f>
        <v/>
      </c>
      <c r="K870" s="25" t="str">
        <f aca="false">IF($D870="","",N(G870)*IFERROR(INDEX(المنتجات!$H$5:$H$24,MATCH($D870,المنتجات!$A$5:$A$24,0)),0))</f>
        <v/>
      </c>
      <c r="L870" s="25" t="str">
        <f aca="false">IF($D870="","",J870-K870)</f>
        <v/>
      </c>
      <c r="M870" s="29"/>
      <c r="N870" s="29"/>
    </row>
    <row r="871" customFormat="false" ht="15" hidden="false" customHeight="false" outlineLevel="0" collapsed="false">
      <c r="A871" s="32"/>
      <c r="B871" s="29"/>
      <c r="C871" s="29"/>
      <c r="D871" s="29"/>
      <c r="E871" s="28" t="str">
        <f aca="false">IF($D871="","",IFERROR(INDEX(المنتجات!$C$5:$C$24,MATCH($D871,المنتجات!$A$5:$A$24,0)),"كود غير موجود"))</f>
        <v/>
      </c>
      <c r="F871" s="28" t="str">
        <f aca="false">IF($D871="","",IFERROR(INDEX(المنتجات!$B$5:$B$24,MATCH($D871,المنتجات!$A$5:$A$24,0)),""))</f>
        <v/>
      </c>
      <c r="G871" s="24"/>
      <c r="H871" s="25" t="str">
        <f aca="false">IF($D871="","",IFERROR(INDEX(المنتجات!$F$5:$F$24,MATCH($D871,المنتجات!$A$5:$A$24,0)),0))</f>
        <v/>
      </c>
      <c r="I871" s="30"/>
      <c r="J871" s="25" t="str">
        <f aca="false">IF($D871="","",N(G871)*H871-N(I871))</f>
        <v/>
      </c>
      <c r="K871" s="25" t="str">
        <f aca="false">IF($D871="","",N(G871)*IFERROR(INDEX(المنتجات!$H$5:$H$24,MATCH($D871,المنتجات!$A$5:$A$24,0)),0))</f>
        <v/>
      </c>
      <c r="L871" s="25" t="str">
        <f aca="false">IF($D871="","",J871-K871)</f>
        <v/>
      </c>
      <c r="M871" s="29"/>
      <c r="N871" s="29"/>
    </row>
    <row r="872" customFormat="false" ht="15" hidden="false" customHeight="false" outlineLevel="0" collapsed="false">
      <c r="A872" s="32"/>
      <c r="B872" s="29"/>
      <c r="C872" s="29"/>
      <c r="D872" s="29"/>
      <c r="E872" s="28" t="str">
        <f aca="false">IF($D872="","",IFERROR(INDEX(المنتجات!$C$5:$C$24,MATCH($D872,المنتجات!$A$5:$A$24,0)),"كود غير موجود"))</f>
        <v/>
      </c>
      <c r="F872" s="28" t="str">
        <f aca="false">IF($D872="","",IFERROR(INDEX(المنتجات!$B$5:$B$24,MATCH($D872,المنتجات!$A$5:$A$24,0)),""))</f>
        <v/>
      </c>
      <c r="G872" s="24"/>
      <c r="H872" s="25" t="str">
        <f aca="false">IF($D872="","",IFERROR(INDEX(المنتجات!$F$5:$F$24,MATCH($D872,المنتجات!$A$5:$A$24,0)),0))</f>
        <v/>
      </c>
      <c r="I872" s="30"/>
      <c r="J872" s="25" t="str">
        <f aca="false">IF($D872="","",N(G872)*H872-N(I872))</f>
        <v/>
      </c>
      <c r="K872" s="25" t="str">
        <f aca="false">IF($D872="","",N(G872)*IFERROR(INDEX(المنتجات!$H$5:$H$24,MATCH($D872,المنتجات!$A$5:$A$24,0)),0))</f>
        <v/>
      </c>
      <c r="L872" s="25" t="str">
        <f aca="false">IF($D872="","",J872-K872)</f>
        <v/>
      </c>
      <c r="M872" s="29"/>
      <c r="N872" s="29"/>
    </row>
    <row r="873" customFormat="false" ht="15" hidden="false" customHeight="false" outlineLevel="0" collapsed="false">
      <c r="A873" s="32"/>
      <c r="B873" s="29"/>
      <c r="C873" s="29"/>
      <c r="D873" s="29"/>
      <c r="E873" s="28" t="str">
        <f aca="false">IF($D873="","",IFERROR(INDEX(المنتجات!$C$5:$C$24,MATCH($D873,المنتجات!$A$5:$A$24,0)),"كود غير موجود"))</f>
        <v/>
      </c>
      <c r="F873" s="28" t="str">
        <f aca="false">IF($D873="","",IFERROR(INDEX(المنتجات!$B$5:$B$24,MATCH($D873,المنتجات!$A$5:$A$24,0)),""))</f>
        <v/>
      </c>
      <c r="G873" s="24"/>
      <c r="H873" s="25" t="str">
        <f aca="false">IF($D873="","",IFERROR(INDEX(المنتجات!$F$5:$F$24,MATCH($D873,المنتجات!$A$5:$A$24,0)),0))</f>
        <v/>
      </c>
      <c r="I873" s="30"/>
      <c r="J873" s="25" t="str">
        <f aca="false">IF($D873="","",N(G873)*H873-N(I873))</f>
        <v/>
      </c>
      <c r="K873" s="25" t="str">
        <f aca="false">IF($D873="","",N(G873)*IFERROR(INDEX(المنتجات!$H$5:$H$24,MATCH($D873,المنتجات!$A$5:$A$24,0)),0))</f>
        <v/>
      </c>
      <c r="L873" s="25" t="str">
        <f aca="false">IF($D873="","",J873-K873)</f>
        <v/>
      </c>
      <c r="M873" s="29"/>
      <c r="N873" s="29"/>
    </row>
    <row r="874" customFormat="false" ht="15" hidden="false" customHeight="false" outlineLevel="0" collapsed="false">
      <c r="A874" s="32"/>
      <c r="B874" s="29"/>
      <c r="C874" s="29"/>
      <c r="D874" s="29"/>
      <c r="E874" s="28" t="str">
        <f aca="false">IF($D874="","",IFERROR(INDEX(المنتجات!$C$5:$C$24,MATCH($D874,المنتجات!$A$5:$A$24,0)),"كود غير موجود"))</f>
        <v/>
      </c>
      <c r="F874" s="28" t="str">
        <f aca="false">IF($D874="","",IFERROR(INDEX(المنتجات!$B$5:$B$24,MATCH($D874,المنتجات!$A$5:$A$24,0)),""))</f>
        <v/>
      </c>
      <c r="G874" s="24"/>
      <c r="H874" s="25" t="str">
        <f aca="false">IF($D874="","",IFERROR(INDEX(المنتجات!$F$5:$F$24,MATCH($D874,المنتجات!$A$5:$A$24,0)),0))</f>
        <v/>
      </c>
      <c r="I874" s="30"/>
      <c r="J874" s="25" t="str">
        <f aca="false">IF($D874="","",N(G874)*H874-N(I874))</f>
        <v/>
      </c>
      <c r="K874" s="25" t="str">
        <f aca="false">IF($D874="","",N(G874)*IFERROR(INDEX(المنتجات!$H$5:$H$24,MATCH($D874,المنتجات!$A$5:$A$24,0)),0))</f>
        <v/>
      </c>
      <c r="L874" s="25" t="str">
        <f aca="false">IF($D874="","",J874-K874)</f>
        <v/>
      </c>
      <c r="M874" s="29"/>
      <c r="N874" s="29"/>
    </row>
    <row r="875" customFormat="false" ht="15" hidden="false" customHeight="false" outlineLevel="0" collapsed="false">
      <c r="A875" s="32"/>
      <c r="B875" s="29"/>
      <c r="C875" s="29"/>
      <c r="D875" s="29"/>
      <c r="E875" s="28" t="str">
        <f aca="false">IF($D875="","",IFERROR(INDEX(المنتجات!$C$5:$C$24,MATCH($D875,المنتجات!$A$5:$A$24,0)),"كود غير موجود"))</f>
        <v/>
      </c>
      <c r="F875" s="28" t="str">
        <f aca="false">IF($D875="","",IFERROR(INDEX(المنتجات!$B$5:$B$24,MATCH($D875,المنتجات!$A$5:$A$24,0)),""))</f>
        <v/>
      </c>
      <c r="G875" s="24"/>
      <c r="H875" s="25" t="str">
        <f aca="false">IF($D875="","",IFERROR(INDEX(المنتجات!$F$5:$F$24,MATCH($D875,المنتجات!$A$5:$A$24,0)),0))</f>
        <v/>
      </c>
      <c r="I875" s="30"/>
      <c r="J875" s="25" t="str">
        <f aca="false">IF($D875="","",N(G875)*H875-N(I875))</f>
        <v/>
      </c>
      <c r="K875" s="25" t="str">
        <f aca="false">IF($D875="","",N(G875)*IFERROR(INDEX(المنتجات!$H$5:$H$24,MATCH($D875,المنتجات!$A$5:$A$24,0)),0))</f>
        <v/>
      </c>
      <c r="L875" s="25" t="str">
        <f aca="false">IF($D875="","",J875-K875)</f>
        <v/>
      </c>
      <c r="M875" s="29"/>
      <c r="N875" s="29"/>
    </row>
    <row r="876" customFormat="false" ht="15" hidden="false" customHeight="false" outlineLevel="0" collapsed="false">
      <c r="A876" s="32"/>
      <c r="B876" s="29"/>
      <c r="C876" s="29"/>
      <c r="D876" s="29"/>
      <c r="E876" s="28" t="str">
        <f aca="false">IF($D876="","",IFERROR(INDEX(المنتجات!$C$5:$C$24,MATCH($D876,المنتجات!$A$5:$A$24,0)),"كود غير موجود"))</f>
        <v/>
      </c>
      <c r="F876" s="28" t="str">
        <f aca="false">IF($D876="","",IFERROR(INDEX(المنتجات!$B$5:$B$24,MATCH($D876,المنتجات!$A$5:$A$24,0)),""))</f>
        <v/>
      </c>
      <c r="G876" s="24"/>
      <c r="H876" s="25" t="str">
        <f aca="false">IF($D876="","",IFERROR(INDEX(المنتجات!$F$5:$F$24,MATCH($D876,المنتجات!$A$5:$A$24,0)),0))</f>
        <v/>
      </c>
      <c r="I876" s="30"/>
      <c r="J876" s="25" t="str">
        <f aca="false">IF($D876="","",N(G876)*H876-N(I876))</f>
        <v/>
      </c>
      <c r="K876" s="25" t="str">
        <f aca="false">IF($D876="","",N(G876)*IFERROR(INDEX(المنتجات!$H$5:$H$24,MATCH($D876,المنتجات!$A$5:$A$24,0)),0))</f>
        <v/>
      </c>
      <c r="L876" s="25" t="str">
        <f aca="false">IF($D876="","",J876-K876)</f>
        <v/>
      </c>
      <c r="M876" s="29"/>
      <c r="N876" s="29"/>
    </row>
    <row r="877" customFormat="false" ht="15" hidden="false" customHeight="false" outlineLevel="0" collapsed="false">
      <c r="A877" s="32"/>
      <c r="B877" s="29"/>
      <c r="C877" s="29"/>
      <c r="D877" s="29"/>
      <c r="E877" s="28" t="str">
        <f aca="false">IF($D877="","",IFERROR(INDEX(المنتجات!$C$5:$C$24,MATCH($D877,المنتجات!$A$5:$A$24,0)),"كود غير موجود"))</f>
        <v/>
      </c>
      <c r="F877" s="28" t="str">
        <f aca="false">IF($D877="","",IFERROR(INDEX(المنتجات!$B$5:$B$24,MATCH($D877,المنتجات!$A$5:$A$24,0)),""))</f>
        <v/>
      </c>
      <c r="G877" s="24"/>
      <c r="H877" s="25" t="str">
        <f aca="false">IF($D877="","",IFERROR(INDEX(المنتجات!$F$5:$F$24,MATCH($D877,المنتجات!$A$5:$A$24,0)),0))</f>
        <v/>
      </c>
      <c r="I877" s="30"/>
      <c r="J877" s="25" t="str">
        <f aca="false">IF($D877="","",N(G877)*H877-N(I877))</f>
        <v/>
      </c>
      <c r="K877" s="25" t="str">
        <f aca="false">IF($D877="","",N(G877)*IFERROR(INDEX(المنتجات!$H$5:$H$24,MATCH($D877,المنتجات!$A$5:$A$24,0)),0))</f>
        <v/>
      </c>
      <c r="L877" s="25" t="str">
        <f aca="false">IF($D877="","",J877-K877)</f>
        <v/>
      </c>
      <c r="M877" s="29"/>
      <c r="N877" s="29"/>
    </row>
    <row r="878" customFormat="false" ht="15" hidden="false" customHeight="false" outlineLevel="0" collapsed="false">
      <c r="A878" s="32"/>
      <c r="B878" s="29"/>
      <c r="C878" s="29"/>
      <c r="D878" s="29"/>
      <c r="E878" s="28" t="str">
        <f aca="false">IF($D878="","",IFERROR(INDEX(المنتجات!$C$5:$C$24,MATCH($D878,المنتجات!$A$5:$A$24,0)),"كود غير موجود"))</f>
        <v/>
      </c>
      <c r="F878" s="28" t="str">
        <f aca="false">IF($D878="","",IFERROR(INDEX(المنتجات!$B$5:$B$24,MATCH($D878,المنتجات!$A$5:$A$24,0)),""))</f>
        <v/>
      </c>
      <c r="G878" s="24"/>
      <c r="H878" s="25" t="str">
        <f aca="false">IF($D878="","",IFERROR(INDEX(المنتجات!$F$5:$F$24,MATCH($D878,المنتجات!$A$5:$A$24,0)),0))</f>
        <v/>
      </c>
      <c r="I878" s="30"/>
      <c r="J878" s="25" t="str">
        <f aca="false">IF($D878="","",N(G878)*H878-N(I878))</f>
        <v/>
      </c>
      <c r="K878" s="25" t="str">
        <f aca="false">IF($D878="","",N(G878)*IFERROR(INDEX(المنتجات!$H$5:$H$24,MATCH($D878,المنتجات!$A$5:$A$24,0)),0))</f>
        <v/>
      </c>
      <c r="L878" s="25" t="str">
        <f aca="false">IF($D878="","",J878-K878)</f>
        <v/>
      </c>
      <c r="M878" s="29"/>
      <c r="N878" s="29"/>
    </row>
    <row r="879" customFormat="false" ht="15" hidden="false" customHeight="false" outlineLevel="0" collapsed="false">
      <c r="A879" s="32"/>
      <c r="B879" s="29"/>
      <c r="C879" s="29"/>
      <c r="D879" s="29"/>
      <c r="E879" s="28" t="str">
        <f aca="false">IF($D879="","",IFERROR(INDEX(المنتجات!$C$5:$C$24,MATCH($D879,المنتجات!$A$5:$A$24,0)),"كود غير موجود"))</f>
        <v/>
      </c>
      <c r="F879" s="28" t="str">
        <f aca="false">IF($D879="","",IFERROR(INDEX(المنتجات!$B$5:$B$24,MATCH($D879,المنتجات!$A$5:$A$24,0)),""))</f>
        <v/>
      </c>
      <c r="G879" s="24"/>
      <c r="H879" s="25" t="str">
        <f aca="false">IF($D879="","",IFERROR(INDEX(المنتجات!$F$5:$F$24,MATCH($D879,المنتجات!$A$5:$A$24,0)),0))</f>
        <v/>
      </c>
      <c r="I879" s="30"/>
      <c r="J879" s="25" t="str">
        <f aca="false">IF($D879="","",N(G879)*H879-N(I879))</f>
        <v/>
      </c>
      <c r="K879" s="25" t="str">
        <f aca="false">IF($D879="","",N(G879)*IFERROR(INDEX(المنتجات!$H$5:$H$24,MATCH($D879,المنتجات!$A$5:$A$24,0)),0))</f>
        <v/>
      </c>
      <c r="L879" s="25" t="str">
        <f aca="false">IF($D879="","",J879-K879)</f>
        <v/>
      </c>
      <c r="M879" s="29"/>
      <c r="N879" s="29"/>
    </row>
    <row r="880" customFormat="false" ht="15" hidden="false" customHeight="false" outlineLevel="0" collapsed="false">
      <c r="A880" s="32"/>
      <c r="B880" s="29"/>
      <c r="C880" s="29"/>
      <c r="D880" s="29"/>
      <c r="E880" s="28" t="str">
        <f aca="false">IF($D880="","",IFERROR(INDEX(المنتجات!$C$5:$C$24,MATCH($D880,المنتجات!$A$5:$A$24,0)),"كود غير موجود"))</f>
        <v/>
      </c>
      <c r="F880" s="28" t="str">
        <f aca="false">IF($D880="","",IFERROR(INDEX(المنتجات!$B$5:$B$24,MATCH($D880,المنتجات!$A$5:$A$24,0)),""))</f>
        <v/>
      </c>
      <c r="G880" s="24"/>
      <c r="H880" s="25" t="str">
        <f aca="false">IF($D880="","",IFERROR(INDEX(المنتجات!$F$5:$F$24,MATCH($D880,المنتجات!$A$5:$A$24,0)),0))</f>
        <v/>
      </c>
      <c r="I880" s="30"/>
      <c r="J880" s="25" t="str">
        <f aca="false">IF($D880="","",N(G880)*H880-N(I880))</f>
        <v/>
      </c>
      <c r="K880" s="25" t="str">
        <f aca="false">IF($D880="","",N(G880)*IFERROR(INDEX(المنتجات!$H$5:$H$24,MATCH($D880,المنتجات!$A$5:$A$24,0)),0))</f>
        <v/>
      </c>
      <c r="L880" s="25" t="str">
        <f aca="false">IF($D880="","",J880-K880)</f>
        <v/>
      </c>
      <c r="M880" s="29"/>
      <c r="N880" s="29"/>
    </row>
    <row r="881" customFormat="false" ht="15" hidden="false" customHeight="false" outlineLevel="0" collapsed="false">
      <c r="A881" s="32"/>
      <c r="B881" s="29"/>
      <c r="C881" s="29"/>
      <c r="D881" s="29"/>
      <c r="E881" s="28" t="str">
        <f aca="false">IF($D881="","",IFERROR(INDEX(المنتجات!$C$5:$C$24,MATCH($D881,المنتجات!$A$5:$A$24,0)),"كود غير موجود"))</f>
        <v/>
      </c>
      <c r="F881" s="28" t="str">
        <f aca="false">IF($D881="","",IFERROR(INDEX(المنتجات!$B$5:$B$24,MATCH($D881,المنتجات!$A$5:$A$24,0)),""))</f>
        <v/>
      </c>
      <c r="G881" s="24"/>
      <c r="H881" s="25" t="str">
        <f aca="false">IF($D881="","",IFERROR(INDEX(المنتجات!$F$5:$F$24,MATCH($D881,المنتجات!$A$5:$A$24,0)),0))</f>
        <v/>
      </c>
      <c r="I881" s="30"/>
      <c r="J881" s="25" t="str">
        <f aca="false">IF($D881="","",N(G881)*H881-N(I881))</f>
        <v/>
      </c>
      <c r="K881" s="25" t="str">
        <f aca="false">IF($D881="","",N(G881)*IFERROR(INDEX(المنتجات!$H$5:$H$24,MATCH($D881,المنتجات!$A$5:$A$24,0)),0))</f>
        <v/>
      </c>
      <c r="L881" s="25" t="str">
        <f aca="false">IF($D881="","",J881-K881)</f>
        <v/>
      </c>
      <c r="M881" s="29"/>
      <c r="N881" s="29"/>
    </row>
    <row r="882" customFormat="false" ht="15" hidden="false" customHeight="false" outlineLevel="0" collapsed="false">
      <c r="A882" s="32"/>
      <c r="B882" s="29"/>
      <c r="C882" s="29"/>
      <c r="D882" s="29"/>
      <c r="E882" s="28" t="str">
        <f aca="false">IF($D882="","",IFERROR(INDEX(المنتجات!$C$5:$C$24,MATCH($D882,المنتجات!$A$5:$A$24,0)),"كود غير موجود"))</f>
        <v/>
      </c>
      <c r="F882" s="28" t="str">
        <f aca="false">IF($D882="","",IFERROR(INDEX(المنتجات!$B$5:$B$24,MATCH($D882,المنتجات!$A$5:$A$24,0)),""))</f>
        <v/>
      </c>
      <c r="G882" s="24"/>
      <c r="H882" s="25" t="str">
        <f aca="false">IF($D882="","",IFERROR(INDEX(المنتجات!$F$5:$F$24,MATCH($D882,المنتجات!$A$5:$A$24,0)),0))</f>
        <v/>
      </c>
      <c r="I882" s="30"/>
      <c r="J882" s="25" t="str">
        <f aca="false">IF($D882="","",N(G882)*H882-N(I882))</f>
        <v/>
      </c>
      <c r="K882" s="25" t="str">
        <f aca="false">IF($D882="","",N(G882)*IFERROR(INDEX(المنتجات!$H$5:$H$24,MATCH($D882,المنتجات!$A$5:$A$24,0)),0))</f>
        <v/>
      </c>
      <c r="L882" s="25" t="str">
        <f aca="false">IF($D882="","",J882-K882)</f>
        <v/>
      </c>
      <c r="M882" s="29"/>
      <c r="N882" s="29"/>
    </row>
    <row r="883" customFormat="false" ht="15" hidden="false" customHeight="false" outlineLevel="0" collapsed="false">
      <c r="A883" s="32"/>
      <c r="B883" s="29"/>
      <c r="C883" s="29"/>
      <c r="D883" s="29"/>
      <c r="E883" s="28" t="str">
        <f aca="false">IF($D883="","",IFERROR(INDEX(المنتجات!$C$5:$C$24,MATCH($D883,المنتجات!$A$5:$A$24,0)),"كود غير موجود"))</f>
        <v/>
      </c>
      <c r="F883" s="28" t="str">
        <f aca="false">IF($D883="","",IFERROR(INDEX(المنتجات!$B$5:$B$24,MATCH($D883,المنتجات!$A$5:$A$24,0)),""))</f>
        <v/>
      </c>
      <c r="G883" s="24"/>
      <c r="H883" s="25" t="str">
        <f aca="false">IF($D883="","",IFERROR(INDEX(المنتجات!$F$5:$F$24,MATCH($D883,المنتجات!$A$5:$A$24,0)),0))</f>
        <v/>
      </c>
      <c r="I883" s="30"/>
      <c r="J883" s="25" t="str">
        <f aca="false">IF($D883="","",N(G883)*H883-N(I883))</f>
        <v/>
      </c>
      <c r="K883" s="25" t="str">
        <f aca="false">IF($D883="","",N(G883)*IFERROR(INDEX(المنتجات!$H$5:$H$24,MATCH($D883,المنتجات!$A$5:$A$24,0)),0))</f>
        <v/>
      </c>
      <c r="L883" s="25" t="str">
        <f aca="false">IF($D883="","",J883-K883)</f>
        <v/>
      </c>
      <c r="M883" s="29"/>
      <c r="N883" s="29"/>
    </row>
    <row r="884" customFormat="false" ht="15" hidden="false" customHeight="false" outlineLevel="0" collapsed="false">
      <c r="A884" s="32"/>
      <c r="B884" s="29"/>
      <c r="C884" s="29"/>
      <c r="D884" s="29"/>
      <c r="E884" s="28" t="str">
        <f aca="false">IF($D884="","",IFERROR(INDEX(المنتجات!$C$5:$C$24,MATCH($D884,المنتجات!$A$5:$A$24,0)),"كود غير موجود"))</f>
        <v/>
      </c>
      <c r="F884" s="28" t="str">
        <f aca="false">IF($D884="","",IFERROR(INDEX(المنتجات!$B$5:$B$24,MATCH($D884,المنتجات!$A$5:$A$24,0)),""))</f>
        <v/>
      </c>
      <c r="G884" s="24"/>
      <c r="H884" s="25" t="str">
        <f aca="false">IF($D884="","",IFERROR(INDEX(المنتجات!$F$5:$F$24,MATCH($D884,المنتجات!$A$5:$A$24,0)),0))</f>
        <v/>
      </c>
      <c r="I884" s="30"/>
      <c r="J884" s="25" t="str">
        <f aca="false">IF($D884="","",N(G884)*H884-N(I884))</f>
        <v/>
      </c>
      <c r="K884" s="25" t="str">
        <f aca="false">IF($D884="","",N(G884)*IFERROR(INDEX(المنتجات!$H$5:$H$24,MATCH($D884,المنتجات!$A$5:$A$24,0)),0))</f>
        <v/>
      </c>
      <c r="L884" s="25" t="str">
        <f aca="false">IF($D884="","",J884-K884)</f>
        <v/>
      </c>
      <c r="M884" s="29"/>
      <c r="N884" s="29"/>
    </row>
    <row r="885" customFormat="false" ht="15" hidden="false" customHeight="false" outlineLevel="0" collapsed="false">
      <c r="A885" s="32"/>
      <c r="B885" s="29"/>
      <c r="C885" s="29"/>
      <c r="D885" s="29"/>
      <c r="E885" s="28" t="str">
        <f aca="false">IF($D885="","",IFERROR(INDEX(المنتجات!$C$5:$C$24,MATCH($D885,المنتجات!$A$5:$A$24,0)),"كود غير موجود"))</f>
        <v/>
      </c>
      <c r="F885" s="28" t="str">
        <f aca="false">IF($D885="","",IFERROR(INDEX(المنتجات!$B$5:$B$24,MATCH($D885,المنتجات!$A$5:$A$24,0)),""))</f>
        <v/>
      </c>
      <c r="G885" s="24"/>
      <c r="H885" s="25" t="str">
        <f aca="false">IF($D885="","",IFERROR(INDEX(المنتجات!$F$5:$F$24,MATCH($D885,المنتجات!$A$5:$A$24,0)),0))</f>
        <v/>
      </c>
      <c r="I885" s="30"/>
      <c r="J885" s="25" t="str">
        <f aca="false">IF($D885="","",N(G885)*H885-N(I885))</f>
        <v/>
      </c>
      <c r="K885" s="25" t="str">
        <f aca="false">IF($D885="","",N(G885)*IFERROR(INDEX(المنتجات!$H$5:$H$24,MATCH($D885,المنتجات!$A$5:$A$24,0)),0))</f>
        <v/>
      </c>
      <c r="L885" s="25" t="str">
        <f aca="false">IF($D885="","",J885-K885)</f>
        <v/>
      </c>
      <c r="M885" s="29"/>
      <c r="N885" s="29"/>
    </row>
    <row r="886" customFormat="false" ht="15" hidden="false" customHeight="false" outlineLevel="0" collapsed="false">
      <c r="A886" s="32"/>
      <c r="B886" s="29"/>
      <c r="C886" s="29"/>
      <c r="D886" s="29"/>
      <c r="E886" s="28" t="str">
        <f aca="false">IF($D886="","",IFERROR(INDEX(المنتجات!$C$5:$C$24,MATCH($D886,المنتجات!$A$5:$A$24,0)),"كود غير موجود"))</f>
        <v/>
      </c>
      <c r="F886" s="28" t="str">
        <f aca="false">IF($D886="","",IFERROR(INDEX(المنتجات!$B$5:$B$24,MATCH($D886,المنتجات!$A$5:$A$24,0)),""))</f>
        <v/>
      </c>
      <c r="G886" s="24"/>
      <c r="H886" s="25" t="str">
        <f aca="false">IF($D886="","",IFERROR(INDEX(المنتجات!$F$5:$F$24,MATCH($D886,المنتجات!$A$5:$A$24,0)),0))</f>
        <v/>
      </c>
      <c r="I886" s="30"/>
      <c r="J886" s="25" t="str">
        <f aca="false">IF($D886="","",N(G886)*H886-N(I886))</f>
        <v/>
      </c>
      <c r="K886" s="25" t="str">
        <f aca="false">IF($D886="","",N(G886)*IFERROR(INDEX(المنتجات!$H$5:$H$24,MATCH($D886,المنتجات!$A$5:$A$24,0)),0))</f>
        <v/>
      </c>
      <c r="L886" s="25" t="str">
        <f aca="false">IF($D886="","",J886-K886)</f>
        <v/>
      </c>
      <c r="M886" s="29"/>
      <c r="N886" s="29"/>
    </row>
    <row r="887" customFormat="false" ht="15" hidden="false" customHeight="false" outlineLevel="0" collapsed="false">
      <c r="A887" s="32"/>
      <c r="B887" s="29"/>
      <c r="C887" s="29"/>
      <c r="D887" s="29"/>
      <c r="E887" s="28" t="str">
        <f aca="false">IF($D887="","",IFERROR(INDEX(المنتجات!$C$5:$C$24,MATCH($D887,المنتجات!$A$5:$A$24,0)),"كود غير موجود"))</f>
        <v/>
      </c>
      <c r="F887" s="28" t="str">
        <f aca="false">IF($D887="","",IFERROR(INDEX(المنتجات!$B$5:$B$24,MATCH($D887,المنتجات!$A$5:$A$24,0)),""))</f>
        <v/>
      </c>
      <c r="G887" s="24"/>
      <c r="H887" s="25" t="str">
        <f aca="false">IF($D887="","",IFERROR(INDEX(المنتجات!$F$5:$F$24,MATCH($D887,المنتجات!$A$5:$A$24,0)),0))</f>
        <v/>
      </c>
      <c r="I887" s="30"/>
      <c r="J887" s="25" t="str">
        <f aca="false">IF($D887="","",N(G887)*H887-N(I887))</f>
        <v/>
      </c>
      <c r="K887" s="25" t="str">
        <f aca="false">IF($D887="","",N(G887)*IFERROR(INDEX(المنتجات!$H$5:$H$24,MATCH($D887,المنتجات!$A$5:$A$24,0)),0))</f>
        <v/>
      </c>
      <c r="L887" s="25" t="str">
        <f aca="false">IF($D887="","",J887-K887)</f>
        <v/>
      </c>
      <c r="M887" s="29"/>
      <c r="N887" s="29"/>
    </row>
    <row r="888" customFormat="false" ht="15" hidden="false" customHeight="false" outlineLevel="0" collapsed="false">
      <c r="A888" s="32"/>
      <c r="B888" s="29"/>
      <c r="C888" s="29"/>
      <c r="D888" s="29"/>
      <c r="E888" s="28" t="str">
        <f aca="false">IF($D888="","",IFERROR(INDEX(المنتجات!$C$5:$C$24,MATCH($D888,المنتجات!$A$5:$A$24,0)),"كود غير موجود"))</f>
        <v/>
      </c>
      <c r="F888" s="28" t="str">
        <f aca="false">IF($D888="","",IFERROR(INDEX(المنتجات!$B$5:$B$24,MATCH($D888,المنتجات!$A$5:$A$24,0)),""))</f>
        <v/>
      </c>
      <c r="G888" s="24"/>
      <c r="H888" s="25" t="str">
        <f aca="false">IF($D888="","",IFERROR(INDEX(المنتجات!$F$5:$F$24,MATCH($D888,المنتجات!$A$5:$A$24,0)),0))</f>
        <v/>
      </c>
      <c r="I888" s="30"/>
      <c r="J888" s="25" t="str">
        <f aca="false">IF($D888="","",N(G888)*H888-N(I888))</f>
        <v/>
      </c>
      <c r="K888" s="25" t="str">
        <f aca="false">IF($D888="","",N(G888)*IFERROR(INDEX(المنتجات!$H$5:$H$24,MATCH($D888,المنتجات!$A$5:$A$24,0)),0))</f>
        <v/>
      </c>
      <c r="L888" s="25" t="str">
        <f aca="false">IF($D888="","",J888-K888)</f>
        <v/>
      </c>
      <c r="M888" s="29"/>
      <c r="N888" s="29"/>
    </row>
    <row r="889" customFormat="false" ht="15" hidden="false" customHeight="false" outlineLevel="0" collapsed="false">
      <c r="A889" s="32"/>
      <c r="B889" s="29"/>
      <c r="C889" s="29"/>
      <c r="D889" s="29"/>
      <c r="E889" s="28" t="str">
        <f aca="false">IF($D889="","",IFERROR(INDEX(المنتجات!$C$5:$C$24,MATCH($D889,المنتجات!$A$5:$A$24,0)),"كود غير موجود"))</f>
        <v/>
      </c>
      <c r="F889" s="28" t="str">
        <f aca="false">IF($D889="","",IFERROR(INDEX(المنتجات!$B$5:$B$24,MATCH($D889,المنتجات!$A$5:$A$24,0)),""))</f>
        <v/>
      </c>
      <c r="G889" s="24"/>
      <c r="H889" s="25" t="str">
        <f aca="false">IF($D889="","",IFERROR(INDEX(المنتجات!$F$5:$F$24,MATCH($D889,المنتجات!$A$5:$A$24,0)),0))</f>
        <v/>
      </c>
      <c r="I889" s="30"/>
      <c r="J889" s="25" t="str">
        <f aca="false">IF($D889="","",N(G889)*H889-N(I889))</f>
        <v/>
      </c>
      <c r="K889" s="25" t="str">
        <f aca="false">IF($D889="","",N(G889)*IFERROR(INDEX(المنتجات!$H$5:$H$24,MATCH($D889,المنتجات!$A$5:$A$24,0)),0))</f>
        <v/>
      </c>
      <c r="L889" s="25" t="str">
        <f aca="false">IF($D889="","",J889-K889)</f>
        <v/>
      </c>
      <c r="M889" s="29"/>
      <c r="N889" s="29"/>
    </row>
    <row r="890" customFormat="false" ht="15" hidden="false" customHeight="false" outlineLevel="0" collapsed="false">
      <c r="A890" s="32"/>
      <c r="B890" s="29"/>
      <c r="C890" s="29"/>
      <c r="D890" s="29"/>
      <c r="E890" s="28" t="str">
        <f aca="false">IF($D890="","",IFERROR(INDEX(المنتجات!$C$5:$C$24,MATCH($D890,المنتجات!$A$5:$A$24,0)),"كود غير موجود"))</f>
        <v/>
      </c>
      <c r="F890" s="28" t="str">
        <f aca="false">IF($D890="","",IFERROR(INDEX(المنتجات!$B$5:$B$24,MATCH($D890,المنتجات!$A$5:$A$24,0)),""))</f>
        <v/>
      </c>
      <c r="G890" s="24"/>
      <c r="H890" s="25" t="str">
        <f aca="false">IF($D890="","",IFERROR(INDEX(المنتجات!$F$5:$F$24,MATCH($D890,المنتجات!$A$5:$A$24,0)),0))</f>
        <v/>
      </c>
      <c r="I890" s="30"/>
      <c r="J890" s="25" t="str">
        <f aca="false">IF($D890="","",N(G890)*H890-N(I890))</f>
        <v/>
      </c>
      <c r="K890" s="25" t="str">
        <f aca="false">IF($D890="","",N(G890)*IFERROR(INDEX(المنتجات!$H$5:$H$24,MATCH($D890,المنتجات!$A$5:$A$24,0)),0))</f>
        <v/>
      </c>
      <c r="L890" s="25" t="str">
        <f aca="false">IF($D890="","",J890-K890)</f>
        <v/>
      </c>
      <c r="M890" s="29"/>
      <c r="N890" s="29"/>
    </row>
    <row r="891" customFormat="false" ht="15" hidden="false" customHeight="false" outlineLevel="0" collapsed="false">
      <c r="A891" s="32"/>
      <c r="B891" s="29"/>
      <c r="C891" s="29"/>
      <c r="D891" s="29"/>
      <c r="E891" s="28" t="str">
        <f aca="false">IF($D891="","",IFERROR(INDEX(المنتجات!$C$5:$C$24,MATCH($D891,المنتجات!$A$5:$A$24,0)),"كود غير موجود"))</f>
        <v/>
      </c>
      <c r="F891" s="28" t="str">
        <f aca="false">IF($D891="","",IFERROR(INDEX(المنتجات!$B$5:$B$24,MATCH($D891,المنتجات!$A$5:$A$24,0)),""))</f>
        <v/>
      </c>
      <c r="G891" s="24"/>
      <c r="H891" s="25" t="str">
        <f aca="false">IF($D891="","",IFERROR(INDEX(المنتجات!$F$5:$F$24,MATCH($D891,المنتجات!$A$5:$A$24,0)),0))</f>
        <v/>
      </c>
      <c r="I891" s="30"/>
      <c r="J891" s="25" t="str">
        <f aca="false">IF($D891="","",N(G891)*H891-N(I891))</f>
        <v/>
      </c>
      <c r="K891" s="25" t="str">
        <f aca="false">IF($D891="","",N(G891)*IFERROR(INDEX(المنتجات!$H$5:$H$24,MATCH($D891,المنتجات!$A$5:$A$24,0)),0))</f>
        <v/>
      </c>
      <c r="L891" s="25" t="str">
        <f aca="false">IF($D891="","",J891-K891)</f>
        <v/>
      </c>
      <c r="M891" s="29"/>
      <c r="N891" s="29"/>
    </row>
    <row r="892" customFormat="false" ht="15" hidden="false" customHeight="false" outlineLevel="0" collapsed="false">
      <c r="A892" s="32"/>
      <c r="B892" s="29"/>
      <c r="C892" s="29"/>
      <c r="D892" s="29"/>
      <c r="E892" s="28" t="str">
        <f aca="false">IF($D892="","",IFERROR(INDEX(المنتجات!$C$5:$C$24,MATCH($D892,المنتجات!$A$5:$A$24,0)),"كود غير موجود"))</f>
        <v/>
      </c>
      <c r="F892" s="28" t="str">
        <f aca="false">IF($D892="","",IFERROR(INDEX(المنتجات!$B$5:$B$24,MATCH($D892,المنتجات!$A$5:$A$24,0)),""))</f>
        <v/>
      </c>
      <c r="G892" s="24"/>
      <c r="H892" s="25" t="str">
        <f aca="false">IF($D892="","",IFERROR(INDEX(المنتجات!$F$5:$F$24,MATCH($D892,المنتجات!$A$5:$A$24,0)),0))</f>
        <v/>
      </c>
      <c r="I892" s="30"/>
      <c r="J892" s="25" t="str">
        <f aca="false">IF($D892="","",N(G892)*H892-N(I892))</f>
        <v/>
      </c>
      <c r="K892" s="25" t="str">
        <f aca="false">IF($D892="","",N(G892)*IFERROR(INDEX(المنتجات!$H$5:$H$24,MATCH($D892,المنتجات!$A$5:$A$24,0)),0))</f>
        <v/>
      </c>
      <c r="L892" s="25" t="str">
        <f aca="false">IF($D892="","",J892-K892)</f>
        <v/>
      </c>
      <c r="M892" s="29"/>
      <c r="N892" s="29"/>
    </row>
    <row r="893" customFormat="false" ht="15" hidden="false" customHeight="false" outlineLevel="0" collapsed="false">
      <c r="A893" s="32"/>
      <c r="B893" s="29"/>
      <c r="C893" s="29"/>
      <c r="D893" s="29"/>
      <c r="E893" s="28" t="str">
        <f aca="false">IF($D893="","",IFERROR(INDEX(المنتجات!$C$5:$C$24,MATCH($D893,المنتجات!$A$5:$A$24,0)),"كود غير موجود"))</f>
        <v/>
      </c>
      <c r="F893" s="28" t="str">
        <f aca="false">IF($D893="","",IFERROR(INDEX(المنتجات!$B$5:$B$24,MATCH($D893,المنتجات!$A$5:$A$24,0)),""))</f>
        <v/>
      </c>
      <c r="G893" s="24"/>
      <c r="H893" s="25" t="str">
        <f aca="false">IF($D893="","",IFERROR(INDEX(المنتجات!$F$5:$F$24,MATCH($D893,المنتجات!$A$5:$A$24,0)),0))</f>
        <v/>
      </c>
      <c r="I893" s="30"/>
      <c r="J893" s="25" t="str">
        <f aca="false">IF($D893="","",N(G893)*H893-N(I893))</f>
        <v/>
      </c>
      <c r="K893" s="25" t="str">
        <f aca="false">IF($D893="","",N(G893)*IFERROR(INDEX(المنتجات!$H$5:$H$24,MATCH($D893,المنتجات!$A$5:$A$24,0)),0))</f>
        <v/>
      </c>
      <c r="L893" s="25" t="str">
        <f aca="false">IF($D893="","",J893-K893)</f>
        <v/>
      </c>
      <c r="M893" s="29"/>
      <c r="N893" s="29"/>
    </row>
    <row r="894" customFormat="false" ht="15" hidden="false" customHeight="false" outlineLevel="0" collapsed="false">
      <c r="A894" s="32"/>
      <c r="B894" s="29"/>
      <c r="C894" s="29"/>
      <c r="D894" s="29"/>
      <c r="E894" s="28" t="str">
        <f aca="false">IF($D894="","",IFERROR(INDEX(المنتجات!$C$5:$C$24,MATCH($D894,المنتجات!$A$5:$A$24,0)),"كود غير موجود"))</f>
        <v/>
      </c>
      <c r="F894" s="28" t="str">
        <f aca="false">IF($D894="","",IFERROR(INDEX(المنتجات!$B$5:$B$24,MATCH($D894,المنتجات!$A$5:$A$24,0)),""))</f>
        <v/>
      </c>
      <c r="G894" s="24"/>
      <c r="H894" s="25" t="str">
        <f aca="false">IF($D894="","",IFERROR(INDEX(المنتجات!$F$5:$F$24,MATCH($D894,المنتجات!$A$5:$A$24,0)),0))</f>
        <v/>
      </c>
      <c r="I894" s="30"/>
      <c r="J894" s="25" t="str">
        <f aca="false">IF($D894="","",N(G894)*H894-N(I894))</f>
        <v/>
      </c>
      <c r="K894" s="25" t="str">
        <f aca="false">IF($D894="","",N(G894)*IFERROR(INDEX(المنتجات!$H$5:$H$24,MATCH($D894,المنتجات!$A$5:$A$24,0)),0))</f>
        <v/>
      </c>
      <c r="L894" s="25" t="str">
        <f aca="false">IF($D894="","",J894-K894)</f>
        <v/>
      </c>
      <c r="M894" s="29"/>
      <c r="N894" s="29"/>
    </row>
    <row r="895" customFormat="false" ht="15" hidden="false" customHeight="false" outlineLevel="0" collapsed="false">
      <c r="A895" s="32"/>
      <c r="B895" s="29"/>
      <c r="C895" s="29"/>
      <c r="D895" s="29"/>
      <c r="E895" s="28" t="str">
        <f aca="false">IF($D895="","",IFERROR(INDEX(المنتجات!$C$5:$C$24,MATCH($D895,المنتجات!$A$5:$A$24,0)),"كود غير موجود"))</f>
        <v/>
      </c>
      <c r="F895" s="28" t="str">
        <f aca="false">IF($D895="","",IFERROR(INDEX(المنتجات!$B$5:$B$24,MATCH($D895,المنتجات!$A$5:$A$24,0)),""))</f>
        <v/>
      </c>
      <c r="G895" s="24"/>
      <c r="H895" s="25" t="str">
        <f aca="false">IF($D895="","",IFERROR(INDEX(المنتجات!$F$5:$F$24,MATCH($D895,المنتجات!$A$5:$A$24,0)),0))</f>
        <v/>
      </c>
      <c r="I895" s="30"/>
      <c r="J895" s="25" t="str">
        <f aca="false">IF($D895="","",N(G895)*H895-N(I895))</f>
        <v/>
      </c>
      <c r="K895" s="25" t="str">
        <f aca="false">IF($D895="","",N(G895)*IFERROR(INDEX(المنتجات!$H$5:$H$24,MATCH($D895,المنتجات!$A$5:$A$24,0)),0))</f>
        <v/>
      </c>
      <c r="L895" s="25" t="str">
        <f aca="false">IF($D895="","",J895-K895)</f>
        <v/>
      </c>
      <c r="M895" s="29"/>
      <c r="N895" s="29"/>
    </row>
    <row r="896" customFormat="false" ht="15" hidden="false" customHeight="false" outlineLevel="0" collapsed="false">
      <c r="A896" s="32"/>
      <c r="B896" s="29"/>
      <c r="C896" s="29"/>
      <c r="D896" s="29"/>
      <c r="E896" s="28" t="str">
        <f aca="false">IF($D896="","",IFERROR(INDEX(المنتجات!$C$5:$C$24,MATCH($D896,المنتجات!$A$5:$A$24,0)),"كود غير موجود"))</f>
        <v/>
      </c>
      <c r="F896" s="28" t="str">
        <f aca="false">IF($D896="","",IFERROR(INDEX(المنتجات!$B$5:$B$24,MATCH($D896,المنتجات!$A$5:$A$24,0)),""))</f>
        <v/>
      </c>
      <c r="G896" s="24"/>
      <c r="H896" s="25" t="str">
        <f aca="false">IF($D896="","",IFERROR(INDEX(المنتجات!$F$5:$F$24,MATCH($D896,المنتجات!$A$5:$A$24,0)),0))</f>
        <v/>
      </c>
      <c r="I896" s="30"/>
      <c r="J896" s="25" t="str">
        <f aca="false">IF($D896="","",N(G896)*H896-N(I896))</f>
        <v/>
      </c>
      <c r="K896" s="25" t="str">
        <f aca="false">IF($D896="","",N(G896)*IFERROR(INDEX(المنتجات!$H$5:$H$24,MATCH($D896,المنتجات!$A$5:$A$24,0)),0))</f>
        <v/>
      </c>
      <c r="L896" s="25" t="str">
        <f aca="false">IF($D896="","",J896-K896)</f>
        <v/>
      </c>
      <c r="M896" s="29"/>
      <c r="N896" s="29"/>
    </row>
    <row r="897" customFormat="false" ht="15" hidden="false" customHeight="false" outlineLevel="0" collapsed="false">
      <c r="A897" s="32"/>
      <c r="B897" s="29"/>
      <c r="C897" s="29"/>
      <c r="D897" s="29"/>
      <c r="E897" s="28" t="str">
        <f aca="false">IF($D897="","",IFERROR(INDEX(المنتجات!$C$5:$C$24,MATCH($D897,المنتجات!$A$5:$A$24,0)),"كود غير موجود"))</f>
        <v/>
      </c>
      <c r="F897" s="28" t="str">
        <f aca="false">IF($D897="","",IFERROR(INDEX(المنتجات!$B$5:$B$24,MATCH($D897,المنتجات!$A$5:$A$24,0)),""))</f>
        <v/>
      </c>
      <c r="G897" s="24"/>
      <c r="H897" s="25" t="str">
        <f aca="false">IF($D897="","",IFERROR(INDEX(المنتجات!$F$5:$F$24,MATCH($D897,المنتجات!$A$5:$A$24,0)),0))</f>
        <v/>
      </c>
      <c r="I897" s="30"/>
      <c r="J897" s="25" t="str">
        <f aca="false">IF($D897="","",N(G897)*H897-N(I897))</f>
        <v/>
      </c>
      <c r="K897" s="25" t="str">
        <f aca="false">IF($D897="","",N(G897)*IFERROR(INDEX(المنتجات!$H$5:$H$24,MATCH($D897,المنتجات!$A$5:$A$24,0)),0))</f>
        <v/>
      </c>
      <c r="L897" s="25" t="str">
        <f aca="false">IF($D897="","",J897-K897)</f>
        <v/>
      </c>
      <c r="M897" s="29"/>
      <c r="N897" s="29"/>
    </row>
    <row r="898" customFormat="false" ht="15" hidden="false" customHeight="false" outlineLevel="0" collapsed="false">
      <c r="A898" s="32"/>
      <c r="B898" s="29"/>
      <c r="C898" s="29"/>
      <c r="D898" s="29"/>
      <c r="E898" s="28" t="str">
        <f aca="false">IF($D898="","",IFERROR(INDEX(المنتجات!$C$5:$C$24,MATCH($D898,المنتجات!$A$5:$A$24,0)),"كود غير موجود"))</f>
        <v/>
      </c>
      <c r="F898" s="28" t="str">
        <f aca="false">IF($D898="","",IFERROR(INDEX(المنتجات!$B$5:$B$24,MATCH($D898,المنتجات!$A$5:$A$24,0)),""))</f>
        <v/>
      </c>
      <c r="G898" s="24"/>
      <c r="H898" s="25" t="str">
        <f aca="false">IF($D898="","",IFERROR(INDEX(المنتجات!$F$5:$F$24,MATCH($D898,المنتجات!$A$5:$A$24,0)),0))</f>
        <v/>
      </c>
      <c r="I898" s="30"/>
      <c r="J898" s="25" t="str">
        <f aca="false">IF($D898="","",N(G898)*H898-N(I898))</f>
        <v/>
      </c>
      <c r="K898" s="25" t="str">
        <f aca="false">IF($D898="","",N(G898)*IFERROR(INDEX(المنتجات!$H$5:$H$24,MATCH($D898,المنتجات!$A$5:$A$24,0)),0))</f>
        <v/>
      </c>
      <c r="L898" s="25" t="str">
        <f aca="false">IF($D898="","",J898-K898)</f>
        <v/>
      </c>
      <c r="M898" s="29"/>
      <c r="N898" s="29"/>
    </row>
    <row r="899" customFormat="false" ht="15" hidden="false" customHeight="false" outlineLevel="0" collapsed="false">
      <c r="A899" s="32"/>
      <c r="B899" s="29"/>
      <c r="C899" s="29"/>
      <c r="D899" s="29"/>
      <c r="E899" s="28" t="str">
        <f aca="false">IF($D899="","",IFERROR(INDEX(المنتجات!$C$5:$C$24,MATCH($D899,المنتجات!$A$5:$A$24,0)),"كود غير موجود"))</f>
        <v/>
      </c>
      <c r="F899" s="28" t="str">
        <f aca="false">IF($D899="","",IFERROR(INDEX(المنتجات!$B$5:$B$24,MATCH($D899,المنتجات!$A$5:$A$24,0)),""))</f>
        <v/>
      </c>
      <c r="G899" s="24"/>
      <c r="H899" s="25" t="str">
        <f aca="false">IF($D899="","",IFERROR(INDEX(المنتجات!$F$5:$F$24,MATCH($D899,المنتجات!$A$5:$A$24,0)),0))</f>
        <v/>
      </c>
      <c r="I899" s="30"/>
      <c r="J899" s="25" t="str">
        <f aca="false">IF($D899="","",N(G899)*H899-N(I899))</f>
        <v/>
      </c>
      <c r="K899" s="25" t="str">
        <f aca="false">IF($D899="","",N(G899)*IFERROR(INDEX(المنتجات!$H$5:$H$24,MATCH($D899,المنتجات!$A$5:$A$24,0)),0))</f>
        <v/>
      </c>
      <c r="L899" s="25" t="str">
        <f aca="false">IF($D899="","",J899-K899)</f>
        <v/>
      </c>
      <c r="M899" s="29"/>
      <c r="N899" s="29"/>
    </row>
    <row r="900" customFormat="false" ht="15" hidden="false" customHeight="false" outlineLevel="0" collapsed="false">
      <c r="A900" s="32"/>
      <c r="B900" s="29"/>
      <c r="C900" s="29"/>
      <c r="D900" s="29"/>
      <c r="E900" s="28" t="str">
        <f aca="false">IF($D900="","",IFERROR(INDEX(المنتجات!$C$5:$C$24,MATCH($D900,المنتجات!$A$5:$A$24,0)),"كود غير موجود"))</f>
        <v/>
      </c>
      <c r="F900" s="28" t="str">
        <f aca="false">IF($D900="","",IFERROR(INDEX(المنتجات!$B$5:$B$24,MATCH($D900,المنتجات!$A$5:$A$24,0)),""))</f>
        <v/>
      </c>
      <c r="G900" s="24"/>
      <c r="H900" s="25" t="str">
        <f aca="false">IF($D900="","",IFERROR(INDEX(المنتجات!$F$5:$F$24,MATCH($D900,المنتجات!$A$5:$A$24,0)),0))</f>
        <v/>
      </c>
      <c r="I900" s="30"/>
      <c r="J900" s="25" t="str">
        <f aca="false">IF($D900="","",N(G900)*H900-N(I900))</f>
        <v/>
      </c>
      <c r="K900" s="25" t="str">
        <f aca="false">IF($D900="","",N(G900)*IFERROR(INDEX(المنتجات!$H$5:$H$24,MATCH($D900,المنتجات!$A$5:$A$24,0)),0))</f>
        <v/>
      </c>
      <c r="L900" s="25" t="str">
        <f aca="false">IF($D900="","",J900-K900)</f>
        <v/>
      </c>
      <c r="M900" s="29"/>
      <c r="N900" s="29"/>
    </row>
    <row r="901" customFormat="false" ht="15" hidden="false" customHeight="false" outlineLevel="0" collapsed="false">
      <c r="A901" s="32"/>
      <c r="B901" s="29"/>
      <c r="C901" s="29"/>
      <c r="D901" s="29"/>
      <c r="E901" s="28" t="str">
        <f aca="false">IF($D901="","",IFERROR(INDEX(المنتجات!$C$5:$C$24,MATCH($D901,المنتجات!$A$5:$A$24,0)),"كود غير موجود"))</f>
        <v/>
      </c>
      <c r="F901" s="28" t="str">
        <f aca="false">IF($D901="","",IFERROR(INDEX(المنتجات!$B$5:$B$24,MATCH($D901,المنتجات!$A$5:$A$24,0)),""))</f>
        <v/>
      </c>
      <c r="G901" s="24"/>
      <c r="H901" s="25" t="str">
        <f aca="false">IF($D901="","",IFERROR(INDEX(المنتجات!$F$5:$F$24,MATCH($D901,المنتجات!$A$5:$A$24,0)),0))</f>
        <v/>
      </c>
      <c r="I901" s="30"/>
      <c r="J901" s="25" t="str">
        <f aca="false">IF($D901="","",N(G901)*H901-N(I901))</f>
        <v/>
      </c>
      <c r="K901" s="25" t="str">
        <f aca="false">IF($D901="","",N(G901)*IFERROR(INDEX(المنتجات!$H$5:$H$24,MATCH($D901,المنتجات!$A$5:$A$24,0)),0))</f>
        <v/>
      </c>
      <c r="L901" s="25" t="str">
        <f aca="false">IF($D901="","",J901-K901)</f>
        <v/>
      </c>
      <c r="M901" s="29"/>
      <c r="N901" s="29"/>
    </row>
    <row r="902" customFormat="false" ht="15" hidden="false" customHeight="false" outlineLevel="0" collapsed="false">
      <c r="A902" s="32"/>
      <c r="B902" s="29"/>
      <c r="C902" s="29"/>
      <c r="D902" s="29"/>
      <c r="E902" s="28" t="str">
        <f aca="false">IF($D902="","",IFERROR(INDEX(المنتجات!$C$5:$C$24,MATCH($D902,المنتجات!$A$5:$A$24,0)),"كود غير موجود"))</f>
        <v/>
      </c>
      <c r="F902" s="28" t="str">
        <f aca="false">IF($D902="","",IFERROR(INDEX(المنتجات!$B$5:$B$24,MATCH($D902,المنتجات!$A$5:$A$24,0)),""))</f>
        <v/>
      </c>
      <c r="G902" s="24"/>
      <c r="H902" s="25" t="str">
        <f aca="false">IF($D902="","",IFERROR(INDEX(المنتجات!$F$5:$F$24,MATCH($D902,المنتجات!$A$5:$A$24,0)),0))</f>
        <v/>
      </c>
      <c r="I902" s="30"/>
      <c r="J902" s="25" t="str">
        <f aca="false">IF($D902="","",N(G902)*H902-N(I902))</f>
        <v/>
      </c>
      <c r="K902" s="25" t="str">
        <f aca="false">IF($D902="","",N(G902)*IFERROR(INDEX(المنتجات!$H$5:$H$24,MATCH($D902,المنتجات!$A$5:$A$24,0)),0))</f>
        <v/>
      </c>
      <c r="L902" s="25" t="str">
        <f aca="false">IF($D902="","",J902-K902)</f>
        <v/>
      </c>
      <c r="M902" s="29"/>
      <c r="N902" s="29"/>
    </row>
    <row r="903" customFormat="false" ht="15" hidden="false" customHeight="false" outlineLevel="0" collapsed="false">
      <c r="A903" s="32"/>
      <c r="B903" s="29"/>
      <c r="C903" s="29"/>
      <c r="D903" s="29"/>
      <c r="E903" s="28" t="str">
        <f aca="false">IF($D903="","",IFERROR(INDEX(المنتجات!$C$5:$C$24,MATCH($D903,المنتجات!$A$5:$A$24,0)),"كود غير موجود"))</f>
        <v/>
      </c>
      <c r="F903" s="28" t="str">
        <f aca="false">IF($D903="","",IFERROR(INDEX(المنتجات!$B$5:$B$24,MATCH($D903,المنتجات!$A$5:$A$24,0)),""))</f>
        <v/>
      </c>
      <c r="G903" s="24"/>
      <c r="H903" s="25" t="str">
        <f aca="false">IF($D903="","",IFERROR(INDEX(المنتجات!$F$5:$F$24,MATCH($D903,المنتجات!$A$5:$A$24,0)),0))</f>
        <v/>
      </c>
      <c r="I903" s="30"/>
      <c r="J903" s="25" t="str">
        <f aca="false">IF($D903="","",N(G903)*H903-N(I903))</f>
        <v/>
      </c>
      <c r="K903" s="25" t="str">
        <f aca="false">IF($D903="","",N(G903)*IFERROR(INDEX(المنتجات!$H$5:$H$24,MATCH($D903,المنتجات!$A$5:$A$24,0)),0))</f>
        <v/>
      </c>
      <c r="L903" s="25" t="str">
        <f aca="false">IF($D903="","",J903-K903)</f>
        <v/>
      </c>
      <c r="M903" s="29"/>
      <c r="N903" s="29"/>
    </row>
    <row r="904" customFormat="false" ht="15" hidden="false" customHeight="false" outlineLevel="0" collapsed="false">
      <c r="A904" s="32"/>
      <c r="B904" s="29"/>
      <c r="C904" s="29"/>
      <c r="D904" s="29"/>
      <c r="E904" s="28" t="str">
        <f aca="false">IF($D904="","",IFERROR(INDEX(المنتجات!$C$5:$C$24,MATCH($D904,المنتجات!$A$5:$A$24,0)),"كود غير موجود"))</f>
        <v/>
      </c>
      <c r="F904" s="28" t="str">
        <f aca="false">IF($D904="","",IFERROR(INDEX(المنتجات!$B$5:$B$24,MATCH($D904,المنتجات!$A$5:$A$24,0)),""))</f>
        <v/>
      </c>
      <c r="G904" s="24"/>
      <c r="H904" s="25" t="str">
        <f aca="false">IF($D904="","",IFERROR(INDEX(المنتجات!$F$5:$F$24,MATCH($D904,المنتجات!$A$5:$A$24,0)),0))</f>
        <v/>
      </c>
      <c r="I904" s="30"/>
      <c r="J904" s="25" t="str">
        <f aca="false">IF($D904="","",N(G904)*H904-N(I904))</f>
        <v/>
      </c>
      <c r="K904" s="25" t="str">
        <f aca="false">IF($D904="","",N(G904)*IFERROR(INDEX(المنتجات!$H$5:$H$24,MATCH($D904,المنتجات!$A$5:$A$24,0)),0))</f>
        <v/>
      </c>
      <c r="L904" s="25" t="str">
        <f aca="false">IF($D904="","",J904-K904)</f>
        <v/>
      </c>
      <c r="M904" s="29"/>
      <c r="N904" s="29"/>
    </row>
    <row r="905" customFormat="false" ht="15" hidden="false" customHeight="false" outlineLevel="0" collapsed="false">
      <c r="A905" s="32"/>
      <c r="B905" s="29"/>
      <c r="C905" s="29"/>
      <c r="D905" s="29"/>
      <c r="E905" s="28" t="str">
        <f aca="false">IF($D905="","",IFERROR(INDEX(المنتجات!$C$5:$C$24,MATCH($D905,المنتجات!$A$5:$A$24,0)),"كود غير موجود"))</f>
        <v/>
      </c>
      <c r="F905" s="28" t="str">
        <f aca="false">IF($D905="","",IFERROR(INDEX(المنتجات!$B$5:$B$24,MATCH($D905,المنتجات!$A$5:$A$24,0)),""))</f>
        <v/>
      </c>
      <c r="G905" s="24"/>
      <c r="H905" s="25" t="str">
        <f aca="false">IF($D905="","",IFERROR(INDEX(المنتجات!$F$5:$F$24,MATCH($D905,المنتجات!$A$5:$A$24,0)),0))</f>
        <v/>
      </c>
      <c r="I905" s="30"/>
      <c r="J905" s="25" t="str">
        <f aca="false">IF($D905="","",N(G905)*H905-N(I905))</f>
        <v/>
      </c>
      <c r="K905" s="25" t="str">
        <f aca="false">IF($D905="","",N(G905)*IFERROR(INDEX(المنتجات!$H$5:$H$24,MATCH($D905,المنتجات!$A$5:$A$24,0)),0))</f>
        <v/>
      </c>
      <c r="L905" s="25" t="str">
        <f aca="false">IF($D905="","",J905-K905)</f>
        <v/>
      </c>
      <c r="M905" s="29"/>
      <c r="N905" s="29"/>
    </row>
    <row r="906" customFormat="false" ht="15" hidden="false" customHeight="false" outlineLevel="0" collapsed="false">
      <c r="A906" s="32"/>
      <c r="B906" s="29"/>
      <c r="C906" s="29"/>
      <c r="D906" s="29"/>
      <c r="E906" s="28" t="str">
        <f aca="false">IF($D906="","",IFERROR(INDEX(المنتجات!$C$5:$C$24,MATCH($D906,المنتجات!$A$5:$A$24,0)),"كود غير موجود"))</f>
        <v/>
      </c>
      <c r="F906" s="28" t="str">
        <f aca="false">IF($D906="","",IFERROR(INDEX(المنتجات!$B$5:$B$24,MATCH($D906,المنتجات!$A$5:$A$24,0)),""))</f>
        <v/>
      </c>
      <c r="G906" s="24"/>
      <c r="H906" s="25" t="str">
        <f aca="false">IF($D906="","",IFERROR(INDEX(المنتجات!$F$5:$F$24,MATCH($D906,المنتجات!$A$5:$A$24,0)),0))</f>
        <v/>
      </c>
      <c r="I906" s="30"/>
      <c r="J906" s="25" t="str">
        <f aca="false">IF($D906="","",N(G906)*H906-N(I906))</f>
        <v/>
      </c>
      <c r="K906" s="25" t="str">
        <f aca="false">IF($D906="","",N(G906)*IFERROR(INDEX(المنتجات!$H$5:$H$24,MATCH($D906,المنتجات!$A$5:$A$24,0)),0))</f>
        <v/>
      </c>
      <c r="L906" s="25" t="str">
        <f aca="false">IF($D906="","",J906-K906)</f>
        <v/>
      </c>
      <c r="M906" s="29"/>
      <c r="N906" s="29"/>
    </row>
    <row r="907" customFormat="false" ht="15" hidden="false" customHeight="false" outlineLevel="0" collapsed="false">
      <c r="A907" s="32"/>
      <c r="B907" s="29"/>
      <c r="C907" s="29"/>
      <c r="D907" s="29"/>
      <c r="E907" s="28" t="str">
        <f aca="false">IF($D907="","",IFERROR(INDEX(المنتجات!$C$5:$C$24,MATCH($D907,المنتجات!$A$5:$A$24,0)),"كود غير موجود"))</f>
        <v/>
      </c>
      <c r="F907" s="28" t="str">
        <f aca="false">IF($D907="","",IFERROR(INDEX(المنتجات!$B$5:$B$24,MATCH($D907,المنتجات!$A$5:$A$24,0)),""))</f>
        <v/>
      </c>
      <c r="G907" s="24"/>
      <c r="H907" s="25" t="str">
        <f aca="false">IF($D907="","",IFERROR(INDEX(المنتجات!$F$5:$F$24,MATCH($D907,المنتجات!$A$5:$A$24,0)),0))</f>
        <v/>
      </c>
      <c r="I907" s="30"/>
      <c r="J907" s="25" t="str">
        <f aca="false">IF($D907="","",N(G907)*H907-N(I907))</f>
        <v/>
      </c>
      <c r="K907" s="25" t="str">
        <f aca="false">IF($D907="","",N(G907)*IFERROR(INDEX(المنتجات!$H$5:$H$24,MATCH($D907,المنتجات!$A$5:$A$24,0)),0))</f>
        <v/>
      </c>
      <c r="L907" s="25" t="str">
        <f aca="false">IF($D907="","",J907-K907)</f>
        <v/>
      </c>
      <c r="M907" s="29"/>
      <c r="N907" s="29"/>
    </row>
    <row r="908" customFormat="false" ht="15" hidden="false" customHeight="false" outlineLevel="0" collapsed="false">
      <c r="A908" s="32"/>
      <c r="B908" s="29"/>
      <c r="C908" s="29"/>
      <c r="D908" s="29"/>
      <c r="E908" s="28" t="str">
        <f aca="false">IF($D908="","",IFERROR(INDEX(المنتجات!$C$5:$C$24,MATCH($D908,المنتجات!$A$5:$A$24,0)),"كود غير موجود"))</f>
        <v/>
      </c>
      <c r="F908" s="28" t="str">
        <f aca="false">IF($D908="","",IFERROR(INDEX(المنتجات!$B$5:$B$24,MATCH($D908,المنتجات!$A$5:$A$24,0)),""))</f>
        <v/>
      </c>
      <c r="G908" s="24"/>
      <c r="H908" s="25" t="str">
        <f aca="false">IF($D908="","",IFERROR(INDEX(المنتجات!$F$5:$F$24,MATCH($D908,المنتجات!$A$5:$A$24,0)),0))</f>
        <v/>
      </c>
      <c r="I908" s="30"/>
      <c r="J908" s="25" t="str">
        <f aca="false">IF($D908="","",N(G908)*H908-N(I908))</f>
        <v/>
      </c>
      <c r="K908" s="25" t="str">
        <f aca="false">IF($D908="","",N(G908)*IFERROR(INDEX(المنتجات!$H$5:$H$24,MATCH($D908,المنتجات!$A$5:$A$24,0)),0))</f>
        <v/>
      </c>
      <c r="L908" s="25" t="str">
        <f aca="false">IF($D908="","",J908-K908)</f>
        <v/>
      </c>
      <c r="M908" s="29"/>
      <c r="N908" s="29"/>
    </row>
    <row r="909" customFormat="false" ht="15" hidden="false" customHeight="false" outlineLevel="0" collapsed="false">
      <c r="A909" s="32"/>
      <c r="B909" s="29"/>
      <c r="C909" s="29"/>
      <c r="D909" s="29"/>
      <c r="E909" s="28" t="str">
        <f aca="false">IF($D909="","",IFERROR(INDEX(المنتجات!$C$5:$C$24,MATCH($D909,المنتجات!$A$5:$A$24,0)),"كود غير موجود"))</f>
        <v/>
      </c>
      <c r="F909" s="28" t="str">
        <f aca="false">IF($D909="","",IFERROR(INDEX(المنتجات!$B$5:$B$24,MATCH($D909,المنتجات!$A$5:$A$24,0)),""))</f>
        <v/>
      </c>
      <c r="G909" s="24"/>
      <c r="H909" s="25" t="str">
        <f aca="false">IF($D909="","",IFERROR(INDEX(المنتجات!$F$5:$F$24,MATCH($D909,المنتجات!$A$5:$A$24,0)),0))</f>
        <v/>
      </c>
      <c r="I909" s="30"/>
      <c r="J909" s="25" t="str">
        <f aca="false">IF($D909="","",N(G909)*H909-N(I909))</f>
        <v/>
      </c>
      <c r="K909" s="25" t="str">
        <f aca="false">IF($D909="","",N(G909)*IFERROR(INDEX(المنتجات!$H$5:$H$24,MATCH($D909,المنتجات!$A$5:$A$24,0)),0))</f>
        <v/>
      </c>
      <c r="L909" s="25" t="str">
        <f aca="false">IF($D909="","",J909-K909)</f>
        <v/>
      </c>
      <c r="M909" s="29"/>
      <c r="N909" s="29"/>
    </row>
    <row r="910" customFormat="false" ht="15" hidden="false" customHeight="false" outlineLevel="0" collapsed="false">
      <c r="A910" s="32"/>
      <c r="B910" s="29"/>
      <c r="C910" s="29"/>
      <c r="D910" s="29"/>
      <c r="E910" s="28" t="str">
        <f aca="false">IF($D910="","",IFERROR(INDEX(المنتجات!$C$5:$C$24,MATCH($D910,المنتجات!$A$5:$A$24,0)),"كود غير موجود"))</f>
        <v/>
      </c>
      <c r="F910" s="28" t="str">
        <f aca="false">IF($D910="","",IFERROR(INDEX(المنتجات!$B$5:$B$24,MATCH($D910,المنتجات!$A$5:$A$24,0)),""))</f>
        <v/>
      </c>
      <c r="G910" s="24"/>
      <c r="H910" s="25" t="str">
        <f aca="false">IF($D910="","",IFERROR(INDEX(المنتجات!$F$5:$F$24,MATCH($D910,المنتجات!$A$5:$A$24,0)),0))</f>
        <v/>
      </c>
      <c r="I910" s="30"/>
      <c r="J910" s="25" t="str">
        <f aca="false">IF($D910="","",N(G910)*H910-N(I910))</f>
        <v/>
      </c>
      <c r="K910" s="25" t="str">
        <f aca="false">IF($D910="","",N(G910)*IFERROR(INDEX(المنتجات!$H$5:$H$24,MATCH($D910,المنتجات!$A$5:$A$24,0)),0))</f>
        <v/>
      </c>
      <c r="L910" s="25" t="str">
        <f aca="false">IF($D910="","",J910-K910)</f>
        <v/>
      </c>
      <c r="M910" s="29"/>
      <c r="N910" s="29"/>
    </row>
    <row r="911" customFormat="false" ht="15" hidden="false" customHeight="false" outlineLevel="0" collapsed="false">
      <c r="A911" s="32"/>
      <c r="B911" s="29"/>
      <c r="C911" s="29"/>
      <c r="D911" s="29"/>
      <c r="E911" s="28" t="str">
        <f aca="false">IF($D911="","",IFERROR(INDEX(المنتجات!$C$5:$C$24,MATCH($D911,المنتجات!$A$5:$A$24,0)),"كود غير موجود"))</f>
        <v/>
      </c>
      <c r="F911" s="28" t="str">
        <f aca="false">IF($D911="","",IFERROR(INDEX(المنتجات!$B$5:$B$24,MATCH($D911,المنتجات!$A$5:$A$24,0)),""))</f>
        <v/>
      </c>
      <c r="G911" s="24"/>
      <c r="H911" s="25" t="str">
        <f aca="false">IF($D911="","",IFERROR(INDEX(المنتجات!$F$5:$F$24,MATCH($D911,المنتجات!$A$5:$A$24,0)),0))</f>
        <v/>
      </c>
      <c r="I911" s="30"/>
      <c r="J911" s="25" t="str">
        <f aca="false">IF($D911="","",N(G911)*H911-N(I911))</f>
        <v/>
      </c>
      <c r="K911" s="25" t="str">
        <f aca="false">IF($D911="","",N(G911)*IFERROR(INDEX(المنتجات!$H$5:$H$24,MATCH($D911,المنتجات!$A$5:$A$24,0)),0))</f>
        <v/>
      </c>
      <c r="L911" s="25" t="str">
        <f aca="false">IF($D911="","",J911-K911)</f>
        <v/>
      </c>
      <c r="M911" s="29"/>
      <c r="N911" s="29"/>
    </row>
    <row r="912" customFormat="false" ht="15" hidden="false" customHeight="false" outlineLevel="0" collapsed="false">
      <c r="A912" s="32"/>
      <c r="B912" s="29"/>
      <c r="C912" s="29"/>
      <c r="D912" s="29"/>
      <c r="E912" s="28" t="str">
        <f aca="false">IF($D912="","",IFERROR(INDEX(المنتجات!$C$5:$C$24,MATCH($D912,المنتجات!$A$5:$A$24,0)),"كود غير موجود"))</f>
        <v/>
      </c>
      <c r="F912" s="28" t="str">
        <f aca="false">IF($D912="","",IFERROR(INDEX(المنتجات!$B$5:$B$24,MATCH($D912,المنتجات!$A$5:$A$24,0)),""))</f>
        <v/>
      </c>
      <c r="G912" s="24"/>
      <c r="H912" s="25" t="str">
        <f aca="false">IF($D912="","",IFERROR(INDEX(المنتجات!$F$5:$F$24,MATCH($D912,المنتجات!$A$5:$A$24,0)),0))</f>
        <v/>
      </c>
      <c r="I912" s="30"/>
      <c r="J912" s="25" t="str">
        <f aca="false">IF($D912="","",N(G912)*H912-N(I912))</f>
        <v/>
      </c>
      <c r="K912" s="25" t="str">
        <f aca="false">IF($D912="","",N(G912)*IFERROR(INDEX(المنتجات!$H$5:$H$24,MATCH($D912,المنتجات!$A$5:$A$24,0)),0))</f>
        <v/>
      </c>
      <c r="L912" s="25" t="str">
        <f aca="false">IF($D912="","",J912-K912)</f>
        <v/>
      </c>
      <c r="M912" s="29"/>
      <c r="N912" s="29"/>
    </row>
    <row r="913" customFormat="false" ht="15" hidden="false" customHeight="false" outlineLevel="0" collapsed="false">
      <c r="A913" s="32"/>
      <c r="B913" s="29"/>
      <c r="C913" s="29"/>
      <c r="D913" s="29"/>
      <c r="E913" s="28" t="str">
        <f aca="false">IF($D913="","",IFERROR(INDEX(المنتجات!$C$5:$C$24,MATCH($D913,المنتجات!$A$5:$A$24,0)),"كود غير موجود"))</f>
        <v/>
      </c>
      <c r="F913" s="28" t="str">
        <f aca="false">IF($D913="","",IFERROR(INDEX(المنتجات!$B$5:$B$24,MATCH($D913,المنتجات!$A$5:$A$24,0)),""))</f>
        <v/>
      </c>
      <c r="G913" s="24"/>
      <c r="H913" s="25" t="str">
        <f aca="false">IF($D913="","",IFERROR(INDEX(المنتجات!$F$5:$F$24,MATCH($D913,المنتجات!$A$5:$A$24,0)),0))</f>
        <v/>
      </c>
      <c r="I913" s="30"/>
      <c r="J913" s="25" t="str">
        <f aca="false">IF($D913="","",N(G913)*H913-N(I913))</f>
        <v/>
      </c>
      <c r="K913" s="25" t="str">
        <f aca="false">IF($D913="","",N(G913)*IFERROR(INDEX(المنتجات!$H$5:$H$24,MATCH($D913,المنتجات!$A$5:$A$24,0)),0))</f>
        <v/>
      </c>
      <c r="L913" s="25" t="str">
        <f aca="false">IF($D913="","",J913-K913)</f>
        <v/>
      </c>
      <c r="M913" s="29"/>
      <c r="N913" s="29"/>
    </row>
    <row r="914" customFormat="false" ht="15" hidden="false" customHeight="false" outlineLevel="0" collapsed="false">
      <c r="A914" s="32"/>
      <c r="B914" s="29"/>
      <c r="C914" s="29"/>
      <c r="D914" s="29"/>
      <c r="E914" s="28" t="str">
        <f aca="false">IF($D914="","",IFERROR(INDEX(المنتجات!$C$5:$C$24,MATCH($D914,المنتجات!$A$5:$A$24,0)),"كود غير موجود"))</f>
        <v/>
      </c>
      <c r="F914" s="28" t="str">
        <f aca="false">IF($D914="","",IFERROR(INDEX(المنتجات!$B$5:$B$24,MATCH($D914,المنتجات!$A$5:$A$24,0)),""))</f>
        <v/>
      </c>
      <c r="G914" s="24"/>
      <c r="H914" s="25" t="str">
        <f aca="false">IF($D914="","",IFERROR(INDEX(المنتجات!$F$5:$F$24,MATCH($D914,المنتجات!$A$5:$A$24,0)),0))</f>
        <v/>
      </c>
      <c r="I914" s="30"/>
      <c r="J914" s="25" t="str">
        <f aca="false">IF($D914="","",N(G914)*H914-N(I914))</f>
        <v/>
      </c>
      <c r="K914" s="25" t="str">
        <f aca="false">IF($D914="","",N(G914)*IFERROR(INDEX(المنتجات!$H$5:$H$24,MATCH($D914,المنتجات!$A$5:$A$24,0)),0))</f>
        <v/>
      </c>
      <c r="L914" s="25" t="str">
        <f aca="false">IF($D914="","",J914-K914)</f>
        <v/>
      </c>
      <c r="M914" s="29"/>
      <c r="N914" s="29"/>
    </row>
    <row r="915" customFormat="false" ht="15" hidden="false" customHeight="false" outlineLevel="0" collapsed="false">
      <c r="A915" s="32"/>
      <c r="B915" s="29"/>
      <c r="C915" s="29"/>
      <c r="D915" s="29"/>
      <c r="E915" s="28" t="str">
        <f aca="false">IF($D915="","",IFERROR(INDEX(المنتجات!$C$5:$C$24,MATCH($D915,المنتجات!$A$5:$A$24,0)),"كود غير موجود"))</f>
        <v/>
      </c>
      <c r="F915" s="28" t="str">
        <f aca="false">IF($D915="","",IFERROR(INDEX(المنتجات!$B$5:$B$24,MATCH($D915,المنتجات!$A$5:$A$24,0)),""))</f>
        <v/>
      </c>
      <c r="G915" s="24"/>
      <c r="H915" s="25" t="str">
        <f aca="false">IF($D915="","",IFERROR(INDEX(المنتجات!$F$5:$F$24,MATCH($D915,المنتجات!$A$5:$A$24,0)),0))</f>
        <v/>
      </c>
      <c r="I915" s="30"/>
      <c r="J915" s="25" t="str">
        <f aca="false">IF($D915="","",N(G915)*H915-N(I915))</f>
        <v/>
      </c>
      <c r="K915" s="25" t="str">
        <f aca="false">IF($D915="","",N(G915)*IFERROR(INDEX(المنتجات!$H$5:$H$24,MATCH($D915,المنتجات!$A$5:$A$24,0)),0))</f>
        <v/>
      </c>
      <c r="L915" s="25" t="str">
        <f aca="false">IF($D915="","",J915-K915)</f>
        <v/>
      </c>
      <c r="M915" s="29"/>
      <c r="N915" s="29"/>
    </row>
    <row r="916" customFormat="false" ht="15" hidden="false" customHeight="false" outlineLevel="0" collapsed="false">
      <c r="A916" s="32"/>
      <c r="B916" s="29"/>
      <c r="C916" s="29"/>
      <c r="D916" s="29"/>
      <c r="E916" s="28" t="str">
        <f aca="false">IF($D916="","",IFERROR(INDEX(المنتجات!$C$5:$C$24,MATCH($D916,المنتجات!$A$5:$A$24,0)),"كود غير موجود"))</f>
        <v/>
      </c>
      <c r="F916" s="28" t="str">
        <f aca="false">IF($D916="","",IFERROR(INDEX(المنتجات!$B$5:$B$24,MATCH($D916,المنتجات!$A$5:$A$24,0)),""))</f>
        <v/>
      </c>
      <c r="G916" s="24"/>
      <c r="H916" s="25" t="str">
        <f aca="false">IF($D916="","",IFERROR(INDEX(المنتجات!$F$5:$F$24,MATCH($D916,المنتجات!$A$5:$A$24,0)),0))</f>
        <v/>
      </c>
      <c r="I916" s="30"/>
      <c r="J916" s="25" t="str">
        <f aca="false">IF($D916="","",N(G916)*H916-N(I916))</f>
        <v/>
      </c>
      <c r="K916" s="25" t="str">
        <f aca="false">IF($D916="","",N(G916)*IFERROR(INDEX(المنتجات!$H$5:$H$24,MATCH($D916,المنتجات!$A$5:$A$24,0)),0))</f>
        <v/>
      </c>
      <c r="L916" s="25" t="str">
        <f aca="false">IF($D916="","",J916-K916)</f>
        <v/>
      </c>
      <c r="M916" s="29"/>
      <c r="N916" s="29"/>
    </row>
    <row r="917" customFormat="false" ht="15" hidden="false" customHeight="false" outlineLevel="0" collapsed="false">
      <c r="A917" s="32"/>
      <c r="B917" s="29"/>
      <c r="C917" s="29"/>
      <c r="D917" s="29"/>
      <c r="E917" s="28" t="str">
        <f aca="false">IF($D917="","",IFERROR(INDEX(المنتجات!$C$5:$C$24,MATCH($D917,المنتجات!$A$5:$A$24,0)),"كود غير موجود"))</f>
        <v/>
      </c>
      <c r="F917" s="28" t="str">
        <f aca="false">IF($D917="","",IFERROR(INDEX(المنتجات!$B$5:$B$24,MATCH($D917,المنتجات!$A$5:$A$24,0)),""))</f>
        <v/>
      </c>
      <c r="G917" s="24"/>
      <c r="H917" s="25" t="str">
        <f aca="false">IF($D917="","",IFERROR(INDEX(المنتجات!$F$5:$F$24,MATCH($D917,المنتجات!$A$5:$A$24,0)),0))</f>
        <v/>
      </c>
      <c r="I917" s="30"/>
      <c r="J917" s="25" t="str">
        <f aca="false">IF($D917="","",N(G917)*H917-N(I917))</f>
        <v/>
      </c>
      <c r="K917" s="25" t="str">
        <f aca="false">IF($D917="","",N(G917)*IFERROR(INDEX(المنتجات!$H$5:$H$24,MATCH($D917,المنتجات!$A$5:$A$24,0)),0))</f>
        <v/>
      </c>
      <c r="L917" s="25" t="str">
        <f aca="false">IF($D917="","",J917-K917)</f>
        <v/>
      </c>
      <c r="M917" s="29"/>
      <c r="N917" s="29"/>
    </row>
    <row r="918" customFormat="false" ht="15" hidden="false" customHeight="false" outlineLevel="0" collapsed="false">
      <c r="A918" s="32"/>
      <c r="B918" s="29"/>
      <c r="C918" s="29"/>
      <c r="D918" s="29"/>
      <c r="E918" s="28" t="str">
        <f aca="false">IF($D918="","",IFERROR(INDEX(المنتجات!$C$5:$C$24,MATCH($D918,المنتجات!$A$5:$A$24,0)),"كود غير موجود"))</f>
        <v/>
      </c>
      <c r="F918" s="28" t="str">
        <f aca="false">IF($D918="","",IFERROR(INDEX(المنتجات!$B$5:$B$24,MATCH($D918,المنتجات!$A$5:$A$24,0)),""))</f>
        <v/>
      </c>
      <c r="G918" s="24"/>
      <c r="H918" s="25" t="str">
        <f aca="false">IF($D918="","",IFERROR(INDEX(المنتجات!$F$5:$F$24,MATCH($D918,المنتجات!$A$5:$A$24,0)),0))</f>
        <v/>
      </c>
      <c r="I918" s="30"/>
      <c r="J918" s="25" t="str">
        <f aca="false">IF($D918="","",N(G918)*H918-N(I918))</f>
        <v/>
      </c>
      <c r="K918" s="25" t="str">
        <f aca="false">IF($D918="","",N(G918)*IFERROR(INDEX(المنتجات!$H$5:$H$24,MATCH($D918,المنتجات!$A$5:$A$24,0)),0))</f>
        <v/>
      </c>
      <c r="L918" s="25" t="str">
        <f aca="false">IF($D918="","",J918-K918)</f>
        <v/>
      </c>
      <c r="M918" s="29"/>
      <c r="N918" s="29"/>
    </row>
    <row r="919" customFormat="false" ht="15" hidden="false" customHeight="false" outlineLevel="0" collapsed="false">
      <c r="A919" s="32"/>
      <c r="B919" s="29"/>
      <c r="C919" s="29"/>
      <c r="D919" s="29"/>
      <c r="E919" s="28" t="str">
        <f aca="false">IF($D919="","",IFERROR(INDEX(المنتجات!$C$5:$C$24,MATCH($D919,المنتجات!$A$5:$A$24,0)),"كود غير موجود"))</f>
        <v/>
      </c>
      <c r="F919" s="28" t="str">
        <f aca="false">IF($D919="","",IFERROR(INDEX(المنتجات!$B$5:$B$24,MATCH($D919,المنتجات!$A$5:$A$24,0)),""))</f>
        <v/>
      </c>
      <c r="G919" s="24"/>
      <c r="H919" s="25" t="str">
        <f aca="false">IF($D919="","",IFERROR(INDEX(المنتجات!$F$5:$F$24,MATCH($D919,المنتجات!$A$5:$A$24,0)),0))</f>
        <v/>
      </c>
      <c r="I919" s="30"/>
      <c r="J919" s="25" t="str">
        <f aca="false">IF($D919="","",N(G919)*H919-N(I919))</f>
        <v/>
      </c>
      <c r="K919" s="25" t="str">
        <f aca="false">IF($D919="","",N(G919)*IFERROR(INDEX(المنتجات!$H$5:$H$24,MATCH($D919,المنتجات!$A$5:$A$24,0)),0))</f>
        <v/>
      </c>
      <c r="L919" s="25" t="str">
        <f aca="false">IF($D919="","",J919-K919)</f>
        <v/>
      </c>
      <c r="M919" s="29"/>
      <c r="N919" s="29"/>
    </row>
    <row r="920" customFormat="false" ht="15" hidden="false" customHeight="false" outlineLevel="0" collapsed="false">
      <c r="A920" s="32"/>
      <c r="B920" s="29"/>
      <c r="C920" s="29"/>
      <c r="D920" s="29"/>
      <c r="E920" s="28" t="str">
        <f aca="false">IF($D920="","",IFERROR(INDEX(المنتجات!$C$5:$C$24,MATCH($D920,المنتجات!$A$5:$A$24,0)),"كود غير موجود"))</f>
        <v/>
      </c>
      <c r="F920" s="28" t="str">
        <f aca="false">IF($D920="","",IFERROR(INDEX(المنتجات!$B$5:$B$24,MATCH($D920,المنتجات!$A$5:$A$24,0)),""))</f>
        <v/>
      </c>
      <c r="G920" s="24"/>
      <c r="H920" s="25" t="str">
        <f aca="false">IF($D920="","",IFERROR(INDEX(المنتجات!$F$5:$F$24,MATCH($D920,المنتجات!$A$5:$A$24,0)),0))</f>
        <v/>
      </c>
      <c r="I920" s="30"/>
      <c r="J920" s="25" t="str">
        <f aca="false">IF($D920="","",N(G920)*H920-N(I920))</f>
        <v/>
      </c>
      <c r="K920" s="25" t="str">
        <f aca="false">IF($D920="","",N(G920)*IFERROR(INDEX(المنتجات!$H$5:$H$24,MATCH($D920,المنتجات!$A$5:$A$24,0)),0))</f>
        <v/>
      </c>
      <c r="L920" s="25" t="str">
        <f aca="false">IF($D920="","",J920-K920)</f>
        <v/>
      </c>
      <c r="M920" s="29"/>
      <c r="N920" s="29"/>
    </row>
    <row r="921" customFormat="false" ht="15" hidden="false" customHeight="false" outlineLevel="0" collapsed="false">
      <c r="A921" s="32"/>
      <c r="B921" s="29"/>
      <c r="C921" s="29"/>
      <c r="D921" s="29"/>
      <c r="E921" s="28" t="str">
        <f aca="false">IF($D921="","",IFERROR(INDEX(المنتجات!$C$5:$C$24,MATCH($D921,المنتجات!$A$5:$A$24,0)),"كود غير موجود"))</f>
        <v/>
      </c>
      <c r="F921" s="28" t="str">
        <f aca="false">IF($D921="","",IFERROR(INDEX(المنتجات!$B$5:$B$24,MATCH($D921,المنتجات!$A$5:$A$24,0)),""))</f>
        <v/>
      </c>
      <c r="G921" s="24"/>
      <c r="H921" s="25" t="str">
        <f aca="false">IF($D921="","",IFERROR(INDEX(المنتجات!$F$5:$F$24,MATCH($D921,المنتجات!$A$5:$A$24,0)),0))</f>
        <v/>
      </c>
      <c r="I921" s="30"/>
      <c r="J921" s="25" t="str">
        <f aca="false">IF($D921="","",N(G921)*H921-N(I921))</f>
        <v/>
      </c>
      <c r="K921" s="25" t="str">
        <f aca="false">IF($D921="","",N(G921)*IFERROR(INDEX(المنتجات!$H$5:$H$24,MATCH($D921,المنتجات!$A$5:$A$24,0)),0))</f>
        <v/>
      </c>
      <c r="L921" s="25" t="str">
        <f aca="false">IF($D921="","",J921-K921)</f>
        <v/>
      </c>
      <c r="M921" s="29"/>
      <c r="N921" s="29"/>
    </row>
    <row r="922" customFormat="false" ht="15" hidden="false" customHeight="false" outlineLevel="0" collapsed="false">
      <c r="A922" s="32"/>
      <c r="B922" s="29"/>
      <c r="C922" s="29"/>
      <c r="D922" s="29"/>
      <c r="E922" s="28" t="str">
        <f aca="false">IF($D922="","",IFERROR(INDEX(المنتجات!$C$5:$C$24,MATCH($D922,المنتجات!$A$5:$A$24,0)),"كود غير موجود"))</f>
        <v/>
      </c>
      <c r="F922" s="28" t="str">
        <f aca="false">IF($D922="","",IFERROR(INDEX(المنتجات!$B$5:$B$24,MATCH($D922,المنتجات!$A$5:$A$24,0)),""))</f>
        <v/>
      </c>
      <c r="G922" s="24"/>
      <c r="H922" s="25" t="str">
        <f aca="false">IF($D922="","",IFERROR(INDEX(المنتجات!$F$5:$F$24,MATCH($D922,المنتجات!$A$5:$A$24,0)),0))</f>
        <v/>
      </c>
      <c r="I922" s="30"/>
      <c r="J922" s="25" t="str">
        <f aca="false">IF($D922="","",N(G922)*H922-N(I922))</f>
        <v/>
      </c>
      <c r="K922" s="25" t="str">
        <f aca="false">IF($D922="","",N(G922)*IFERROR(INDEX(المنتجات!$H$5:$H$24,MATCH($D922,المنتجات!$A$5:$A$24,0)),0))</f>
        <v/>
      </c>
      <c r="L922" s="25" t="str">
        <f aca="false">IF($D922="","",J922-K922)</f>
        <v/>
      </c>
      <c r="M922" s="29"/>
      <c r="N922" s="29"/>
    </row>
    <row r="923" customFormat="false" ht="15" hidden="false" customHeight="false" outlineLevel="0" collapsed="false">
      <c r="A923" s="32"/>
      <c r="B923" s="29"/>
      <c r="C923" s="29"/>
      <c r="D923" s="29"/>
      <c r="E923" s="28" t="str">
        <f aca="false">IF($D923="","",IFERROR(INDEX(المنتجات!$C$5:$C$24,MATCH($D923,المنتجات!$A$5:$A$24,0)),"كود غير موجود"))</f>
        <v/>
      </c>
      <c r="F923" s="28" t="str">
        <f aca="false">IF($D923="","",IFERROR(INDEX(المنتجات!$B$5:$B$24,MATCH($D923,المنتجات!$A$5:$A$24,0)),""))</f>
        <v/>
      </c>
      <c r="G923" s="24"/>
      <c r="H923" s="25" t="str">
        <f aca="false">IF($D923="","",IFERROR(INDEX(المنتجات!$F$5:$F$24,MATCH($D923,المنتجات!$A$5:$A$24,0)),0))</f>
        <v/>
      </c>
      <c r="I923" s="30"/>
      <c r="J923" s="25" t="str">
        <f aca="false">IF($D923="","",N(G923)*H923-N(I923))</f>
        <v/>
      </c>
      <c r="K923" s="25" t="str">
        <f aca="false">IF($D923="","",N(G923)*IFERROR(INDEX(المنتجات!$H$5:$H$24,MATCH($D923,المنتجات!$A$5:$A$24,0)),0))</f>
        <v/>
      </c>
      <c r="L923" s="25" t="str">
        <f aca="false">IF($D923="","",J923-K923)</f>
        <v/>
      </c>
      <c r="M923" s="29"/>
      <c r="N923" s="29"/>
    </row>
    <row r="924" customFormat="false" ht="15" hidden="false" customHeight="false" outlineLevel="0" collapsed="false">
      <c r="A924" s="32"/>
      <c r="B924" s="29"/>
      <c r="C924" s="29"/>
      <c r="D924" s="29"/>
      <c r="E924" s="28" t="str">
        <f aca="false">IF($D924="","",IFERROR(INDEX(المنتجات!$C$5:$C$24,MATCH($D924,المنتجات!$A$5:$A$24,0)),"كود غير موجود"))</f>
        <v/>
      </c>
      <c r="F924" s="28" t="str">
        <f aca="false">IF($D924="","",IFERROR(INDEX(المنتجات!$B$5:$B$24,MATCH($D924,المنتجات!$A$5:$A$24,0)),""))</f>
        <v/>
      </c>
      <c r="G924" s="24"/>
      <c r="H924" s="25" t="str">
        <f aca="false">IF($D924="","",IFERROR(INDEX(المنتجات!$F$5:$F$24,MATCH($D924,المنتجات!$A$5:$A$24,0)),0))</f>
        <v/>
      </c>
      <c r="I924" s="30"/>
      <c r="J924" s="25" t="str">
        <f aca="false">IF($D924="","",N(G924)*H924-N(I924))</f>
        <v/>
      </c>
      <c r="K924" s="25" t="str">
        <f aca="false">IF($D924="","",N(G924)*IFERROR(INDEX(المنتجات!$H$5:$H$24,MATCH($D924,المنتجات!$A$5:$A$24,0)),0))</f>
        <v/>
      </c>
      <c r="L924" s="25" t="str">
        <f aca="false">IF($D924="","",J924-K924)</f>
        <v/>
      </c>
      <c r="M924" s="29"/>
      <c r="N924" s="29"/>
    </row>
    <row r="925" customFormat="false" ht="15" hidden="false" customHeight="false" outlineLevel="0" collapsed="false">
      <c r="A925" s="32"/>
      <c r="B925" s="29"/>
      <c r="C925" s="29"/>
      <c r="D925" s="29"/>
      <c r="E925" s="28" t="str">
        <f aca="false">IF($D925="","",IFERROR(INDEX(المنتجات!$C$5:$C$24,MATCH($D925,المنتجات!$A$5:$A$24,0)),"كود غير موجود"))</f>
        <v/>
      </c>
      <c r="F925" s="28" t="str">
        <f aca="false">IF($D925="","",IFERROR(INDEX(المنتجات!$B$5:$B$24,MATCH($D925,المنتجات!$A$5:$A$24,0)),""))</f>
        <v/>
      </c>
      <c r="G925" s="24"/>
      <c r="H925" s="25" t="str">
        <f aca="false">IF($D925="","",IFERROR(INDEX(المنتجات!$F$5:$F$24,MATCH($D925,المنتجات!$A$5:$A$24,0)),0))</f>
        <v/>
      </c>
      <c r="I925" s="30"/>
      <c r="J925" s="25" t="str">
        <f aca="false">IF($D925="","",N(G925)*H925-N(I925))</f>
        <v/>
      </c>
      <c r="K925" s="25" t="str">
        <f aca="false">IF($D925="","",N(G925)*IFERROR(INDEX(المنتجات!$H$5:$H$24,MATCH($D925,المنتجات!$A$5:$A$24,0)),0))</f>
        <v/>
      </c>
      <c r="L925" s="25" t="str">
        <f aca="false">IF($D925="","",J925-K925)</f>
        <v/>
      </c>
      <c r="M925" s="29"/>
      <c r="N925" s="29"/>
    </row>
    <row r="926" customFormat="false" ht="15" hidden="false" customHeight="false" outlineLevel="0" collapsed="false">
      <c r="A926" s="32"/>
      <c r="B926" s="29"/>
      <c r="C926" s="29"/>
      <c r="D926" s="29"/>
      <c r="E926" s="28" t="str">
        <f aca="false">IF($D926="","",IFERROR(INDEX(المنتجات!$C$5:$C$24,MATCH($D926,المنتجات!$A$5:$A$24,0)),"كود غير موجود"))</f>
        <v/>
      </c>
      <c r="F926" s="28" t="str">
        <f aca="false">IF($D926="","",IFERROR(INDEX(المنتجات!$B$5:$B$24,MATCH($D926,المنتجات!$A$5:$A$24,0)),""))</f>
        <v/>
      </c>
      <c r="G926" s="24"/>
      <c r="H926" s="25" t="str">
        <f aca="false">IF($D926="","",IFERROR(INDEX(المنتجات!$F$5:$F$24,MATCH($D926,المنتجات!$A$5:$A$24,0)),0))</f>
        <v/>
      </c>
      <c r="I926" s="30"/>
      <c r="J926" s="25" t="str">
        <f aca="false">IF($D926="","",N(G926)*H926-N(I926))</f>
        <v/>
      </c>
      <c r="K926" s="25" t="str">
        <f aca="false">IF($D926="","",N(G926)*IFERROR(INDEX(المنتجات!$H$5:$H$24,MATCH($D926,المنتجات!$A$5:$A$24,0)),0))</f>
        <v/>
      </c>
      <c r="L926" s="25" t="str">
        <f aca="false">IF($D926="","",J926-K926)</f>
        <v/>
      </c>
      <c r="M926" s="29"/>
      <c r="N926" s="29"/>
    </row>
    <row r="927" customFormat="false" ht="15" hidden="false" customHeight="false" outlineLevel="0" collapsed="false">
      <c r="A927" s="32"/>
      <c r="B927" s="29"/>
      <c r="C927" s="29"/>
      <c r="D927" s="29"/>
      <c r="E927" s="28" t="str">
        <f aca="false">IF($D927="","",IFERROR(INDEX(المنتجات!$C$5:$C$24,MATCH($D927,المنتجات!$A$5:$A$24,0)),"كود غير موجود"))</f>
        <v/>
      </c>
      <c r="F927" s="28" t="str">
        <f aca="false">IF($D927="","",IFERROR(INDEX(المنتجات!$B$5:$B$24,MATCH($D927,المنتجات!$A$5:$A$24,0)),""))</f>
        <v/>
      </c>
      <c r="G927" s="24"/>
      <c r="H927" s="25" t="str">
        <f aca="false">IF($D927="","",IFERROR(INDEX(المنتجات!$F$5:$F$24,MATCH($D927,المنتجات!$A$5:$A$24,0)),0))</f>
        <v/>
      </c>
      <c r="I927" s="30"/>
      <c r="J927" s="25" t="str">
        <f aca="false">IF($D927="","",N(G927)*H927-N(I927))</f>
        <v/>
      </c>
      <c r="K927" s="25" t="str">
        <f aca="false">IF($D927="","",N(G927)*IFERROR(INDEX(المنتجات!$H$5:$H$24,MATCH($D927,المنتجات!$A$5:$A$24,0)),0))</f>
        <v/>
      </c>
      <c r="L927" s="25" t="str">
        <f aca="false">IF($D927="","",J927-K927)</f>
        <v/>
      </c>
      <c r="M927" s="29"/>
      <c r="N927" s="29"/>
    </row>
    <row r="928" customFormat="false" ht="15" hidden="false" customHeight="false" outlineLevel="0" collapsed="false">
      <c r="A928" s="32"/>
      <c r="B928" s="29"/>
      <c r="C928" s="29"/>
      <c r="D928" s="29"/>
      <c r="E928" s="28" t="str">
        <f aca="false">IF($D928="","",IFERROR(INDEX(المنتجات!$C$5:$C$24,MATCH($D928,المنتجات!$A$5:$A$24,0)),"كود غير موجود"))</f>
        <v/>
      </c>
      <c r="F928" s="28" t="str">
        <f aca="false">IF($D928="","",IFERROR(INDEX(المنتجات!$B$5:$B$24,MATCH($D928,المنتجات!$A$5:$A$24,0)),""))</f>
        <v/>
      </c>
      <c r="G928" s="24"/>
      <c r="H928" s="25" t="str">
        <f aca="false">IF($D928="","",IFERROR(INDEX(المنتجات!$F$5:$F$24,MATCH($D928,المنتجات!$A$5:$A$24,0)),0))</f>
        <v/>
      </c>
      <c r="I928" s="30"/>
      <c r="J928" s="25" t="str">
        <f aca="false">IF($D928="","",N(G928)*H928-N(I928))</f>
        <v/>
      </c>
      <c r="K928" s="25" t="str">
        <f aca="false">IF($D928="","",N(G928)*IFERROR(INDEX(المنتجات!$H$5:$H$24,MATCH($D928,المنتجات!$A$5:$A$24,0)),0))</f>
        <v/>
      </c>
      <c r="L928" s="25" t="str">
        <f aca="false">IF($D928="","",J928-K928)</f>
        <v/>
      </c>
      <c r="M928" s="29"/>
      <c r="N928" s="29"/>
    </row>
    <row r="929" customFormat="false" ht="15" hidden="false" customHeight="false" outlineLevel="0" collapsed="false">
      <c r="A929" s="32"/>
      <c r="B929" s="29"/>
      <c r="C929" s="29"/>
      <c r="D929" s="29"/>
      <c r="E929" s="28" t="str">
        <f aca="false">IF($D929="","",IFERROR(INDEX(المنتجات!$C$5:$C$24,MATCH($D929,المنتجات!$A$5:$A$24,0)),"كود غير موجود"))</f>
        <v/>
      </c>
      <c r="F929" s="28" t="str">
        <f aca="false">IF($D929="","",IFERROR(INDEX(المنتجات!$B$5:$B$24,MATCH($D929,المنتجات!$A$5:$A$24,0)),""))</f>
        <v/>
      </c>
      <c r="G929" s="24"/>
      <c r="H929" s="25" t="str">
        <f aca="false">IF($D929="","",IFERROR(INDEX(المنتجات!$F$5:$F$24,MATCH($D929,المنتجات!$A$5:$A$24,0)),0))</f>
        <v/>
      </c>
      <c r="I929" s="30"/>
      <c r="J929" s="25" t="str">
        <f aca="false">IF($D929="","",N(G929)*H929-N(I929))</f>
        <v/>
      </c>
      <c r="K929" s="25" t="str">
        <f aca="false">IF($D929="","",N(G929)*IFERROR(INDEX(المنتجات!$H$5:$H$24,MATCH($D929,المنتجات!$A$5:$A$24,0)),0))</f>
        <v/>
      </c>
      <c r="L929" s="25" t="str">
        <f aca="false">IF($D929="","",J929-K929)</f>
        <v/>
      </c>
      <c r="M929" s="29"/>
      <c r="N929" s="29"/>
    </row>
    <row r="930" customFormat="false" ht="15" hidden="false" customHeight="false" outlineLevel="0" collapsed="false">
      <c r="A930" s="32"/>
      <c r="B930" s="29"/>
      <c r="C930" s="29"/>
      <c r="D930" s="29"/>
      <c r="E930" s="28" t="str">
        <f aca="false">IF($D930="","",IFERROR(INDEX(المنتجات!$C$5:$C$24,MATCH($D930,المنتجات!$A$5:$A$24,0)),"كود غير موجود"))</f>
        <v/>
      </c>
      <c r="F930" s="28" t="str">
        <f aca="false">IF($D930="","",IFERROR(INDEX(المنتجات!$B$5:$B$24,MATCH($D930,المنتجات!$A$5:$A$24,0)),""))</f>
        <v/>
      </c>
      <c r="G930" s="24"/>
      <c r="H930" s="25" t="str">
        <f aca="false">IF($D930="","",IFERROR(INDEX(المنتجات!$F$5:$F$24,MATCH($D930,المنتجات!$A$5:$A$24,0)),0))</f>
        <v/>
      </c>
      <c r="I930" s="30"/>
      <c r="J930" s="25" t="str">
        <f aca="false">IF($D930="","",N(G930)*H930-N(I930))</f>
        <v/>
      </c>
      <c r="K930" s="25" t="str">
        <f aca="false">IF($D930="","",N(G930)*IFERROR(INDEX(المنتجات!$H$5:$H$24,MATCH($D930,المنتجات!$A$5:$A$24,0)),0))</f>
        <v/>
      </c>
      <c r="L930" s="25" t="str">
        <f aca="false">IF($D930="","",J930-K930)</f>
        <v/>
      </c>
      <c r="M930" s="29"/>
      <c r="N930" s="29"/>
    </row>
    <row r="931" customFormat="false" ht="15" hidden="false" customHeight="false" outlineLevel="0" collapsed="false">
      <c r="A931" s="32"/>
      <c r="B931" s="29"/>
      <c r="C931" s="29"/>
      <c r="D931" s="29"/>
      <c r="E931" s="28" t="str">
        <f aca="false">IF($D931="","",IFERROR(INDEX(المنتجات!$C$5:$C$24,MATCH($D931,المنتجات!$A$5:$A$24,0)),"كود غير موجود"))</f>
        <v/>
      </c>
      <c r="F931" s="28" t="str">
        <f aca="false">IF($D931="","",IFERROR(INDEX(المنتجات!$B$5:$B$24,MATCH($D931,المنتجات!$A$5:$A$24,0)),""))</f>
        <v/>
      </c>
      <c r="G931" s="24"/>
      <c r="H931" s="25" t="str">
        <f aca="false">IF($D931="","",IFERROR(INDEX(المنتجات!$F$5:$F$24,MATCH($D931,المنتجات!$A$5:$A$24,0)),0))</f>
        <v/>
      </c>
      <c r="I931" s="30"/>
      <c r="J931" s="25" t="str">
        <f aca="false">IF($D931="","",N(G931)*H931-N(I931))</f>
        <v/>
      </c>
      <c r="K931" s="25" t="str">
        <f aca="false">IF($D931="","",N(G931)*IFERROR(INDEX(المنتجات!$H$5:$H$24,MATCH($D931,المنتجات!$A$5:$A$24,0)),0))</f>
        <v/>
      </c>
      <c r="L931" s="25" t="str">
        <f aca="false">IF($D931="","",J931-K931)</f>
        <v/>
      </c>
      <c r="M931" s="29"/>
      <c r="N931" s="29"/>
    </row>
    <row r="932" customFormat="false" ht="15" hidden="false" customHeight="false" outlineLevel="0" collapsed="false">
      <c r="A932" s="32"/>
      <c r="B932" s="29"/>
      <c r="C932" s="29"/>
      <c r="D932" s="29"/>
      <c r="E932" s="28" t="str">
        <f aca="false">IF($D932="","",IFERROR(INDEX(المنتجات!$C$5:$C$24,MATCH($D932,المنتجات!$A$5:$A$24,0)),"كود غير موجود"))</f>
        <v/>
      </c>
      <c r="F932" s="28" t="str">
        <f aca="false">IF($D932="","",IFERROR(INDEX(المنتجات!$B$5:$B$24,MATCH($D932,المنتجات!$A$5:$A$24,0)),""))</f>
        <v/>
      </c>
      <c r="G932" s="24"/>
      <c r="H932" s="25" t="str">
        <f aca="false">IF($D932="","",IFERROR(INDEX(المنتجات!$F$5:$F$24,MATCH($D932,المنتجات!$A$5:$A$24,0)),0))</f>
        <v/>
      </c>
      <c r="I932" s="30"/>
      <c r="J932" s="25" t="str">
        <f aca="false">IF($D932="","",N(G932)*H932-N(I932))</f>
        <v/>
      </c>
      <c r="K932" s="25" t="str">
        <f aca="false">IF($D932="","",N(G932)*IFERROR(INDEX(المنتجات!$H$5:$H$24,MATCH($D932,المنتجات!$A$5:$A$24,0)),0))</f>
        <v/>
      </c>
      <c r="L932" s="25" t="str">
        <f aca="false">IF($D932="","",J932-K932)</f>
        <v/>
      </c>
      <c r="M932" s="29"/>
      <c r="N932" s="29"/>
    </row>
    <row r="933" customFormat="false" ht="15" hidden="false" customHeight="false" outlineLevel="0" collapsed="false">
      <c r="A933" s="32"/>
      <c r="B933" s="29"/>
      <c r="C933" s="29"/>
      <c r="D933" s="29"/>
      <c r="E933" s="28" t="str">
        <f aca="false">IF($D933="","",IFERROR(INDEX(المنتجات!$C$5:$C$24,MATCH($D933,المنتجات!$A$5:$A$24,0)),"كود غير موجود"))</f>
        <v/>
      </c>
      <c r="F933" s="28" t="str">
        <f aca="false">IF($D933="","",IFERROR(INDEX(المنتجات!$B$5:$B$24,MATCH($D933,المنتجات!$A$5:$A$24,0)),""))</f>
        <v/>
      </c>
      <c r="G933" s="24"/>
      <c r="H933" s="25" t="str">
        <f aca="false">IF($D933="","",IFERROR(INDEX(المنتجات!$F$5:$F$24,MATCH($D933,المنتجات!$A$5:$A$24,0)),0))</f>
        <v/>
      </c>
      <c r="I933" s="30"/>
      <c r="J933" s="25" t="str">
        <f aca="false">IF($D933="","",N(G933)*H933-N(I933))</f>
        <v/>
      </c>
      <c r="K933" s="25" t="str">
        <f aca="false">IF($D933="","",N(G933)*IFERROR(INDEX(المنتجات!$H$5:$H$24,MATCH($D933,المنتجات!$A$5:$A$24,0)),0))</f>
        <v/>
      </c>
      <c r="L933" s="25" t="str">
        <f aca="false">IF($D933="","",J933-K933)</f>
        <v/>
      </c>
      <c r="M933" s="29"/>
      <c r="N933" s="29"/>
    </row>
    <row r="934" customFormat="false" ht="15" hidden="false" customHeight="false" outlineLevel="0" collapsed="false">
      <c r="A934" s="32"/>
      <c r="B934" s="29"/>
      <c r="C934" s="29"/>
      <c r="D934" s="29"/>
      <c r="E934" s="28" t="str">
        <f aca="false">IF($D934="","",IFERROR(INDEX(المنتجات!$C$5:$C$24,MATCH($D934,المنتجات!$A$5:$A$24,0)),"كود غير موجود"))</f>
        <v/>
      </c>
      <c r="F934" s="28" t="str">
        <f aca="false">IF($D934="","",IFERROR(INDEX(المنتجات!$B$5:$B$24,MATCH($D934,المنتجات!$A$5:$A$24,0)),""))</f>
        <v/>
      </c>
      <c r="G934" s="24"/>
      <c r="H934" s="25" t="str">
        <f aca="false">IF($D934="","",IFERROR(INDEX(المنتجات!$F$5:$F$24,MATCH($D934,المنتجات!$A$5:$A$24,0)),0))</f>
        <v/>
      </c>
      <c r="I934" s="30"/>
      <c r="J934" s="25" t="str">
        <f aca="false">IF($D934="","",N(G934)*H934-N(I934))</f>
        <v/>
      </c>
      <c r="K934" s="25" t="str">
        <f aca="false">IF($D934="","",N(G934)*IFERROR(INDEX(المنتجات!$H$5:$H$24,MATCH($D934,المنتجات!$A$5:$A$24,0)),0))</f>
        <v/>
      </c>
      <c r="L934" s="25" t="str">
        <f aca="false">IF($D934="","",J934-K934)</f>
        <v/>
      </c>
      <c r="M934" s="29"/>
      <c r="N934" s="29"/>
    </row>
    <row r="935" customFormat="false" ht="15" hidden="false" customHeight="false" outlineLevel="0" collapsed="false">
      <c r="A935" s="32"/>
      <c r="B935" s="29"/>
      <c r="C935" s="29"/>
      <c r="D935" s="29"/>
      <c r="E935" s="28" t="str">
        <f aca="false">IF($D935="","",IFERROR(INDEX(المنتجات!$C$5:$C$24,MATCH($D935,المنتجات!$A$5:$A$24,0)),"كود غير موجود"))</f>
        <v/>
      </c>
      <c r="F935" s="28" t="str">
        <f aca="false">IF($D935="","",IFERROR(INDEX(المنتجات!$B$5:$B$24,MATCH($D935,المنتجات!$A$5:$A$24,0)),""))</f>
        <v/>
      </c>
      <c r="G935" s="24"/>
      <c r="H935" s="25" t="str">
        <f aca="false">IF($D935="","",IFERROR(INDEX(المنتجات!$F$5:$F$24,MATCH($D935,المنتجات!$A$5:$A$24,0)),0))</f>
        <v/>
      </c>
      <c r="I935" s="30"/>
      <c r="J935" s="25" t="str">
        <f aca="false">IF($D935="","",N(G935)*H935-N(I935))</f>
        <v/>
      </c>
      <c r="K935" s="25" t="str">
        <f aca="false">IF($D935="","",N(G935)*IFERROR(INDEX(المنتجات!$H$5:$H$24,MATCH($D935,المنتجات!$A$5:$A$24,0)),0))</f>
        <v/>
      </c>
      <c r="L935" s="25" t="str">
        <f aca="false">IF($D935="","",J935-K935)</f>
        <v/>
      </c>
      <c r="M935" s="29"/>
      <c r="N935" s="29"/>
    </row>
    <row r="936" customFormat="false" ht="15" hidden="false" customHeight="false" outlineLevel="0" collapsed="false">
      <c r="A936" s="32"/>
      <c r="B936" s="29"/>
      <c r="C936" s="29"/>
      <c r="D936" s="29"/>
      <c r="E936" s="28" t="str">
        <f aca="false">IF($D936="","",IFERROR(INDEX(المنتجات!$C$5:$C$24,MATCH($D936,المنتجات!$A$5:$A$24,0)),"كود غير موجود"))</f>
        <v/>
      </c>
      <c r="F936" s="28" t="str">
        <f aca="false">IF($D936="","",IFERROR(INDEX(المنتجات!$B$5:$B$24,MATCH($D936,المنتجات!$A$5:$A$24,0)),""))</f>
        <v/>
      </c>
      <c r="G936" s="24"/>
      <c r="H936" s="25" t="str">
        <f aca="false">IF($D936="","",IFERROR(INDEX(المنتجات!$F$5:$F$24,MATCH($D936,المنتجات!$A$5:$A$24,0)),0))</f>
        <v/>
      </c>
      <c r="I936" s="30"/>
      <c r="J936" s="25" t="str">
        <f aca="false">IF($D936="","",N(G936)*H936-N(I936))</f>
        <v/>
      </c>
      <c r="K936" s="25" t="str">
        <f aca="false">IF($D936="","",N(G936)*IFERROR(INDEX(المنتجات!$H$5:$H$24,MATCH($D936,المنتجات!$A$5:$A$24,0)),0))</f>
        <v/>
      </c>
      <c r="L936" s="25" t="str">
        <f aca="false">IF($D936="","",J936-K936)</f>
        <v/>
      </c>
      <c r="M936" s="29"/>
      <c r="N936" s="29"/>
    </row>
    <row r="937" customFormat="false" ht="15" hidden="false" customHeight="false" outlineLevel="0" collapsed="false">
      <c r="A937" s="32"/>
      <c r="B937" s="29"/>
      <c r="C937" s="29"/>
      <c r="D937" s="29"/>
      <c r="E937" s="28" t="str">
        <f aca="false">IF($D937="","",IFERROR(INDEX(المنتجات!$C$5:$C$24,MATCH($D937,المنتجات!$A$5:$A$24,0)),"كود غير موجود"))</f>
        <v/>
      </c>
      <c r="F937" s="28" t="str">
        <f aca="false">IF($D937="","",IFERROR(INDEX(المنتجات!$B$5:$B$24,MATCH($D937,المنتجات!$A$5:$A$24,0)),""))</f>
        <v/>
      </c>
      <c r="G937" s="24"/>
      <c r="H937" s="25" t="str">
        <f aca="false">IF($D937="","",IFERROR(INDEX(المنتجات!$F$5:$F$24,MATCH($D937,المنتجات!$A$5:$A$24,0)),0))</f>
        <v/>
      </c>
      <c r="I937" s="30"/>
      <c r="J937" s="25" t="str">
        <f aca="false">IF($D937="","",N(G937)*H937-N(I937))</f>
        <v/>
      </c>
      <c r="K937" s="25" t="str">
        <f aca="false">IF($D937="","",N(G937)*IFERROR(INDEX(المنتجات!$H$5:$H$24,MATCH($D937,المنتجات!$A$5:$A$24,0)),0))</f>
        <v/>
      </c>
      <c r="L937" s="25" t="str">
        <f aca="false">IF($D937="","",J937-K937)</f>
        <v/>
      </c>
      <c r="M937" s="29"/>
      <c r="N937" s="29"/>
    </row>
    <row r="938" customFormat="false" ht="15" hidden="false" customHeight="false" outlineLevel="0" collapsed="false">
      <c r="A938" s="32"/>
      <c r="B938" s="29"/>
      <c r="C938" s="29"/>
      <c r="D938" s="29"/>
      <c r="E938" s="28" t="str">
        <f aca="false">IF($D938="","",IFERROR(INDEX(المنتجات!$C$5:$C$24,MATCH($D938,المنتجات!$A$5:$A$24,0)),"كود غير موجود"))</f>
        <v/>
      </c>
      <c r="F938" s="28" t="str">
        <f aca="false">IF($D938="","",IFERROR(INDEX(المنتجات!$B$5:$B$24,MATCH($D938,المنتجات!$A$5:$A$24,0)),""))</f>
        <v/>
      </c>
      <c r="G938" s="24"/>
      <c r="H938" s="25" t="str">
        <f aca="false">IF($D938="","",IFERROR(INDEX(المنتجات!$F$5:$F$24,MATCH($D938,المنتجات!$A$5:$A$24,0)),0))</f>
        <v/>
      </c>
      <c r="I938" s="30"/>
      <c r="J938" s="25" t="str">
        <f aca="false">IF($D938="","",N(G938)*H938-N(I938))</f>
        <v/>
      </c>
      <c r="K938" s="25" t="str">
        <f aca="false">IF($D938="","",N(G938)*IFERROR(INDEX(المنتجات!$H$5:$H$24,MATCH($D938,المنتجات!$A$5:$A$24,0)),0))</f>
        <v/>
      </c>
      <c r="L938" s="25" t="str">
        <f aca="false">IF($D938="","",J938-K938)</f>
        <v/>
      </c>
      <c r="M938" s="29"/>
      <c r="N938" s="29"/>
    </row>
    <row r="939" customFormat="false" ht="15" hidden="false" customHeight="false" outlineLevel="0" collapsed="false">
      <c r="A939" s="32"/>
      <c r="B939" s="29"/>
      <c r="C939" s="29"/>
      <c r="D939" s="29"/>
      <c r="E939" s="28" t="str">
        <f aca="false">IF($D939="","",IFERROR(INDEX(المنتجات!$C$5:$C$24,MATCH($D939,المنتجات!$A$5:$A$24,0)),"كود غير موجود"))</f>
        <v/>
      </c>
      <c r="F939" s="28" t="str">
        <f aca="false">IF($D939="","",IFERROR(INDEX(المنتجات!$B$5:$B$24,MATCH($D939,المنتجات!$A$5:$A$24,0)),""))</f>
        <v/>
      </c>
      <c r="G939" s="24"/>
      <c r="H939" s="25" t="str">
        <f aca="false">IF($D939="","",IFERROR(INDEX(المنتجات!$F$5:$F$24,MATCH($D939,المنتجات!$A$5:$A$24,0)),0))</f>
        <v/>
      </c>
      <c r="I939" s="30"/>
      <c r="J939" s="25" t="str">
        <f aca="false">IF($D939="","",N(G939)*H939-N(I939))</f>
        <v/>
      </c>
      <c r="K939" s="25" t="str">
        <f aca="false">IF($D939="","",N(G939)*IFERROR(INDEX(المنتجات!$H$5:$H$24,MATCH($D939,المنتجات!$A$5:$A$24,0)),0))</f>
        <v/>
      </c>
      <c r="L939" s="25" t="str">
        <f aca="false">IF($D939="","",J939-K939)</f>
        <v/>
      </c>
      <c r="M939" s="29"/>
      <c r="N939" s="29"/>
    </row>
    <row r="940" customFormat="false" ht="15" hidden="false" customHeight="false" outlineLevel="0" collapsed="false">
      <c r="A940" s="32"/>
      <c r="B940" s="29"/>
      <c r="C940" s="29"/>
      <c r="D940" s="29"/>
      <c r="E940" s="28" t="str">
        <f aca="false">IF($D940="","",IFERROR(INDEX(المنتجات!$C$5:$C$24,MATCH($D940,المنتجات!$A$5:$A$24,0)),"كود غير موجود"))</f>
        <v/>
      </c>
      <c r="F940" s="28" t="str">
        <f aca="false">IF($D940="","",IFERROR(INDEX(المنتجات!$B$5:$B$24,MATCH($D940,المنتجات!$A$5:$A$24,0)),""))</f>
        <v/>
      </c>
      <c r="G940" s="24"/>
      <c r="H940" s="25" t="str">
        <f aca="false">IF($D940="","",IFERROR(INDEX(المنتجات!$F$5:$F$24,MATCH($D940,المنتجات!$A$5:$A$24,0)),0))</f>
        <v/>
      </c>
      <c r="I940" s="30"/>
      <c r="J940" s="25" t="str">
        <f aca="false">IF($D940="","",N(G940)*H940-N(I940))</f>
        <v/>
      </c>
      <c r="K940" s="25" t="str">
        <f aca="false">IF($D940="","",N(G940)*IFERROR(INDEX(المنتجات!$H$5:$H$24,MATCH($D940,المنتجات!$A$5:$A$24,0)),0))</f>
        <v/>
      </c>
      <c r="L940" s="25" t="str">
        <f aca="false">IF($D940="","",J940-K940)</f>
        <v/>
      </c>
      <c r="M940" s="29"/>
      <c r="N940" s="29"/>
    </row>
    <row r="941" customFormat="false" ht="15" hidden="false" customHeight="false" outlineLevel="0" collapsed="false">
      <c r="A941" s="32"/>
      <c r="B941" s="29"/>
      <c r="C941" s="29"/>
      <c r="D941" s="29"/>
      <c r="E941" s="28" t="str">
        <f aca="false">IF($D941="","",IFERROR(INDEX(المنتجات!$C$5:$C$24,MATCH($D941,المنتجات!$A$5:$A$24,0)),"كود غير موجود"))</f>
        <v/>
      </c>
      <c r="F941" s="28" t="str">
        <f aca="false">IF($D941="","",IFERROR(INDEX(المنتجات!$B$5:$B$24,MATCH($D941,المنتجات!$A$5:$A$24,0)),""))</f>
        <v/>
      </c>
      <c r="G941" s="24"/>
      <c r="H941" s="25" t="str">
        <f aca="false">IF($D941="","",IFERROR(INDEX(المنتجات!$F$5:$F$24,MATCH($D941,المنتجات!$A$5:$A$24,0)),0))</f>
        <v/>
      </c>
      <c r="I941" s="30"/>
      <c r="J941" s="25" t="str">
        <f aca="false">IF($D941="","",N(G941)*H941-N(I941))</f>
        <v/>
      </c>
      <c r="K941" s="25" t="str">
        <f aca="false">IF($D941="","",N(G941)*IFERROR(INDEX(المنتجات!$H$5:$H$24,MATCH($D941,المنتجات!$A$5:$A$24,0)),0))</f>
        <v/>
      </c>
      <c r="L941" s="25" t="str">
        <f aca="false">IF($D941="","",J941-K941)</f>
        <v/>
      </c>
      <c r="M941" s="29"/>
      <c r="N941" s="29"/>
    </row>
    <row r="942" customFormat="false" ht="15" hidden="false" customHeight="false" outlineLevel="0" collapsed="false">
      <c r="A942" s="32"/>
      <c r="B942" s="29"/>
      <c r="C942" s="29"/>
      <c r="D942" s="29"/>
      <c r="E942" s="28" t="str">
        <f aca="false">IF($D942="","",IFERROR(INDEX(المنتجات!$C$5:$C$24,MATCH($D942,المنتجات!$A$5:$A$24,0)),"كود غير موجود"))</f>
        <v/>
      </c>
      <c r="F942" s="28" t="str">
        <f aca="false">IF($D942="","",IFERROR(INDEX(المنتجات!$B$5:$B$24,MATCH($D942,المنتجات!$A$5:$A$24,0)),""))</f>
        <v/>
      </c>
      <c r="G942" s="24"/>
      <c r="H942" s="25" t="str">
        <f aca="false">IF($D942="","",IFERROR(INDEX(المنتجات!$F$5:$F$24,MATCH($D942,المنتجات!$A$5:$A$24,0)),0))</f>
        <v/>
      </c>
      <c r="I942" s="30"/>
      <c r="J942" s="25" t="str">
        <f aca="false">IF($D942="","",N(G942)*H942-N(I942))</f>
        <v/>
      </c>
      <c r="K942" s="25" t="str">
        <f aca="false">IF($D942="","",N(G942)*IFERROR(INDEX(المنتجات!$H$5:$H$24,MATCH($D942,المنتجات!$A$5:$A$24,0)),0))</f>
        <v/>
      </c>
      <c r="L942" s="25" t="str">
        <f aca="false">IF($D942="","",J942-K942)</f>
        <v/>
      </c>
      <c r="M942" s="29"/>
      <c r="N942" s="29"/>
    </row>
    <row r="943" customFormat="false" ht="15" hidden="false" customHeight="false" outlineLevel="0" collapsed="false">
      <c r="A943" s="32"/>
      <c r="B943" s="29"/>
      <c r="C943" s="29"/>
      <c r="D943" s="29"/>
      <c r="E943" s="28" t="str">
        <f aca="false">IF($D943="","",IFERROR(INDEX(المنتجات!$C$5:$C$24,MATCH($D943,المنتجات!$A$5:$A$24,0)),"كود غير موجود"))</f>
        <v/>
      </c>
      <c r="F943" s="28" t="str">
        <f aca="false">IF($D943="","",IFERROR(INDEX(المنتجات!$B$5:$B$24,MATCH($D943,المنتجات!$A$5:$A$24,0)),""))</f>
        <v/>
      </c>
      <c r="G943" s="24"/>
      <c r="H943" s="25" t="str">
        <f aca="false">IF($D943="","",IFERROR(INDEX(المنتجات!$F$5:$F$24,MATCH($D943,المنتجات!$A$5:$A$24,0)),0))</f>
        <v/>
      </c>
      <c r="I943" s="30"/>
      <c r="J943" s="25" t="str">
        <f aca="false">IF($D943="","",N(G943)*H943-N(I943))</f>
        <v/>
      </c>
      <c r="K943" s="25" t="str">
        <f aca="false">IF($D943="","",N(G943)*IFERROR(INDEX(المنتجات!$H$5:$H$24,MATCH($D943,المنتجات!$A$5:$A$24,0)),0))</f>
        <v/>
      </c>
      <c r="L943" s="25" t="str">
        <f aca="false">IF($D943="","",J943-K943)</f>
        <v/>
      </c>
      <c r="M943" s="29"/>
      <c r="N943" s="29"/>
    </row>
    <row r="944" customFormat="false" ht="15" hidden="false" customHeight="false" outlineLevel="0" collapsed="false">
      <c r="A944" s="32"/>
      <c r="B944" s="29"/>
      <c r="C944" s="29"/>
      <c r="D944" s="29"/>
      <c r="E944" s="28" t="str">
        <f aca="false">IF($D944="","",IFERROR(INDEX(المنتجات!$C$5:$C$24,MATCH($D944,المنتجات!$A$5:$A$24,0)),"كود غير موجود"))</f>
        <v/>
      </c>
      <c r="F944" s="28" t="str">
        <f aca="false">IF($D944="","",IFERROR(INDEX(المنتجات!$B$5:$B$24,MATCH($D944,المنتجات!$A$5:$A$24,0)),""))</f>
        <v/>
      </c>
      <c r="G944" s="24"/>
      <c r="H944" s="25" t="str">
        <f aca="false">IF($D944="","",IFERROR(INDEX(المنتجات!$F$5:$F$24,MATCH($D944,المنتجات!$A$5:$A$24,0)),0))</f>
        <v/>
      </c>
      <c r="I944" s="30"/>
      <c r="J944" s="25" t="str">
        <f aca="false">IF($D944="","",N(G944)*H944-N(I944))</f>
        <v/>
      </c>
      <c r="K944" s="25" t="str">
        <f aca="false">IF($D944="","",N(G944)*IFERROR(INDEX(المنتجات!$H$5:$H$24,MATCH($D944,المنتجات!$A$5:$A$24,0)),0))</f>
        <v/>
      </c>
      <c r="L944" s="25" t="str">
        <f aca="false">IF($D944="","",J944-K944)</f>
        <v/>
      </c>
      <c r="M944" s="29"/>
      <c r="N944" s="29"/>
    </row>
    <row r="945" customFormat="false" ht="15" hidden="false" customHeight="false" outlineLevel="0" collapsed="false">
      <c r="A945" s="32"/>
      <c r="B945" s="29"/>
      <c r="C945" s="29"/>
      <c r="D945" s="29"/>
      <c r="E945" s="28" t="str">
        <f aca="false">IF($D945="","",IFERROR(INDEX(المنتجات!$C$5:$C$24,MATCH($D945,المنتجات!$A$5:$A$24,0)),"كود غير موجود"))</f>
        <v/>
      </c>
      <c r="F945" s="28" t="str">
        <f aca="false">IF($D945="","",IFERROR(INDEX(المنتجات!$B$5:$B$24,MATCH($D945,المنتجات!$A$5:$A$24,0)),""))</f>
        <v/>
      </c>
      <c r="G945" s="24"/>
      <c r="H945" s="25" t="str">
        <f aca="false">IF($D945="","",IFERROR(INDEX(المنتجات!$F$5:$F$24,MATCH($D945,المنتجات!$A$5:$A$24,0)),0))</f>
        <v/>
      </c>
      <c r="I945" s="30"/>
      <c r="J945" s="25" t="str">
        <f aca="false">IF($D945="","",N(G945)*H945-N(I945))</f>
        <v/>
      </c>
      <c r="K945" s="25" t="str">
        <f aca="false">IF($D945="","",N(G945)*IFERROR(INDEX(المنتجات!$H$5:$H$24,MATCH($D945,المنتجات!$A$5:$A$24,0)),0))</f>
        <v/>
      </c>
      <c r="L945" s="25" t="str">
        <f aca="false">IF($D945="","",J945-K945)</f>
        <v/>
      </c>
      <c r="M945" s="29"/>
      <c r="N945" s="29"/>
    </row>
    <row r="946" customFormat="false" ht="15" hidden="false" customHeight="false" outlineLevel="0" collapsed="false">
      <c r="A946" s="32"/>
      <c r="B946" s="29"/>
      <c r="C946" s="29"/>
      <c r="D946" s="29"/>
      <c r="E946" s="28" t="str">
        <f aca="false">IF($D946="","",IFERROR(INDEX(المنتجات!$C$5:$C$24,MATCH($D946,المنتجات!$A$5:$A$24,0)),"كود غير موجود"))</f>
        <v/>
      </c>
      <c r="F946" s="28" t="str">
        <f aca="false">IF($D946="","",IFERROR(INDEX(المنتجات!$B$5:$B$24,MATCH($D946,المنتجات!$A$5:$A$24,0)),""))</f>
        <v/>
      </c>
      <c r="G946" s="24"/>
      <c r="H946" s="25" t="str">
        <f aca="false">IF($D946="","",IFERROR(INDEX(المنتجات!$F$5:$F$24,MATCH($D946,المنتجات!$A$5:$A$24,0)),0))</f>
        <v/>
      </c>
      <c r="I946" s="30"/>
      <c r="J946" s="25" t="str">
        <f aca="false">IF($D946="","",N(G946)*H946-N(I946))</f>
        <v/>
      </c>
      <c r="K946" s="25" t="str">
        <f aca="false">IF($D946="","",N(G946)*IFERROR(INDEX(المنتجات!$H$5:$H$24,MATCH($D946,المنتجات!$A$5:$A$24,0)),0))</f>
        <v/>
      </c>
      <c r="L946" s="25" t="str">
        <f aca="false">IF($D946="","",J946-K946)</f>
        <v/>
      </c>
      <c r="M946" s="29"/>
      <c r="N946" s="29"/>
    </row>
    <row r="947" customFormat="false" ht="15" hidden="false" customHeight="false" outlineLevel="0" collapsed="false">
      <c r="A947" s="32"/>
      <c r="B947" s="29"/>
      <c r="C947" s="29"/>
      <c r="D947" s="29"/>
      <c r="E947" s="28" t="str">
        <f aca="false">IF($D947="","",IFERROR(INDEX(المنتجات!$C$5:$C$24,MATCH($D947,المنتجات!$A$5:$A$24,0)),"كود غير موجود"))</f>
        <v/>
      </c>
      <c r="F947" s="28" t="str">
        <f aca="false">IF($D947="","",IFERROR(INDEX(المنتجات!$B$5:$B$24,MATCH($D947,المنتجات!$A$5:$A$24,0)),""))</f>
        <v/>
      </c>
      <c r="G947" s="24"/>
      <c r="H947" s="25" t="str">
        <f aca="false">IF($D947="","",IFERROR(INDEX(المنتجات!$F$5:$F$24,MATCH($D947,المنتجات!$A$5:$A$24,0)),0))</f>
        <v/>
      </c>
      <c r="I947" s="30"/>
      <c r="J947" s="25" t="str">
        <f aca="false">IF($D947="","",N(G947)*H947-N(I947))</f>
        <v/>
      </c>
      <c r="K947" s="25" t="str">
        <f aca="false">IF($D947="","",N(G947)*IFERROR(INDEX(المنتجات!$H$5:$H$24,MATCH($D947,المنتجات!$A$5:$A$24,0)),0))</f>
        <v/>
      </c>
      <c r="L947" s="25" t="str">
        <f aca="false">IF($D947="","",J947-K947)</f>
        <v/>
      </c>
      <c r="M947" s="29"/>
      <c r="N947" s="29"/>
    </row>
    <row r="948" customFormat="false" ht="15" hidden="false" customHeight="false" outlineLevel="0" collapsed="false">
      <c r="A948" s="32"/>
      <c r="B948" s="29"/>
      <c r="C948" s="29"/>
      <c r="D948" s="29"/>
      <c r="E948" s="28" t="str">
        <f aca="false">IF($D948="","",IFERROR(INDEX(المنتجات!$C$5:$C$24,MATCH($D948,المنتجات!$A$5:$A$24,0)),"كود غير موجود"))</f>
        <v/>
      </c>
      <c r="F948" s="28" t="str">
        <f aca="false">IF($D948="","",IFERROR(INDEX(المنتجات!$B$5:$B$24,MATCH($D948,المنتجات!$A$5:$A$24,0)),""))</f>
        <v/>
      </c>
      <c r="G948" s="24"/>
      <c r="H948" s="25" t="str">
        <f aca="false">IF($D948="","",IFERROR(INDEX(المنتجات!$F$5:$F$24,MATCH($D948,المنتجات!$A$5:$A$24,0)),0))</f>
        <v/>
      </c>
      <c r="I948" s="30"/>
      <c r="J948" s="25" t="str">
        <f aca="false">IF($D948="","",N(G948)*H948-N(I948))</f>
        <v/>
      </c>
      <c r="K948" s="25" t="str">
        <f aca="false">IF($D948="","",N(G948)*IFERROR(INDEX(المنتجات!$H$5:$H$24,MATCH($D948,المنتجات!$A$5:$A$24,0)),0))</f>
        <v/>
      </c>
      <c r="L948" s="25" t="str">
        <f aca="false">IF($D948="","",J948-K948)</f>
        <v/>
      </c>
      <c r="M948" s="29"/>
      <c r="N948" s="29"/>
    </row>
    <row r="949" customFormat="false" ht="15" hidden="false" customHeight="false" outlineLevel="0" collapsed="false">
      <c r="A949" s="32"/>
      <c r="B949" s="29"/>
      <c r="C949" s="29"/>
      <c r="D949" s="29"/>
      <c r="E949" s="28" t="str">
        <f aca="false">IF($D949="","",IFERROR(INDEX(المنتجات!$C$5:$C$24,MATCH($D949,المنتجات!$A$5:$A$24,0)),"كود غير موجود"))</f>
        <v/>
      </c>
      <c r="F949" s="28" t="str">
        <f aca="false">IF($D949="","",IFERROR(INDEX(المنتجات!$B$5:$B$24,MATCH($D949,المنتجات!$A$5:$A$24,0)),""))</f>
        <v/>
      </c>
      <c r="G949" s="24"/>
      <c r="H949" s="25" t="str">
        <f aca="false">IF($D949="","",IFERROR(INDEX(المنتجات!$F$5:$F$24,MATCH($D949,المنتجات!$A$5:$A$24,0)),0))</f>
        <v/>
      </c>
      <c r="I949" s="30"/>
      <c r="J949" s="25" t="str">
        <f aca="false">IF($D949="","",N(G949)*H949-N(I949))</f>
        <v/>
      </c>
      <c r="K949" s="25" t="str">
        <f aca="false">IF($D949="","",N(G949)*IFERROR(INDEX(المنتجات!$H$5:$H$24,MATCH($D949,المنتجات!$A$5:$A$24,0)),0))</f>
        <v/>
      </c>
      <c r="L949" s="25" t="str">
        <f aca="false">IF($D949="","",J949-K949)</f>
        <v/>
      </c>
      <c r="M949" s="29"/>
      <c r="N949" s="29"/>
    </row>
    <row r="950" customFormat="false" ht="15" hidden="false" customHeight="false" outlineLevel="0" collapsed="false">
      <c r="A950" s="32"/>
      <c r="B950" s="29"/>
      <c r="C950" s="29"/>
      <c r="D950" s="29"/>
      <c r="E950" s="28" t="str">
        <f aca="false">IF($D950="","",IFERROR(INDEX(المنتجات!$C$5:$C$24,MATCH($D950,المنتجات!$A$5:$A$24,0)),"كود غير موجود"))</f>
        <v/>
      </c>
      <c r="F950" s="28" t="str">
        <f aca="false">IF($D950="","",IFERROR(INDEX(المنتجات!$B$5:$B$24,MATCH($D950,المنتجات!$A$5:$A$24,0)),""))</f>
        <v/>
      </c>
      <c r="G950" s="24"/>
      <c r="H950" s="25" t="str">
        <f aca="false">IF($D950="","",IFERROR(INDEX(المنتجات!$F$5:$F$24,MATCH($D950,المنتجات!$A$5:$A$24,0)),0))</f>
        <v/>
      </c>
      <c r="I950" s="30"/>
      <c r="J950" s="25" t="str">
        <f aca="false">IF($D950="","",N(G950)*H950-N(I950))</f>
        <v/>
      </c>
      <c r="K950" s="25" t="str">
        <f aca="false">IF($D950="","",N(G950)*IFERROR(INDEX(المنتجات!$H$5:$H$24,MATCH($D950,المنتجات!$A$5:$A$24,0)),0))</f>
        <v/>
      </c>
      <c r="L950" s="25" t="str">
        <f aca="false">IF($D950="","",J950-K950)</f>
        <v/>
      </c>
      <c r="M950" s="29"/>
      <c r="N950" s="29"/>
    </row>
    <row r="951" customFormat="false" ht="15" hidden="false" customHeight="false" outlineLevel="0" collapsed="false">
      <c r="A951" s="32"/>
      <c r="B951" s="29"/>
      <c r="C951" s="29"/>
      <c r="D951" s="29"/>
      <c r="E951" s="28" t="str">
        <f aca="false">IF($D951="","",IFERROR(INDEX(المنتجات!$C$5:$C$24,MATCH($D951,المنتجات!$A$5:$A$24,0)),"كود غير موجود"))</f>
        <v/>
      </c>
      <c r="F951" s="28" t="str">
        <f aca="false">IF($D951="","",IFERROR(INDEX(المنتجات!$B$5:$B$24,MATCH($D951,المنتجات!$A$5:$A$24,0)),""))</f>
        <v/>
      </c>
      <c r="G951" s="24"/>
      <c r="H951" s="25" t="str">
        <f aca="false">IF($D951="","",IFERROR(INDEX(المنتجات!$F$5:$F$24,MATCH($D951,المنتجات!$A$5:$A$24,0)),0))</f>
        <v/>
      </c>
      <c r="I951" s="30"/>
      <c r="J951" s="25" t="str">
        <f aca="false">IF($D951="","",N(G951)*H951-N(I951))</f>
        <v/>
      </c>
      <c r="K951" s="25" t="str">
        <f aca="false">IF($D951="","",N(G951)*IFERROR(INDEX(المنتجات!$H$5:$H$24,MATCH($D951,المنتجات!$A$5:$A$24,0)),0))</f>
        <v/>
      </c>
      <c r="L951" s="25" t="str">
        <f aca="false">IF($D951="","",J951-K951)</f>
        <v/>
      </c>
      <c r="M951" s="29"/>
      <c r="N951" s="29"/>
    </row>
    <row r="952" customFormat="false" ht="15" hidden="false" customHeight="false" outlineLevel="0" collapsed="false">
      <c r="A952" s="32"/>
      <c r="B952" s="29"/>
      <c r="C952" s="29"/>
      <c r="D952" s="29"/>
      <c r="E952" s="28" t="str">
        <f aca="false">IF($D952="","",IFERROR(INDEX(المنتجات!$C$5:$C$24,MATCH($D952,المنتجات!$A$5:$A$24,0)),"كود غير موجود"))</f>
        <v/>
      </c>
      <c r="F952" s="28" t="str">
        <f aca="false">IF($D952="","",IFERROR(INDEX(المنتجات!$B$5:$B$24,MATCH($D952,المنتجات!$A$5:$A$24,0)),""))</f>
        <v/>
      </c>
      <c r="G952" s="24"/>
      <c r="H952" s="25" t="str">
        <f aca="false">IF($D952="","",IFERROR(INDEX(المنتجات!$F$5:$F$24,MATCH($D952,المنتجات!$A$5:$A$24,0)),0))</f>
        <v/>
      </c>
      <c r="I952" s="30"/>
      <c r="J952" s="25" t="str">
        <f aca="false">IF($D952="","",N(G952)*H952-N(I952))</f>
        <v/>
      </c>
      <c r="K952" s="25" t="str">
        <f aca="false">IF($D952="","",N(G952)*IFERROR(INDEX(المنتجات!$H$5:$H$24,MATCH($D952,المنتجات!$A$5:$A$24,0)),0))</f>
        <v/>
      </c>
      <c r="L952" s="25" t="str">
        <f aca="false">IF($D952="","",J952-K952)</f>
        <v/>
      </c>
      <c r="M952" s="29"/>
      <c r="N952" s="29"/>
    </row>
    <row r="953" customFormat="false" ht="15" hidden="false" customHeight="false" outlineLevel="0" collapsed="false">
      <c r="A953" s="32"/>
      <c r="B953" s="29"/>
      <c r="C953" s="29"/>
      <c r="D953" s="29"/>
      <c r="E953" s="28" t="str">
        <f aca="false">IF($D953="","",IFERROR(INDEX(المنتجات!$C$5:$C$24,MATCH($D953,المنتجات!$A$5:$A$24,0)),"كود غير موجود"))</f>
        <v/>
      </c>
      <c r="F953" s="28" t="str">
        <f aca="false">IF($D953="","",IFERROR(INDEX(المنتجات!$B$5:$B$24,MATCH($D953,المنتجات!$A$5:$A$24,0)),""))</f>
        <v/>
      </c>
      <c r="G953" s="24"/>
      <c r="H953" s="25" t="str">
        <f aca="false">IF($D953="","",IFERROR(INDEX(المنتجات!$F$5:$F$24,MATCH($D953,المنتجات!$A$5:$A$24,0)),0))</f>
        <v/>
      </c>
      <c r="I953" s="30"/>
      <c r="J953" s="25" t="str">
        <f aca="false">IF($D953="","",N(G953)*H953-N(I953))</f>
        <v/>
      </c>
      <c r="K953" s="25" t="str">
        <f aca="false">IF($D953="","",N(G953)*IFERROR(INDEX(المنتجات!$H$5:$H$24,MATCH($D953,المنتجات!$A$5:$A$24,0)),0))</f>
        <v/>
      </c>
      <c r="L953" s="25" t="str">
        <f aca="false">IF($D953="","",J953-K953)</f>
        <v/>
      </c>
      <c r="M953" s="29"/>
      <c r="N953" s="29"/>
    </row>
    <row r="954" customFormat="false" ht="15" hidden="false" customHeight="false" outlineLevel="0" collapsed="false">
      <c r="A954" s="32"/>
      <c r="B954" s="29"/>
      <c r="C954" s="29"/>
      <c r="D954" s="29"/>
      <c r="E954" s="28" t="str">
        <f aca="false">IF($D954="","",IFERROR(INDEX(المنتجات!$C$5:$C$24,MATCH($D954,المنتجات!$A$5:$A$24,0)),"كود غير موجود"))</f>
        <v/>
      </c>
      <c r="F954" s="28" t="str">
        <f aca="false">IF($D954="","",IFERROR(INDEX(المنتجات!$B$5:$B$24,MATCH($D954,المنتجات!$A$5:$A$24,0)),""))</f>
        <v/>
      </c>
      <c r="G954" s="24"/>
      <c r="H954" s="25" t="str">
        <f aca="false">IF($D954="","",IFERROR(INDEX(المنتجات!$F$5:$F$24,MATCH($D954,المنتجات!$A$5:$A$24,0)),0))</f>
        <v/>
      </c>
      <c r="I954" s="30"/>
      <c r="J954" s="25" t="str">
        <f aca="false">IF($D954="","",N(G954)*H954-N(I954))</f>
        <v/>
      </c>
      <c r="K954" s="25" t="str">
        <f aca="false">IF($D954="","",N(G954)*IFERROR(INDEX(المنتجات!$H$5:$H$24,MATCH($D954,المنتجات!$A$5:$A$24,0)),0))</f>
        <v/>
      </c>
      <c r="L954" s="25" t="str">
        <f aca="false">IF($D954="","",J954-K954)</f>
        <v/>
      </c>
      <c r="M954" s="29"/>
      <c r="N954" s="29"/>
    </row>
    <row r="955" customFormat="false" ht="15" hidden="false" customHeight="false" outlineLevel="0" collapsed="false">
      <c r="A955" s="32"/>
      <c r="B955" s="29"/>
      <c r="C955" s="29"/>
      <c r="D955" s="29"/>
      <c r="E955" s="28" t="str">
        <f aca="false">IF($D955="","",IFERROR(INDEX(المنتجات!$C$5:$C$24,MATCH($D955,المنتجات!$A$5:$A$24,0)),"كود غير موجود"))</f>
        <v/>
      </c>
      <c r="F955" s="28" t="str">
        <f aca="false">IF($D955="","",IFERROR(INDEX(المنتجات!$B$5:$B$24,MATCH($D955,المنتجات!$A$5:$A$24,0)),""))</f>
        <v/>
      </c>
      <c r="G955" s="24"/>
      <c r="H955" s="25" t="str">
        <f aca="false">IF($D955="","",IFERROR(INDEX(المنتجات!$F$5:$F$24,MATCH($D955,المنتجات!$A$5:$A$24,0)),0))</f>
        <v/>
      </c>
      <c r="I955" s="30"/>
      <c r="J955" s="25" t="str">
        <f aca="false">IF($D955="","",N(G955)*H955-N(I955))</f>
        <v/>
      </c>
      <c r="K955" s="25" t="str">
        <f aca="false">IF($D955="","",N(G955)*IFERROR(INDEX(المنتجات!$H$5:$H$24,MATCH($D955,المنتجات!$A$5:$A$24,0)),0))</f>
        <v/>
      </c>
      <c r="L955" s="25" t="str">
        <f aca="false">IF($D955="","",J955-K955)</f>
        <v/>
      </c>
      <c r="M955" s="29"/>
      <c r="N955" s="29"/>
    </row>
    <row r="956" customFormat="false" ht="15" hidden="false" customHeight="false" outlineLevel="0" collapsed="false">
      <c r="A956" s="32"/>
      <c r="B956" s="29"/>
      <c r="C956" s="29"/>
      <c r="D956" s="29"/>
      <c r="E956" s="28" t="str">
        <f aca="false">IF($D956="","",IFERROR(INDEX(المنتجات!$C$5:$C$24,MATCH($D956,المنتجات!$A$5:$A$24,0)),"كود غير موجود"))</f>
        <v/>
      </c>
      <c r="F956" s="28" t="str">
        <f aca="false">IF($D956="","",IFERROR(INDEX(المنتجات!$B$5:$B$24,MATCH($D956,المنتجات!$A$5:$A$24,0)),""))</f>
        <v/>
      </c>
      <c r="G956" s="24"/>
      <c r="H956" s="25" t="str">
        <f aca="false">IF($D956="","",IFERROR(INDEX(المنتجات!$F$5:$F$24,MATCH($D956,المنتجات!$A$5:$A$24,0)),0))</f>
        <v/>
      </c>
      <c r="I956" s="30"/>
      <c r="J956" s="25" t="str">
        <f aca="false">IF($D956="","",N(G956)*H956-N(I956))</f>
        <v/>
      </c>
      <c r="K956" s="25" t="str">
        <f aca="false">IF($D956="","",N(G956)*IFERROR(INDEX(المنتجات!$H$5:$H$24,MATCH($D956,المنتجات!$A$5:$A$24,0)),0))</f>
        <v/>
      </c>
      <c r="L956" s="25" t="str">
        <f aca="false">IF($D956="","",J956-K956)</f>
        <v/>
      </c>
      <c r="M956" s="29"/>
      <c r="N956" s="29"/>
    </row>
    <row r="957" customFormat="false" ht="15" hidden="false" customHeight="false" outlineLevel="0" collapsed="false">
      <c r="A957" s="32"/>
      <c r="B957" s="29"/>
      <c r="C957" s="29"/>
      <c r="D957" s="29"/>
      <c r="E957" s="28" t="str">
        <f aca="false">IF($D957="","",IFERROR(INDEX(المنتجات!$C$5:$C$24,MATCH($D957,المنتجات!$A$5:$A$24,0)),"كود غير موجود"))</f>
        <v/>
      </c>
      <c r="F957" s="28" t="str">
        <f aca="false">IF($D957="","",IFERROR(INDEX(المنتجات!$B$5:$B$24,MATCH($D957,المنتجات!$A$5:$A$24,0)),""))</f>
        <v/>
      </c>
      <c r="G957" s="24"/>
      <c r="H957" s="25" t="str">
        <f aca="false">IF($D957="","",IFERROR(INDEX(المنتجات!$F$5:$F$24,MATCH($D957,المنتجات!$A$5:$A$24,0)),0))</f>
        <v/>
      </c>
      <c r="I957" s="30"/>
      <c r="J957" s="25" t="str">
        <f aca="false">IF($D957="","",N(G957)*H957-N(I957))</f>
        <v/>
      </c>
      <c r="K957" s="25" t="str">
        <f aca="false">IF($D957="","",N(G957)*IFERROR(INDEX(المنتجات!$H$5:$H$24,MATCH($D957,المنتجات!$A$5:$A$24,0)),0))</f>
        <v/>
      </c>
      <c r="L957" s="25" t="str">
        <f aca="false">IF($D957="","",J957-K957)</f>
        <v/>
      </c>
      <c r="M957" s="29"/>
      <c r="N957" s="29"/>
    </row>
    <row r="958" customFormat="false" ht="15" hidden="false" customHeight="false" outlineLevel="0" collapsed="false">
      <c r="A958" s="32"/>
      <c r="B958" s="29"/>
      <c r="C958" s="29"/>
      <c r="D958" s="29"/>
      <c r="E958" s="28" t="str">
        <f aca="false">IF($D958="","",IFERROR(INDEX(المنتجات!$C$5:$C$24,MATCH($D958,المنتجات!$A$5:$A$24,0)),"كود غير موجود"))</f>
        <v/>
      </c>
      <c r="F958" s="28" t="str">
        <f aca="false">IF($D958="","",IFERROR(INDEX(المنتجات!$B$5:$B$24,MATCH($D958,المنتجات!$A$5:$A$24,0)),""))</f>
        <v/>
      </c>
      <c r="G958" s="24"/>
      <c r="H958" s="25" t="str">
        <f aca="false">IF($D958="","",IFERROR(INDEX(المنتجات!$F$5:$F$24,MATCH($D958,المنتجات!$A$5:$A$24,0)),0))</f>
        <v/>
      </c>
      <c r="I958" s="30"/>
      <c r="J958" s="25" t="str">
        <f aca="false">IF($D958="","",N(G958)*H958-N(I958))</f>
        <v/>
      </c>
      <c r="K958" s="25" t="str">
        <f aca="false">IF($D958="","",N(G958)*IFERROR(INDEX(المنتجات!$H$5:$H$24,MATCH($D958,المنتجات!$A$5:$A$24,0)),0))</f>
        <v/>
      </c>
      <c r="L958" s="25" t="str">
        <f aca="false">IF($D958="","",J958-K958)</f>
        <v/>
      </c>
      <c r="M958" s="29"/>
      <c r="N958" s="29"/>
    </row>
    <row r="959" customFormat="false" ht="15" hidden="false" customHeight="false" outlineLevel="0" collapsed="false">
      <c r="A959" s="32"/>
      <c r="B959" s="29"/>
      <c r="C959" s="29"/>
      <c r="D959" s="29"/>
      <c r="E959" s="28" t="str">
        <f aca="false">IF($D959="","",IFERROR(INDEX(المنتجات!$C$5:$C$24,MATCH($D959,المنتجات!$A$5:$A$24,0)),"كود غير موجود"))</f>
        <v/>
      </c>
      <c r="F959" s="28" t="str">
        <f aca="false">IF($D959="","",IFERROR(INDEX(المنتجات!$B$5:$B$24,MATCH($D959,المنتجات!$A$5:$A$24,0)),""))</f>
        <v/>
      </c>
      <c r="G959" s="24"/>
      <c r="H959" s="25" t="str">
        <f aca="false">IF($D959="","",IFERROR(INDEX(المنتجات!$F$5:$F$24,MATCH($D959,المنتجات!$A$5:$A$24,0)),0))</f>
        <v/>
      </c>
      <c r="I959" s="30"/>
      <c r="J959" s="25" t="str">
        <f aca="false">IF($D959="","",N(G959)*H959-N(I959))</f>
        <v/>
      </c>
      <c r="K959" s="25" t="str">
        <f aca="false">IF($D959="","",N(G959)*IFERROR(INDEX(المنتجات!$H$5:$H$24,MATCH($D959,المنتجات!$A$5:$A$24,0)),0))</f>
        <v/>
      </c>
      <c r="L959" s="25" t="str">
        <f aca="false">IF($D959="","",J959-K959)</f>
        <v/>
      </c>
      <c r="M959" s="29"/>
      <c r="N959" s="29"/>
    </row>
    <row r="960" customFormat="false" ht="15" hidden="false" customHeight="false" outlineLevel="0" collapsed="false">
      <c r="A960" s="32"/>
      <c r="B960" s="29"/>
      <c r="C960" s="29"/>
      <c r="D960" s="29"/>
      <c r="E960" s="28" t="str">
        <f aca="false">IF($D960="","",IFERROR(INDEX(المنتجات!$C$5:$C$24,MATCH($D960,المنتجات!$A$5:$A$24,0)),"كود غير موجود"))</f>
        <v/>
      </c>
      <c r="F960" s="28" t="str">
        <f aca="false">IF($D960="","",IFERROR(INDEX(المنتجات!$B$5:$B$24,MATCH($D960,المنتجات!$A$5:$A$24,0)),""))</f>
        <v/>
      </c>
      <c r="G960" s="24"/>
      <c r="H960" s="25" t="str">
        <f aca="false">IF($D960="","",IFERROR(INDEX(المنتجات!$F$5:$F$24,MATCH($D960,المنتجات!$A$5:$A$24,0)),0))</f>
        <v/>
      </c>
      <c r="I960" s="30"/>
      <c r="J960" s="25" t="str">
        <f aca="false">IF($D960="","",N(G960)*H960-N(I960))</f>
        <v/>
      </c>
      <c r="K960" s="25" t="str">
        <f aca="false">IF($D960="","",N(G960)*IFERROR(INDEX(المنتجات!$H$5:$H$24,MATCH($D960,المنتجات!$A$5:$A$24,0)),0))</f>
        <v/>
      </c>
      <c r="L960" s="25" t="str">
        <f aca="false">IF($D960="","",J960-K960)</f>
        <v/>
      </c>
      <c r="M960" s="29"/>
      <c r="N960" s="29"/>
    </row>
    <row r="961" customFormat="false" ht="15" hidden="false" customHeight="false" outlineLevel="0" collapsed="false">
      <c r="A961" s="32"/>
      <c r="B961" s="29"/>
      <c r="C961" s="29"/>
      <c r="D961" s="29"/>
      <c r="E961" s="28" t="str">
        <f aca="false">IF($D961="","",IFERROR(INDEX(المنتجات!$C$5:$C$24,MATCH($D961,المنتجات!$A$5:$A$24,0)),"كود غير موجود"))</f>
        <v/>
      </c>
      <c r="F961" s="28" t="str">
        <f aca="false">IF($D961="","",IFERROR(INDEX(المنتجات!$B$5:$B$24,MATCH($D961,المنتجات!$A$5:$A$24,0)),""))</f>
        <v/>
      </c>
      <c r="G961" s="24"/>
      <c r="H961" s="25" t="str">
        <f aca="false">IF($D961="","",IFERROR(INDEX(المنتجات!$F$5:$F$24,MATCH($D961,المنتجات!$A$5:$A$24,0)),0))</f>
        <v/>
      </c>
      <c r="I961" s="30"/>
      <c r="J961" s="25" t="str">
        <f aca="false">IF($D961="","",N(G961)*H961-N(I961))</f>
        <v/>
      </c>
      <c r="K961" s="25" t="str">
        <f aca="false">IF($D961="","",N(G961)*IFERROR(INDEX(المنتجات!$H$5:$H$24,MATCH($D961,المنتجات!$A$5:$A$24,0)),0))</f>
        <v/>
      </c>
      <c r="L961" s="25" t="str">
        <f aca="false">IF($D961="","",J961-K961)</f>
        <v/>
      </c>
      <c r="M961" s="29"/>
      <c r="N961" s="29"/>
    </row>
    <row r="962" customFormat="false" ht="15" hidden="false" customHeight="false" outlineLevel="0" collapsed="false">
      <c r="A962" s="32"/>
      <c r="B962" s="29"/>
      <c r="C962" s="29"/>
      <c r="D962" s="29"/>
      <c r="E962" s="28" t="str">
        <f aca="false">IF($D962="","",IFERROR(INDEX(المنتجات!$C$5:$C$24,MATCH($D962,المنتجات!$A$5:$A$24,0)),"كود غير موجود"))</f>
        <v/>
      </c>
      <c r="F962" s="28" t="str">
        <f aca="false">IF($D962="","",IFERROR(INDEX(المنتجات!$B$5:$B$24,MATCH($D962,المنتجات!$A$5:$A$24,0)),""))</f>
        <v/>
      </c>
      <c r="G962" s="24"/>
      <c r="H962" s="25" t="str">
        <f aca="false">IF($D962="","",IFERROR(INDEX(المنتجات!$F$5:$F$24,MATCH($D962,المنتجات!$A$5:$A$24,0)),0))</f>
        <v/>
      </c>
      <c r="I962" s="30"/>
      <c r="J962" s="25" t="str">
        <f aca="false">IF($D962="","",N(G962)*H962-N(I962))</f>
        <v/>
      </c>
      <c r="K962" s="25" t="str">
        <f aca="false">IF($D962="","",N(G962)*IFERROR(INDEX(المنتجات!$H$5:$H$24,MATCH($D962,المنتجات!$A$5:$A$24,0)),0))</f>
        <v/>
      </c>
      <c r="L962" s="25" t="str">
        <f aca="false">IF($D962="","",J962-K962)</f>
        <v/>
      </c>
      <c r="M962" s="29"/>
      <c r="N962" s="29"/>
    </row>
    <row r="963" customFormat="false" ht="15" hidden="false" customHeight="false" outlineLevel="0" collapsed="false">
      <c r="A963" s="32"/>
      <c r="B963" s="29"/>
      <c r="C963" s="29"/>
      <c r="D963" s="29"/>
      <c r="E963" s="28" t="str">
        <f aca="false">IF($D963="","",IFERROR(INDEX(المنتجات!$C$5:$C$24,MATCH($D963,المنتجات!$A$5:$A$24,0)),"كود غير موجود"))</f>
        <v/>
      </c>
      <c r="F963" s="28" t="str">
        <f aca="false">IF($D963="","",IFERROR(INDEX(المنتجات!$B$5:$B$24,MATCH($D963,المنتجات!$A$5:$A$24,0)),""))</f>
        <v/>
      </c>
      <c r="G963" s="24"/>
      <c r="H963" s="25" t="str">
        <f aca="false">IF($D963="","",IFERROR(INDEX(المنتجات!$F$5:$F$24,MATCH($D963,المنتجات!$A$5:$A$24,0)),0))</f>
        <v/>
      </c>
      <c r="I963" s="30"/>
      <c r="J963" s="25" t="str">
        <f aca="false">IF($D963="","",N(G963)*H963-N(I963))</f>
        <v/>
      </c>
      <c r="K963" s="25" t="str">
        <f aca="false">IF($D963="","",N(G963)*IFERROR(INDEX(المنتجات!$H$5:$H$24,MATCH($D963,المنتجات!$A$5:$A$24,0)),0))</f>
        <v/>
      </c>
      <c r="L963" s="25" t="str">
        <f aca="false">IF($D963="","",J963-K963)</f>
        <v/>
      </c>
      <c r="M963" s="29"/>
      <c r="N963" s="29"/>
    </row>
    <row r="964" customFormat="false" ht="15" hidden="false" customHeight="false" outlineLevel="0" collapsed="false">
      <c r="A964" s="32"/>
      <c r="B964" s="29"/>
      <c r="C964" s="29"/>
      <c r="D964" s="29"/>
      <c r="E964" s="28" t="str">
        <f aca="false">IF($D964="","",IFERROR(INDEX(المنتجات!$C$5:$C$24,MATCH($D964,المنتجات!$A$5:$A$24,0)),"كود غير موجود"))</f>
        <v/>
      </c>
      <c r="F964" s="28" t="str">
        <f aca="false">IF($D964="","",IFERROR(INDEX(المنتجات!$B$5:$B$24,MATCH($D964,المنتجات!$A$5:$A$24,0)),""))</f>
        <v/>
      </c>
      <c r="G964" s="24"/>
      <c r="H964" s="25" t="str">
        <f aca="false">IF($D964="","",IFERROR(INDEX(المنتجات!$F$5:$F$24,MATCH($D964,المنتجات!$A$5:$A$24,0)),0))</f>
        <v/>
      </c>
      <c r="I964" s="30"/>
      <c r="J964" s="25" t="str">
        <f aca="false">IF($D964="","",N(G964)*H964-N(I964))</f>
        <v/>
      </c>
      <c r="K964" s="25" t="str">
        <f aca="false">IF($D964="","",N(G964)*IFERROR(INDEX(المنتجات!$H$5:$H$24,MATCH($D964,المنتجات!$A$5:$A$24,0)),0))</f>
        <v/>
      </c>
      <c r="L964" s="25" t="str">
        <f aca="false">IF($D964="","",J964-K964)</f>
        <v/>
      </c>
      <c r="M964" s="29"/>
      <c r="N964" s="29"/>
    </row>
    <row r="965" customFormat="false" ht="15" hidden="false" customHeight="false" outlineLevel="0" collapsed="false">
      <c r="A965" s="32"/>
      <c r="B965" s="29"/>
      <c r="C965" s="29"/>
      <c r="D965" s="29"/>
      <c r="E965" s="28" t="str">
        <f aca="false">IF($D965="","",IFERROR(INDEX(المنتجات!$C$5:$C$24,MATCH($D965,المنتجات!$A$5:$A$24,0)),"كود غير موجود"))</f>
        <v/>
      </c>
      <c r="F965" s="28" t="str">
        <f aca="false">IF($D965="","",IFERROR(INDEX(المنتجات!$B$5:$B$24,MATCH($D965,المنتجات!$A$5:$A$24,0)),""))</f>
        <v/>
      </c>
      <c r="G965" s="24"/>
      <c r="H965" s="25" t="str">
        <f aca="false">IF($D965="","",IFERROR(INDEX(المنتجات!$F$5:$F$24,MATCH($D965,المنتجات!$A$5:$A$24,0)),0))</f>
        <v/>
      </c>
      <c r="I965" s="30"/>
      <c r="J965" s="25" t="str">
        <f aca="false">IF($D965="","",N(G965)*H965-N(I965))</f>
        <v/>
      </c>
      <c r="K965" s="25" t="str">
        <f aca="false">IF($D965="","",N(G965)*IFERROR(INDEX(المنتجات!$H$5:$H$24,MATCH($D965,المنتجات!$A$5:$A$24,0)),0))</f>
        <v/>
      </c>
      <c r="L965" s="25" t="str">
        <f aca="false">IF($D965="","",J965-K965)</f>
        <v/>
      </c>
      <c r="M965" s="29"/>
      <c r="N965" s="29"/>
    </row>
    <row r="966" customFormat="false" ht="15" hidden="false" customHeight="false" outlineLevel="0" collapsed="false">
      <c r="A966" s="32"/>
      <c r="B966" s="29"/>
      <c r="C966" s="29"/>
      <c r="D966" s="29"/>
      <c r="E966" s="28" t="str">
        <f aca="false">IF($D966="","",IFERROR(INDEX(المنتجات!$C$5:$C$24,MATCH($D966,المنتجات!$A$5:$A$24,0)),"كود غير موجود"))</f>
        <v/>
      </c>
      <c r="F966" s="28" t="str">
        <f aca="false">IF($D966="","",IFERROR(INDEX(المنتجات!$B$5:$B$24,MATCH($D966,المنتجات!$A$5:$A$24,0)),""))</f>
        <v/>
      </c>
      <c r="G966" s="24"/>
      <c r="H966" s="25" t="str">
        <f aca="false">IF($D966="","",IFERROR(INDEX(المنتجات!$F$5:$F$24,MATCH($D966,المنتجات!$A$5:$A$24,0)),0))</f>
        <v/>
      </c>
      <c r="I966" s="30"/>
      <c r="J966" s="25" t="str">
        <f aca="false">IF($D966="","",N(G966)*H966-N(I966))</f>
        <v/>
      </c>
      <c r="K966" s="25" t="str">
        <f aca="false">IF($D966="","",N(G966)*IFERROR(INDEX(المنتجات!$H$5:$H$24,MATCH($D966,المنتجات!$A$5:$A$24,0)),0))</f>
        <v/>
      </c>
      <c r="L966" s="25" t="str">
        <f aca="false">IF($D966="","",J966-K966)</f>
        <v/>
      </c>
      <c r="M966" s="29"/>
      <c r="N966" s="29"/>
    </row>
    <row r="967" customFormat="false" ht="15" hidden="false" customHeight="false" outlineLevel="0" collapsed="false">
      <c r="A967" s="32"/>
      <c r="B967" s="29"/>
      <c r="C967" s="29"/>
      <c r="D967" s="29"/>
      <c r="E967" s="28" t="str">
        <f aca="false">IF($D967="","",IFERROR(INDEX(المنتجات!$C$5:$C$24,MATCH($D967,المنتجات!$A$5:$A$24,0)),"كود غير موجود"))</f>
        <v/>
      </c>
      <c r="F967" s="28" t="str">
        <f aca="false">IF($D967="","",IFERROR(INDEX(المنتجات!$B$5:$B$24,MATCH($D967,المنتجات!$A$5:$A$24,0)),""))</f>
        <v/>
      </c>
      <c r="G967" s="24"/>
      <c r="H967" s="25" t="str">
        <f aca="false">IF($D967="","",IFERROR(INDEX(المنتجات!$F$5:$F$24,MATCH($D967,المنتجات!$A$5:$A$24,0)),0))</f>
        <v/>
      </c>
      <c r="I967" s="30"/>
      <c r="J967" s="25" t="str">
        <f aca="false">IF($D967="","",N(G967)*H967-N(I967))</f>
        <v/>
      </c>
      <c r="K967" s="25" t="str">
        <f aca="false">IF($D967="","",N(G967)*IFERROR(INDEX(المنتجات!$H$5:$H$24,MATCH($D967,المنتجات!$A$5:$A$24,0)),0))</f>
        <v/>
      </c>
      <c r="L967" s="25" t="str">
        <f aca="false">IF($D967="","",J967-K967)</f>
        <v/>
      </c>
      <c r="M967" s="29"/>
      <c r="N967" s="29"/>
    </row>
    <row r="968" customFormat="false" ht="15" hidden="false" customHeight="false" outlineLevel="0" collapsed="false">
      <c r="A968" s="32"/>
      <c r="B968" s="29"/>
      <c r="C968" s="29"/>
      <c r="D968" s="29"/>
      <c r="E968" s="28" t="str">
        <f aca="false">IF($D968="","",IFERROR(INDEX(المنتجات!$C$5:$C$24,MATCH($D968,المنتجات!$A$5:$A$24,0)),"كود غير موجود"))</f>
        <v/>
      </c>
      <c r="F968" s="28" t="str">
        <f aca="false">IF($D968="","",IFERROR(INDEX(المنتجات!$B$5:$B$24,MATCH($D968,المنتجات!$A$5:$A$24,0)),""))</f>
        <v/>
      </c>
      <c r="G968" s="24"/>
      <c r="H968" s="25" t="str">
        <f aca="false">IF($D968="","",IFERROR(INDEX(المنتجات!$F$5:$F$24,MATCH($D968,المنتجات!$A$5:$A$24,0)),0))</f>
        <v/>
      </c>
      <c r="I968" s="30"/>
      <c r="J968" s="25" t="str">
        <f aca="false">IF($D968="","",N(G968)*H968-N(I968))</f>
        <v/>
      </c>
      <c r="K968" s="25" t="str">
        <f aca="false">IF($D968="","",N(G968)*IFERROR(INDEX(المنتجات!$H$5:$H$24,MATCH($D968,المنتجات!$A$5:$A$24,0)),0))</f>
        <v/>
      </c>
      <c r="L968" s="25" t="str">
        <f aca="false">IF($D968="","",J968-K968)</f>
        <v/>
      </c>
      <c r="M968" s="29"/>
      <c r="N968" s="29"/>
    </row>
    <row r="969" customFormat="false" ht="15" hidden="false" customHeight="false" outlineLevel="0" collapsed="false">
      <c r="A969" s="32"/>
      <c r="B969" s="29"/>
      <c r="C969" s="29"/>
      <c r="D969" s="29"/>
      <c r="E969" s="28" t="str">
        <f aca="false">IF($D969="","",IFERROR(INDEX(المنتجات!$C$5:$C$24,MATCH($D969,المنتجات!$A$5:$A$24,0)),"كود غير موجود"))</f>
        <v/>
      </c>
      <c r="F969" s="28" t="str">
        <f aca="false">IF($D969="","",IFERROR(INDEX(المنتجات!$B$5:$B$24,MATCH($D969,المنتجات!$A$5:$A$24,0)),""))</f>
        <v/>
      </c>
      <c r="G969" s="24"/>
      <c r="H969" s="25" t="str">
        <f aca="false">IF($D969="","",IFERROR(INDEX(المنتجات!$F$5:$F$24,MATCH($D969,المنتجات!$A$5:$A$24,0)),0))</f>
        <v/>
      </c>
      <c r="I969" s="30"/>
      <c r="J969" s="25" t="str">
        <f aca="false">IF($D969="","",N(G969)*H969-N(I969))</f>
        <v/>
      </c>
      <c r="K969" s="25" t="str">
        <f aca="false">IF($D969="","",N(G969)*IFERROR(INDEX(المنتجات!$H$5:$H$24,MATCH($D969,المنتجات!$A$5:$A$24,0)),0))</f>
        <v/>
      </c>
      <c r="L969" s="25" t="str">
        <f aca="false">IF($D969="","",J969-K969)</f>
        <v/>
      </c>
      <c r="M969" s="29"/>
      <c r="N969" s="29"/>
    </row>
    <row r="970" customFormat="false" ht="15" hidden="false" customHeight="false" outlineLevel="0" collapsed="false">
      <c r="A970" s="32"/>
      <c r="B970" s="29"/>
      <c r="C970" s="29"/>
      <c r="D970" s="29"/>
      <c r="E970" s="28" t="str">
        <f aca="false">IF($D970="","",IFERROR(INDEX(المنتجات!$C$5:$C$24,MATCH($D970,المنتجات!$A$5:$A$24,0)),"كود غير موجود"))</f>
        <v/>
      </c>
      <c r="F970" s="28" t="str">
        <f aca="false">IF($D970="","",IFERROR(INDEX(المنتجات!$B$5:$B$24,MATCH($D970,المنتجات!$A$5:$A$24,0)),""))</f>
        <v/>
      </c>
      <c r="G970" s="24"/>
      <c r="H970" s="25" t="str">
        <f aca="false">IF($D970="","",IFERROR(INDEX(المنتجات!$F$5:$F$24,MATCH($D970,المنتجات!$A$5:$A$24,0)),0))</f>
        <v/>
      </c>
      <c r="I970" s="30"/>
      <c r="J970" s="25" t="str">
        <f aca="false">IF($D970="","",N(G970)*H970-N(I970))</f>
        <v/>
      </c>
      <c r="K970" s="25" t="str">
        <f aca="false">IF($D970="","",N(G970)*IFERROR(INDEX(المنتجات!$H$5:$H$24,MATCH($D970,المنتجات!$A$5:$A$24,0)),0))</f>
        <v/>
      </c>
      <c r="L970" s="25" t="str">
        <f aca="false">IF($D970="","",J970-K970)</f>
        <v/>
      </c>
      <c r="M970" s="29"/>
      <c r="N970" s="29"/>
    </row>
    <row r="971" customFormat="false" ht="15" hidden="false" customHeight="false" outlineLevel="0" collapsed="false">
      <c r="A971" s="32"/>
      <c r="B971" s="29"/>
      <c r="C971" s="29"/>
      <c r="D971" s="29"/>
      <c r="E971" s="28" t="str">
        <f aca="false">IF($D971="","",IFERROR(INDEX(المنتجات!$C$5:$C$24,MATCH($D971,المنتجات!$A$5:$A$24,0)),"كود غير موجود"))</f>
        <v/>
      </c>
      <c r="F971" s="28" t="str">
        <f aca="false">IF($D971="","",IFERROR(INDEX(المنتجات!$B$5:$B$24,MATCH($D971,المنتجات!$A$5:$A$24,0)),""))</f>
        <v/>
      </c>
      <c r="G971" s="24"/>
      <c r="H971" s="25" t="str">
        <f aca="false">IF($D971="","",IFERROR(INDEX(المنتجات!$F$5:$F$24,MATCH($D971,المنتجات!$A$5:$A$24,0)),0))</f>
        <v/>
      </c>
      <c r="I971" s="30"/>
      <c r="J971" s="25" t="str">
        <f aca="false">IF($D971="","",N(G971)*H971-N(I971))</f>
        <v/>
      </c>
      <c r="K971" s="25" t="str">
        <f aca="false">IF($D971="","",N(G971)*IFERROR(INDEX(المنتجات!$H$5:$H$24,MATCH($D971,المنتجات!$A$5:$A$24,0)),0))</f>
        <v/>
      </c>
      <c r="L971" s="25" t="str">
        <f aca="false">IF($D971="","",J971-K971)</f>
        <v/>
      </c>
      <c r="M971" s="29"/>
      <c r="N971" s="29"/>
    </row>
    <row r="972" customFormat="false" ht="15" hidden="false" customHeight="false" outlineLevel="0" collapsed="false">
      <c r="A972" s="32"/>
      <c r="B972" s="29"/>
      <c r="C972" s="29"/>
      <c r="D972" s="29"/>
      <c r="E972" s="28" t="str">
        <f aca="false">IF($D972="","",IFERROR(INDEX(المنتجات!$C$5:$C$24,MATCH($D972,المنتجات!$A$5:$A$24,0)),"كود غير موجود"))</f>
        <v/>
      </c>
      <c r="F972" s="28" t="str">
        <f aca="false">IF($D972="","",IFERROR(INDEX(المنتجات!$B$5:$B$24,MATCH($D972,المنتجات!$A$5:$A$24,0)),""))</f>
        <v/>
      </c>
      <c r="G972" s="24"/>
      <c r="H972" s="25" t="str">
        <f aca="false">IF($D972="","",IFERROR(INDEX(المنتجات!$F$5:$F$24,MATCH($D972,المنتجات!$A$5:$A$24,0)),0))</f>
        <v/>
      </c>
      <c r="I972" s="30"/>
      <c r="J972" s="25" t="str">
        <f aca="false">IF($D972="","",N(G972)*H972-N(I972))</f>
        <v/>
      </c>
      <c r="K972" s="25" t="str">
        <f aca="false">IF($D972="","",N(G972)*IFERROR(INDEX(المنتجات!$H$5:$H$24,MATCH($D972,المنتجات!$A$5:$A$24,0)),0))</f>
        <v/>
      </c>
      <c r="L972" s="25" t="str">
        <f aca="false">IF($D972="","",J972-K972)</f>
        <v/>
      </c>
      <c r="M972" s="29"/>
      <c r="N972" s="29"/>
    </row>
    <row r="973" customFormat="false" ht="15" hidden="false" customHeight="false" outlineLevel="0" collapsed="false">
      <c r="A973" s="32"/>
      <c r="B973" s="29"/>
      <c r="C973" s="29"/>
      <c r="D973" s="29"/>
      <c r="E973" s="28" t="str">
        <f aca="false">IF($D973="","",IFERROR(INDEX(المنتجات!$C$5:$C$24,MATCH($D973,المنتجات!$A$5:$A$24,0)),"كود غير موجود"))</f>
        <v/>
      </c>
      <c r="F973" s="28" t="str">
        <f aca="false">IF($D973="","",IFERROR(INDEX(المنتجات!$B$5:$B$24,MATCH($D973,المنتجات!$A$5:$A$24,0)),""))</f>
        <v/>
      </c>
      <c r="G973" s="24"/>
      <c r="H973" s="25" t="str">
        <f aca="false">IF($D973="","",IFERROR(INDEX(المنتجات!$F$5:$F$24,MATCH($D973,المنتجات!$A$5:$A$24,0)),0))</f>
        <v/>
      </c>
      <c r="I973" s="30"/>
      <c r="J973" s="25" t="str">
        <f aca="false">IF($D973="","",N(G973)*H973-N(I973))</f>
        <v/>
      </c>
      <c r="K973" s="25" t="str">
        <f aca="false">IF($D973="","",N(G973)*IFERROR(INDEX(المنتجات!$H$5:$H$24,MATCH($D973,المنتجات!$A$5:$A$24,0)),0))</f>
        <v/>
      </c>
      <c r="L973" s="25" t="str">
        <f aca="false">IF($D973="","",J973-K973)</f>
        <v/>
      </c>
      <c r="M973" s="29"/>
      <c r="N973" s="29"/>
    </row>
    <row r="974" customFormat="false" ht="15" hidden="false" customHeight="false" outlineLevel="0" collapsed="false">
      <c r="A974" s="32"/>
      <c r="B974" s="29"/>
      <c r="C974" s="29"/>
      <c r="D974" s="29"/>
      <c r="E974" s="28" t="str">
        <f aca="false">IF($D974="","",IFERROR(INDEX(المنتجات!$C$5:$C$24,MATCH($D974,المنتجات!$A$5:$A$24,0)),"كود غير موجود"))</f>
        <v/>
      </c>
      <c r="F974" s="28" t="str">
        <f aca="false">IF($D974="","",IFERROR(INDEX(المنتجات!$B$5:$B$24,MATCH($D974,المنتجات!$A$5:$A$24,0)),""))</f>
        <v/>
      </c>
      <c r="G974" s="24"/>
      <c r="H974" s="25" t="str">
        <f aca="false">IF($D974="","",IFERROR(INDEX(المنتجات!$F$5:$F$24,MATCH($D974,المنتجات!$A$5:$A$24,0)),0))</f>
        <v/>
      </c>
      <c r="I974" s="30"/>
      <c r="J974" s="25" t="str">
        <f aca="false">IF($D974="","",N(G974)*H974-N(I974))</f>
        <v/>
      </c>
      <c r="K974" s="25" t="str">
        <f aca="false">IF($D974="","",N(G974)*IFERROR(INDEX(المنتجات!$H$5:$H$24,MATCH($D974,المنتجات!$A$5:$A$24,0)),0))</f>
        <v/>
      </c>
      <c r="L974" s="25" t="str">
        <f aca="false">IF($D974="","",J974-K974)</f>
        <v/>
      </c>
      <c r="M974" s="29"/>
      <c r="N974" s="29"/>
    </row>
    <row r="975" customFormat="false" ht="15" hidden="false" customHeight="false" outlineLevel="0" collapsed="false">
      <c r="A975" s="32"/>
      <c r="B975" s="29"/>
      <c r="C975" s="29"/>
      <c r="D975" s="29"/>
      <c r="E975" s="28" t="str">
        <f aca="false">IF($D975="","",IFERROR(INDEX(المنتجات!$C$5:$C$24,MATCH($D975,المنتجات!$A$5:$A$24,0)),"كود غير موجود"))</f>
        <v/>
      </c>
      <c r="F975" s="28" t="str">
        <f aca="false">IF($D975="","",IFERROR(INDEX(المنتجات!$B$5:$B$24,MATCH($D975,المنتجات!$A$5:$A$24,0)),""))</f>
        <v/>
      </c>
      <c r="G975" s="24"/>
      <c r="H975" s="25" t="str">
        <f aca="false">IF($D975="","",IFERROR(INDEX(المنتجات!$F$5:$F$24,MATCH($D975,المنتجات!$A$5:$A$24,0)),0))</f>
        <v/>
      </c>
      <c r="I975" s="30"/>
      <c r="J975" s="25" t="str">
        <f aca="false">IF($D975="","",N(G975)*H975-N(I975))</f>
        <v/>
      </c>
      <c r="K975" s="25" t="str">
        <f aca="false">IF($D975="","",N(G975)*IFERROR(INDEX(المنتجات!$H$5:$H$24,MATCH($D975,المنتجات!$A$5:$A$24,0)),0))</f>
        <v/>
      </c>
      <c r="L975" s="25" t="str">
        <f aca="false">IF($D975="","",J975-K975)</f>
        <v/>
      </c>
      <c r="M975" s="29"/>
      <c r="N975" s="29"/>
    </row>
    <row r="976" customFormat="false" ht="15" hidden="false" customHeight="false" outlineLevel="0" collapsed="false">
      <c r="A976" s="32"/>
      <c r="B976" s="29"/>
      <c r="C976" s="29"/>
      <c r="D976" s="29"/>
      <c r="E976" s="28" t="str">
        <f aca="false">IF($D976="","",IFERROR(INDEX(المنتجات!$C$5:$C$24,MATCH($D976,المنتجات!$A$5:$A$24,0)),"كود غير موجود"))</f>
        <v/>
      </c>
      <c r="F976" s="28" t="str">
        <f aca="false">IF($D976="","",IFERROR(INDEX(المنتجات!$B$5:$B$24,MATCH($D976,المنتجات!$A$5:$A$24,0)),""))</f>
        <v/>
      </c>
      <c r="G976" s="24"/>
      <c r="H976" s="25" t="str">
        <f aca="false">IF($D976="","",IFERROR(INDEX(المنتجات!$F$5:$F$24,MATCH($D976,المنتجات!$A$5:$A$24,0)),0))</f>
        <v/>
      </c>
      <c r="I976" s="30"/>
      <c r="J976" s="25" t="str">
        <f aca="false">IF($D976="","",N(G976)*H976-N(I976))</f>
        <v/>
      </c>
      <c r="K976" s="25" t="str">
        <f aca="false">IF($D976="","",N(G976)*IFERROR(INDEX(المنتجات!$H$5:$H$24,MATCH($D976,المنتجات!$A$5:$A$24,0)),0))</f>
        <v/>
      </c>
      <c r="L976" s="25" t="str">
        <f aca="false">IF($D976="","",J976-K976)</f>
        <v/>
      </c>
      <c r="M976" s="29"/>
      <c r="N976" s="29"/>
    </row>
    <row r="977" customFormat="false" ht="15" hidden="false" customHeight="false" outlineLevel="0" collapsed="false">
      <c r="A977" s="32"/>
      <c r="B977" s="29"/>
      <c r="C977" s="29"/>
      <c r="D977" s="29"/>
      <c r="E977" s="28" t="str">
        <f aca="false">IF($D977="","",IFERROR(INDEX(المنتجات!$C$5:$C$24,MATCH($D977,المنتجات!$A$5:$A$24,0)),"كود غير موجود"))</f>
        <v/>
      </c>
      <c r="F977" s="28" t="str">
        <f aca="false">IF($D977="","",IFERROR(INDEX(المنتجات!$B$5:$B$24,MATCH($D977,المنتجات!$A$5:$A$24,0)),""))</f>
        <v/>
      </c>
      <c r="G977" s="24"/>
      <c r="H977" s="25" t="str">
        <f aca="false">IF($D977="","",IFERROR(INDEX(المنتجات!$F$5:$F$24,MATCH($D977,المنتجات!$A$5:$A$24,0)),0))</f>
        <v/>
      </c>
      <c r="I977" s="30"/>
      <c r="J977" s="25" t="str">
        <f aca="false">IF($D977="","",N(G977)*H977-N(I977))</f>
        <v/>
      </c>
      <c r="K977" s="25" t="str">
        <f aca="false">IF($D977="","",N(G977)*IFERROR(INDEX(المنتجات!$H$5:$H$24,MATCH($D977,المنتجات!$A$5:$A$24,0)),0))</f>
        <v/>
      </c>
      <c r="L977" s="25" t="str">
        <f aca="false">IF($D977="","",J977-K977)</f>
        <v/>
      </c>
      <c r="M977" s="29"/>
      <c r="N977" s="29"/>
    </row>
    <row r="978" customFormat="false" ht="15" hidden="false" customHeight="false" outlineLevel="0" collapsed="false">
      <c r="A978" s="32"/>
      <c r="B978" s="29"/>
      <c r="C978" s="29"/>
      <c r="D978" s="29"/>
      <c r="E978" s="28" t="str">
        <f aca="false">IF($D978="","",IFERROR(INDEX(المنتجات!$C$5:$C$24,MATCH($D978,المنتجات!$A$5:$A$24,0)),"كود غير موجود"))</f>
        <v/>
      </c>
      <c r="F978" s="28" t="str">
        <f aca="false">IF($D978="","",IFERROR(INDEX(المنتجات!$B$5:$B$24,MATCH($D978,المنتجات!$A$5:$A$24,0)),""))</f>
        <v/>
      </c>
      <c r="G978" s="24"/>
      <c r="H978" s="25" t="str">
        <f aca="false">IF($D978="","",IFERROR(INDEX(المنتجات!$F$5:$F$24,MATCH($D978,المنتجات!$A$5:$A$24,0)),0))</f>
        <v/>
      </c>
      <c r="I978" s="30"/>
      <c r="J978" s="25" t="str">
        <f aca="false">IF($D978="","",N(G978)*H978-N(I978))</f>
        <v/>
      </c>
      <c r="K978" s="25" t="str">
        <f aca="false">IF($D978="","",N(G978)*IFERROR(INDEX(المنتجات!$H$5:$H$24,MATCH($D978,المنتجات!$A$5:$A$24,0)),0))</f>
        <v/>
      </c>
      <c r="L978" s="25" t="str">
        <f aca="false">IF($D978="","",J978-K978)</f>
        <v/>
      </c>
      <c r="M978" s="29"/>
      <c r="N978" s="29"/>
    </row>
    <row r="979" customFormat="false" ht="15" hidden="false" customHeight="false" outlineLevel="0" collapsed="false">
      <c r="A979" s="32"/>
      <c r="B979" s="29"/>
      <c r="C979" s="29"/>
      <c r="D979" s="29"/>
      <c r="E979" s="28" t="str">
        <f aca="false">IF($D979="","",IFERROR(INDEX(المنتجات!$C$5:$C$24,MATCH($D979,المنتجات!$A$5:$A$24,0)),"كود غير موجود"))</f>
        <v/>
      </c>
      <c r="F979" s="28" t="str">
        <f aca="false">IF($D979="","",IFERROR(INDEX(المنتجات!$B$5:$B$24,MATCH($D979,المنتجات!$A$5:$A$24,0)),""))</f>
        <v/>
      </c>
      <c r="G979" s="24"/>
      <c r="H979" s="25" t="str">
        <f aca="false">IF($D979="","",IFERROR(INDEX(المنتجات!$F$5:$F$24,MATCH($D979,المنتجات!$A$5:$A$24,0)),0))</f>
        <v/>
      </c>
      <c r="I979" s="30"/>
      <c r="J979" s="25" t="str">
        <f aca="false">IF($D979="","",N(G979)*H979-N(I979))</f>
        <v/>
      </c>
      <c r="K979" s="25" t="str">
        <f aca="false">IF($D979="","",N(G979)*IFERROR(INDEX(المنتجات!$H$5:$H$24,MATCH($D979,المنتجات!$A$5:$A$24,0)),0))</f>
        <v/>
      </c>
      <c r="L979" s="25" t="str">
        <f aca="false">IF($D979="","",J979-K979)</f>
        <v/>
      </c>
      <c r="M979" s="29"/>
      <c r="N979" s="29"/>
    </row>
    <row r="980" customFormat="false" ht="15" hidden="false" customHeight="false" outlineLevel="0" collapsed="false">
      <c r="A980" s="32"/>
      <c r="B980" s="29"/>
      <c r="C980" s="29"/>
      <c r="D980" s="29"/>
      <c r="E980" s="28" t="str">
        <f aca="false">IF($D980="","",IFERROR(INDEX(المنتجات!$C$5:$C$24,MATCH($D980,المنتجات!$A$5:$A$24,0)),"كود غير موجود"))</f>
        <v/>
      </c>
      <c r="F980" s="28" t="str">
        <f aca="false">IF($D980="","",IFERROR(INDEX(المنتجات!$B$5:$B$24,MATCH($D980,المنتجات!$A$5:$A$24,0)),""))</f>
        <v/>
      </c>
      <c r="G980" s="24"/>
      <c r="H980" s="25" t="str">
        <f aca="false">IF($D980="","",IFERROR(INDEX(المنتجات!$F$5:$F$24,MATCH($D980,المنتجات!$A$5:$A$24,0)),0))</f>
        <v/>
      </c>
      <c r="I980" s="30"/>
      <c r="J980" s="25" t="str">
        <f aca="false">IF($D980="","",N(G980)*H980-N(I980))</f>
        <v/>
      </c>
      <c r="K980" s="25" t="str">
        <f aca="false">IF($D980="","",N(G980)*IFERROR(INDEX(المنتجات!$H$5:$H$24,MATCH($D980,المنتجات!$A$5:$A$24,0)),0))</f>
        <v/>
      </c>
      <c r="L980" s="25" t="str">
        <f aca="false">IF($D980="","",J980-K980)</f>
        <v/>
      </c>
      <c r="M980" s="29"/>
      <c r="N980" s="29"/>
    </row>
    <row r="981" customFormat="false" ht="15" hidden="false" customHeight="false" outlineLevel="0" collapsed="false">
      <c r="A981" s="32"/>
      <c r="B981" s="29"/>
      <c r="C981" s="29"/>
      <c r="D981" s="29"/>
      <c r="E981" s="28" t="str">
        <f aca="false">IF($D981="","",IFERROR(INDEX(المنتجات!$C$5:$C$24,MATCH($D981,المنتجات!$A$5:$A$24,0)),"كود غير موجود"))</f>
        <v/>
      </c>
      <c r="F981" s="28" t="str">
        <f aca="false">IF($D981="","",IFERROR(INDEX(المنتجات!$B$5:$B$24,MATCH($D981,المنتجات!$A$5:$A$24,0)),""))</f>
        <v/>
      </c>
      <c r="G981" s="24"/>
      <c r="H981" s="25" t="str">
        <f aca="false">IF($D981="","",IFERROR(INDEX(المنتجات!$F$5:$F$24,MATCH($D981,المنتجات!$A$5:$A$24,0)),0))</f>
        <v/>
      </c>
      <c r="I981" s="30"/>
      <c r="J981" s="25" t="str">
        <f aca="false">IF($D981="","",N(G981)*H981-N(I981))</f>
        <v/>
      </c>
      <c r="K981" s="25" t="str">
        <f aca="false">IF($D981="","",N(G981)*IFERROR(INDEX(المنتجات!$H$5:$H$24,MATCH($D981,المنتجات!$A$5:$A$24,0)),0))</f>
        <v/>
      </c>
      <c r="L981" s="25" t="str">
        <f aca="false">IF($D981="","",J981-K981)</f>
        <v/>
      </c>
      <c r="M981" s="29"/>
      <c r="N981" s="29"/>
    </row>
    <row r="982" customFormat="false" ht="15" hidden="false" customHeight="false" outlineLevel="0" collapsed="false">
      <c r="A982" s="32"/>
      <c r="B982" s="29"/>
      <c r="C982" s="29"/>
      <c r="D982" s="29"/>
      <c r="E982" s="28" t="str">
        <f aca="false">IF($D982="","",IFERROR(INDEX(المنتجات!$C$5:$C$24,MATCH($D982,المنتجات!$A$5:$A$24,0)),"كود غير موجود"))</f>
        <v/>
      </c>
      <c r="F982" s="28" t="str">
        <f aca="false">IF($D982="","",IFERROR(INDEX(المنتجات!$B$5:$B$24,MATCH($D982,المنتجات!$A$5:$A$24,0)),""))</f>
        <v/>
      </c>
      <c r="G982" s="24"/>
      <c r="H982" s="25" t="str">
        <f aca="false">IF($D982="","",IFERROR(INDEX(المنتجات!$F$5:$F$24,MATCH($D982,المنتجات!$A$5:$A$24,0)),0))</f>
        <v/>
      </c>
      <c r="I982" s="30"/>
      <c r="J982" s="25" t="str">
        <f aca="false">IF($D982="","",N(G982)*H982-N(I982))</f>
        <v/>
      </c>
      <c r="K982" s="25" t="str">
        <f aca="false">IF($D982="","",N(G982)*IFERROR(INDEX(المنتجات!$H$5:$H$24,MATCH($D982,المنتجات!$A$5:$A$24,0)),0))</f>
        <v/>
      </c>
      <c r="L982" s="25" t="str">
        <f aca="false">IF($D982="","",J982-K982)</f>
        <v/>
      </c>
      <c r="M982" s="29"/>
      <c r="N982" s="29"/>
    </row>
    <row r="983" customFormat="false" ht="15" hidden="false" customHeight="false" outlineLevel="0" collapsed="false">
      <c r="A983" s="32"/>
      <c r="B983" s="29"/>
      <c r="C983" s="29"/>
      <c r="D983" s="29"/>
      <c r="E983" s="28" t="str">
        <f aca="false">IF($D983="","",IFERROR(INDEX(المنتجات!$C$5:$C$24,MATCH($D983,المنتجات!$A$5:$A$24,0)),"كود غير موجود"))</f>
        <v/>
      </c>
      <c r="F983" s="28" t="str">
        <f aca="false">IF($D983="","",IFERROR(INDEX(المنتجات!$B$5:$B$24,MATCH($D983,المنتجات!$A$5:$A$24,0)),""))</f>
        <v/>
      </c>
      <c r="G983" s="24"/>
      <c r="H983" s="25" t="str">
        <f aca="false">IF($D983="","",IFERROR(INDEX(المنتجات!$F$5:$F$24,MATCH($D983,المنتجات!$A$5:$A$24,0)),0))</f>
        <v/>
      </c>
      <c r="I983" s="30"/>
      <c r="J983" s="25" t="str">
        <f aca="false">IF($D983="","",N(G983)*H983-N(I983))</f>
        <v/>
      </c>
      <c r="K983" s="25" t="str">
        <f aca="false">IF($D983="","",N(G983)*IFERROR(INDEX(المنتجات!$H$5:$H$24,MATCH($D983,المنتجات!$A$5:$A$24,0)),0))</f>
        <v/>
      </c>
      <c r="L983" s="25" t="str">
        <f aca="false">IF($D983="","",J983-K983)</f>
        <v/>
      </c>
      <c r="M983" s="29"/>
      <c r="N983" s="29"/>
    </row>
    <row r="984" customFormat="false" ht="15" hidden="false" customHeight="false" outlineLevel="0" collapsed="false">
      <c r="A984" s="32"/>
      <c r="B984" s="29"/>
      <c r="C984" s="29"/>
      <c r="D984" s="29"/>
      <c r="E984" s="28" t="str">
        <f aca="false">IF($D984="","",IFERROR(INDEX(المنتجات!$C$5:$C$24,MATCH($D984,المنتجات!$A$5:$A$24,0)),"كود غير موجود"))</f>
        <v/>
      </c>
      <c r="F984" s="28" t="str">
        <f aca="false">IF($D984="","",IFERROR(INDEX(المنتجات!$B$5:$B$24,MATCH($D984,المنتجات!$A$5:$A$24,0)),""))</f>
        <v/>
      </c>
      <c r="G984" s="24"/>
      <c r="H984" s="25" t="str">
        <f aca="false">IF($D984="","",IFERROR(INDEX(المنتجات!$F$5:$F$24,MATCH($D984,المنتجات!$A$5:$A$24,0)),0))</f>
        <v/>
      </c>
      <c r="I984" s="30"/>
      <c r="J984" s="25" t="str">
        <f aca="false">IF($D984="","",N(G984)*H984-N(I984))</f>
        <v/>
      </c>
      <c r="K984" s="25" t="str">
        <f aca="false">IF($D984="","",N(G984)*IFERROR(INDEX(المنتجات!$H$5:$H$24,MATCH($D984,المنتجات!$A$5:$A$24,0)),0))</f>
        <v/>
      </c>
      <c r="L984" s="25" t="str">
        <f aca="false">IF($D984="","",J984-K984)</f>
        <v/>
      </c>
      <c r="M984" s="29"/>
      <c r="N984" s="29"/>
    </row>
    <row r="985" customFormat="false" ht="15" hidden="false" customHeight="false" outlineLevel="0" collapsed="false">
      <c r="A985" s="32"/>
      <c r="B985" s="29"/>
      <c r="C985" s="29"/>
      <c r="D985" s="29"/>
      <c r="E985" s="28" t="str">
        <f aca="false">IF($D985="","",IFERROR(INDEX(المنتجات!$C$5:$C$24,MATCH($D985,المنتجات!$A$5:$A$24,0)),"كود غير موجود"))</f>
        <v/>
      </c>
      <c r="F985" s="28" t="str">
        <f aca="false">IF($D985="","",IFERROR(INDEX(المنتجات!$B$5:$B$24,MATCH($D985,المنتجات!$A$5:$A$24,0)),""))</f>
        <v/>
      </c>
      <c r="G985" s="24"/>
      <c r="H985" s="25" t="str">
        <f aca="false">IF($D985="","",IFERROR(INDEX(المنتجات!$F$5:$F$24,MATCH($D985,المنتجات!$A$5:$A$24,0)),0))</f>
        <v/>
      </c>
      <c r="I985" s="30"/>
      <c r="J985" s="25" t="str">
        <f aca="false">IF($D985="","",N(G985)*H985-N(I985))</f>
        <v/>
      </c>
      <c r="K985" s="25" t="str">
        <f aca="false">IF($D985="","",N(G985)*IFERROR(INDEX(المنتجات!$H$5:$H$24,MATCH($D985,المنتجات!$A$5:$A$24,0)),0))</f>
        <v/>
      </c>
      <c r="L985" s="25" t="str">
        <f aca="false">IF($D985="","",J985-K985)</f>
        <v/>
      </c>
      <c r="M985" s="29"/>
      <c r="N985" s="29"/>
    </row>
    <row r="986" customFormat="false" ht="15" hidden="false" customHeight="false" outlineLevel="0" collapsed="false">
      <c r="A986" s="32"/>
      <c r="B986" s="29"/>
      <c r="C986" s="29"/>
      <c r="D986" s="29"/>
      <c r="E986" s="28" t="str">
        <f aca="false">IF($D986="","",IFERROR(INDEX(المنتجات!$C$5:$C$24,MATCH($D986,المنتجات!$A$5:$A$24,0)),"كود غير موجود"))</f>
        <v/>
      </c>
      <c r="F986" s="28" t="str">
        <f aca="false">IF($D986="","",IFERROR(INDEX(المنتجات!$B$5:$B$24,MATCH($D986,المنتجات!$A$5:$A$24,0)),""))</f>
        <v/>
      </c>
      <c r="G986" s="24"/>
      <c r="H986" s="25" t="str">
        <f aca="false">IF($D986="","",IFERROR(INDEX(المنتجات!$F$5:$F$24,MATCH($D986,المنتجات!$A$5:$A$24,0)),0))</f>
        <v/>
      </c>
      <c r="I986" s="30"/>
      <c r="J986" s="25" t="str">
        <f aca="false">IF($D986="","",N(G986)*H986-N(I986))</f>
        <v/>
      </c>
      <c r="K986" s="25" t="str">
        <f aca="false">IF($D986="","",N(G986)*IFERROR(INDEX(المنتجات!$H$5:$H$24,MATCH($D986,المنتجات!$A$5:$A$24,0)),0))</f>
        <v/>
      </c>
      <c r="L986" s="25" t="str">
        <f aca="false">IF($D986="","",J986-K986)</f>
        <v/>
      </c>
      <c r="M986" s="29"/>
      <c r="N986" s="29"/>
    </row>
    <row r="987" customFormat="false" ht="15" hidden="false" customHeight="false" outlineLevel="0" collapsed="false">
      <c r="A987" s="32"/>
      <c r="B987" s="29"/>
      <c r="C987" s="29"/>
      <c r="D987" s="29"/>
      <c r="E987" s="28" t="str">
        <f aca="false">IF($D987="","",IFERROR(INDEX(المنتجات!$C$5:$C$24,MATCH($D987,المنتجات!$A$5:$A$24,0)),"كود غير موجود"))</f>
        <v/>
      </c>
      <c r="F987" s="28" t="str">
        <f aca="false">IF($D987="","",IFERROR(INDEX(المنتجات!$B$5:$B$24,MATCH($D987,المنتجات!$A$5:$A$24,0)),""))</f>
        <v/>
      </c>
      <c r="G987" s="24"/>
      <c r="H987" s="25" t="str">
        <f aca="false">IF($D987="","",IFERROR(INDEX(المنتجات!$F$5:$F$24,MATCH($D987,المنتجات!$A$5:$A$24,0)),0))</f>
        <v/>
      </c>
      <c r="I987" s="30"/>
      <c r="J987" s="25" t="str">
        <f aca="false">IF($D987="","",N(G987)*H987-N(I987))</f>
        <v/>
      </c>
      <c r="K987" s="25" t="str">
        <f aca="false">IF($D987="","",N(G987)*IFERROR(INDEX(المنتجات!$H$5:$H$24,MATCH($D987,المنتجات!$A$5:$A$24,0)),0))</f>
        <v/>
      </c>
      <c r="L987" s="25" t="str">
        <f aca="false">IF($D987="","",J987-K987)</f>
        <v/>
      </c>
      <c r="M987" s="29"/>
      <c r="N987" s="29"/>
    </row>
    <row r="988" customFormat="false" ht="15" hidden="false" customHeight="false" outlineLevel="0" collapsed="false">
      <c r="A988" s="32"/>
      <c r="B988" s="29"/>
      <c r="C988" s="29"/>
      <c r="D988" s="29"/>
      <c r="E988" s="28" t="str">
        <f aca="false">IF($D988="","",IFERROR(INDEX(المنتجات!$C$5:$C$24,MATCH($D988,المنتجات!$A$5:$A$24,0)),"كود غير موجود"))</f>
        <v/>
      </c>
      <c r="F988" s="28" t="str">
        <f aca="false">IF($D988="","",IFERROR(INDEX(المنتجات!$B$5:$B$24,MATCH($D988,المنتجات!$A$5:$A$24,0)),""))</f>
        <v/>
      </c>
      <c r="G988" s="24"/>
      <c r="H988" s="25" t="str">
        <f aca="false">IF($D988="","",IFERROR(INDEX(المنتجات!$F$5:$F$24,MATCH($D988,المنتجات!$A$5:$A$24,0)),0))</f>
        <v/>
      </c>
      <c r="I988" s="30"/>
      <c r="J988" s="25" t="str">
        <f aca="false">IF($D988="","",N(G988)*H988-N(I988))</f>
        <v/>
      </c>
      <c r="K988" s="25" t="str">
        <f aca="false">IF($D988="","",N(G988)*IFERROR(INDEX(المنتجات!$H$5:$H$24,MATCH($D988,المنتجات!$A$5:$A$24,0)),0))</f>
        <v/>
      </c>
      <c r="L988" s="25" t="str">
        <f aca="false">IF($D988="","",J988-K988)</f>
        <v/>
      </c>
      <c r="M988" s="29"/>
      <c r="N988" s="29"/>
    </row>
    <row r="989" customFormat="false" ht="15" hidden="false" customHeight="false" outlineLevel="0" collapsed="false">
      <c r="A989" s="32"/>
      <c r="B989" s="29"/>
      <c r="C989" s="29"/>
      <c r="D989" s="29"/>
      <c r="E989" s="28" t="str">
        <f aca="false">IF($D989="","",IFERROR(INDEX(المنتجات!$C$5:$C$24,MATCH($D989,المنتجات!$A$5:$A$24,0)),"كود غير موجود"))</f>
        <v/>
      </c>
      <c r="F989" s="28" t="str">
        <f aca="false">IF($D989="","",IFERROR(INDEX(المنتجات!$B$5:$B$24,MATCH($D989,المنتجات!$A$5:$A$24,0)),""))</f>
        <v/>
      </c>
      <c r="G989" s="24"/>
      <c r="H989" s="25" t="str">
        <f aca="false">IF($D989="","",IFERROR(INDEX(المنتجات!$F$5:$F$24,MATCH($D989,المنتجات!$A$5:$A$24,0)),0))</f>
        <v/>
      </c>
      <c r="I989" s="30"/>
      <c r="J989" s="25" t="str">
        <f aca="false">IF($D989="","",N(G989)*H989-N(I989))</f>
        <v/>
      </c>
      <c r="K989" s="25" t="str">
        <f aca="false">IF($D989="","",N(G989)*IFERROR(INDEX(المنتجات!$H$5:$H$24,MATCH($D989,المنتجات!$A$5:$A$24,0)),0))</f>
        <v/>
      </c>
      <c r="L989" s="25" t="str">
        <f aca="false">IF($D989="","",J989-K989)</f>
        <v/>
      </c>
      <c r="M989" s="29"/>
      <c r="N989" s="29"/>
    </row>
    <row r="990" customFormat="false" ht="15" hidden="false" customHeight="false" outlineLevel="0" collapsed="false">
      <c r="A990" s="32"/>
      <c r="B990" s="29"/>
      <c r="C990" s="29"/>
      <c r="D990" s="29"/>
      <c r="E990" s="28" t="str">
        <f aca="false">IF($D990="","",IFERROR(INDEX(المنتجات!$C$5:$C$24,MATCH($D990,المنتجات!$A$5:$A$24,0)),"كود غير موجود"))</f>
        <v/>
      </c>
      <c r="F990" s="28" t="str">
        <f aca="false">IF($D990="","",IFERROR(INDEX(المنتجات!$B$5:$B$24,MATCH($D990,المنتجات!$A$5:$A$24,0)),""))</f>
        <v/>
      </c>
      <c r="G990" s="24"/>
      <c r="H990" s="25" t="str">
        <f aca="false">IF($D990="","",IFERROR(INDEX(المنتجات!$F$5:$F$24,MATCH($D990,المنتجات!$A$5:$A$24,0)),0))</f>
        <v/>
      </c>
      <c r="I990" s="30"/>
      <c r="J990" s="25" t="str">
        <f aca="false">IF($D990="","",N(G990)*H990-N(I990))</f>
        <v/>
      </c>
      <c r="K990" s="25" t="str">
        <f aca="false">IF($D990="","",N(G990)*IFERROR(INDEX(المنتجات!$H$5:$H$24,MATCH($D990,المنتجات!$A$5:$A$24,0)),0))</f>
        <v/>
      </c>
      <c r="L990" s="25" t="str">
        <f aca="false">IF($D990="","",J990-K990)</f>
        <v/>
      </c>
      <c r="M990" s="29"/>
      <c r="N990" s="29"/>
    </row>
    <row r="991" customFormat="false" ht="15" hidden="false" customHeight="false" outlineLevel="0" collapsed="false">
      <c r="A991" s="32"/>
      <c r="B991" s="29"/>
      <c r="C991" s="29"/>
      <c r="D991" s="29"/>
      <c r="E991" s="28" t="str">
        <f aca="false">IF($D991="","",IFERROR(INDEX(المنتجات!$C$5:$C$24,MATCH($D991,المنتجات!$A$5:$A$24,0)),"كود غير موجود"))</f>
        <v/>
      </c>
      <c r="F991" s="28" t="str">
        <f aca="false">IF($D991="","",IFERROR(INDEX(المنتجات!$B$5:$B$24,MATCH($D991,المنتجات!$A$5:$A$24,0)),""))</f>
        <v/>
      </c>
      <c r="G991" s="24"/>
      <c r="H991" s="25" t="str">
        <f aca="false">IF($D991="","",IFERROR(INDEX(المنتجات!$F$5:$F$24,MATCH($D991,المنتجات!$A$5:$A$24,0)),0))</f>
        <v/>
      </c>
      <c r="I991" s="30"/>
      <c r="J991" s="25" t="str">
        <f aca="false">IF($D991="","",N(G991)*H991-N(I991))</f>
        <v/>
      </c>
      <c r="K991" s="25" t="str">
        <f aca="false">IF($D991="","",N(G991)*IFERROR(INDEX(المنتجات!$H$5:$H$24,MATCH($D991,المنتجات!$A$5:$A$24,0)),0))</f>
        <v/>
      </c>
      <c r="L991" s="25" t="str">
        <f aca="false">IF($D991="","",J991-K991)</f>
        <v/>
      </c>
      <c r="M991" s="29"/>
      <c r="N991" s="29"/>
    </row>
    <row r="992" customFormat="false" ht="15" hidden="false" customHeight="false" outlineLevel="0" collapsed="false">
      <c r="A992" s="32"/>
      <c r="B992" s="29"/>
      <c r="C992" s="29"/>
      <c r="D992" s="29"/>
      <c r="E992" s="28" t="str">
        <f aca="false">IF($D992="","",IFERROR(INDEX(المنتجات!$C$5:$C$24,MATCH($D992,المنتجات!$A$5:$A$24,0)),"كود غير موجود"))</f>
        <v/>
      </c>
      <c r="F992" s="28" t="str">
        <f aca="false">IF($D992="","",IFERROR(INDEX(المنتجات!$B$5:$B$24,MATCH($D992,المنتجات!$A$5:$A$24,0)),""))</f>
        <v/>
      </c>
      <c r="G992" s="24"/>
      <c r="H992" s="25" t="str">
        <f aca="false">IF($D992="","",IFERROR(INDEX(المنتجات!$F$5:$F$24,MATCH($D992,المنتجات!$A$5:$A$24,0)),0))</f>
        <v/>
      </c>
      <c r="I992" s="30"/>
      <c r="J992" s="25" t="str">
        <f aca="false">IF($D992="","",N(G992)*H992-N(I992))</f>
        <v/>
      </c>
      <c r="K992" s="25" t="str">
        <f aca="false">IF($D992="","",N(G992)*IFERROR(INDEX(المنتجات!$H$5:$H$24,MATCH($D992,المنتجات!$A$5:$A$24,0)),0))</f>
        <v/>
      </c>
      <c r="L992" s="25" t="str">
        <f aca="false">IF($D992="","",J992-K992)</f>
        <v/>
      </c>
      <c r="M992" s="29"/>
      <c r="N992" s="29"/>
    </row>
    <row r="993" customFormat="false" ht="15" hidden="false" customHeight="false" outlineLevel="0" collapsed="false">
      <c r="A993" s="32"/>
      <c r="B993" s="29"/>
      <c r="C993" s="29"/>
      <c r="D993" s="29"/>
      <c r="E993" s="28" t="str">
        <f aca="false">IF($D993="","",IFERROR(INDEX(المنتجات!$C$5:$C$24,MATCH($D993,المنتجات!$A$5:$A$24,0)),"كود غير موجود"))</f>
        <v/>
      </c>
      <c r="F993" s="28" t="str">
        <f aca="false">IF($D993="","",IFERROR(INDEX(المنتجات!$B$5:$B$24,MATCH($D993,المنتجات!$A$5:$A$24,0)),""))</f>
        <v/>
      </c>
      <c r="G993" s="24"/>
      <c r="H993" s="25" t="str">
        <f aca="false">IF($D993="","",IFERROR(INDEX(المنتجات!$F$5:$F$24,MATCH($D993,المنتجات!$A$5:$A$24,0)),0))</f>
        <v/>
      </c>
      <c r="I993" s="30"/>
      <c r="J993" s="25" t="str">
        <f aca="false">IF($D993="","",N(G993)*H993-N(I993))</f>
        <v/>
      </c>
      <c r="K993" s="25" t="str">
        <f aca="false">IF($D993="","",N(G993)*IFERROR(INDEX(المنتجات!$H$5:$H$24,MATCH($D993,المنتجات!$A$5:$A$24,0)),0))</f>
        <v/>
      </c>
      <c r="L993" s="25" t="str">
        <f aca="false">IF($D993="","",J993-K993)</f>
        <v/>
      </c>
      <c r="M993" s="29"/>
      <c r="N993" s="29"/>
    </row>
    <row r="994" customFormat="false" ht="15" hidden="false" customHeight="false" outlineLevel="0" collapsed="false">
      <c r="A994" s="32"/>
      <c r="B994" s="29"/>
      <c r="C994" s="29"/>
      <c r="D994" s="29"/>
      <c r="E994" s="28" t="str">
        <f aca="false">IF($D994="","",IFERROR(INDEX(المنتجات!$C$5:$C$24,MATCH($D994,المنتجات!$A$5:$A$24,0)),"كود غير موجود"))</f>
        <v/>
      </c>
      <c r="F994" s="28" t="str">
        <f aca="false">IF($D994="","",IFERROR(INDEX(المنتجات!$B$5:$B$24,MATCH($D994,المنتجات!$A$5:$A$24,0)),""))</f>
        <v/>
      </c>
      <c r="G994" s="24"/>
      <c r="H994" s="25" t="str">
        <f aca="false">IF($D994="","",IFERROR(INDEX(المنتجات!$F$5:$F$24,MATCH($D994,المنتجات!$A$5:$A$24,0)),0))</f>
        <v/>
      </c>
      <c r="I994" s="30"/>
      <c r="J994" s="25" t="str">
        <f aca="false">IF($D994="","",N(G994)*H994-N(I994))</f>
        <v/>
      </c>
      <c r="K994" s="25" t="str">
        <f aca="false">IF($D994="","",N(G994)*IFERROR(INDEX(المنتجات!$H$5:$H$24,MATCH($D994,المنتجات!$A$5:$A$24,0)),0))</f>
        <v/>
      </c>
      <c r="L994" s="25" t="str">
        <f aca="false">IF($D994="","",J994-K994)</f>
        <v/>
      </c>
      <c r="M994" s="29"/>
      <c r="N994" s="29"/>
    </row>
    <row r="995" customFormat="false" ht="15" hidden="false" customHeight="false" outlineLevel="0" collapsed="false">
      <c r="A995" s="32"/>
      <c r="B995" s="29"/>
      <c r="C995" s="29"/>
      <c r="D995" s="29"/>
      <c r="E995" s="28" t="str">
        <f aca="false">IF($D995="","",IFERROR(INDEX(المنتجات!$C$5:$C$24,MATCH($D995,المنتجات!$A$5:$A$24,0)),"كود غير موجود"))</f>
        <v/>
      </c>
      <c r="F995" s="28" t="str">
        <f aca="false">IF($D995="","",IFERROR(INDEX(المنتجات!$B$5:$B$24,MATCH($D995,المنتجات!$A$5:$A$24,0)),""))</f>
        <v/>
      </c>
      <c r="G995" s="24"/>
      <c r="H995" s="25" t="str">
        <f aca="false">IF($D995="","",IFERROR(INDEX(المنتجات!$F$5:$F$24,MATCH($D995,المنتجات!$A$5:$A$24,0)),0))</f>
        <v/>
      </c>
      <c r="I995" s="30"/>
      <c r="J995" s="25" t="str">
        <f aca="false">IF($D995="","",N(G995)*H995-N(I995))</f>
        <v/>
      </c>
      <c r="K995" s="25" t="str">
        <f aca="false">IF($D995="","",N(G995)*IFERROR(INDEX(المنتجات!$H$5:$H$24,MATCH($D995,المنتجات!$A$5:$A$24,0)),0))</f>
        <v/>
      </c>
      <c r="L995" s="25" t="str">
        <f aca="false">IF($D995="","",J995-K995)</f>
        <v/>
      </c>
      <c r="M995" s="29"/>
      <c r="N995" s="29"/>
    </row>
    <row r="996" customFormat="false" ht="15" hidden="false" customHeight="false" outlineLevel="0" collapsed="false">
      <c r="A996" s="32"/>
      <c r="B996" s="29"/>
      <c r="C996" s="29"/>
      <c r="D996" s="29"/>
      <c r="E996" s="28" t="str">
        <f aca="false">IF($D996="","",IFERROR(INDEX(المنتجات!$C$5:$C$24,MATCH($D996,المنتجات!$A$5:$A$24,0)),"كود غير موجود"))</f>
        <v/>
      </c>
      <c r="F996" s="28" t="str">
        <f aca="false">IF($D996="","",IFERROR(INDEX(المنتجات!$B$5:$B$24,MATCH($D996,المنتجات!$A$5:$A$24,0)),""))</f>
        <v/>
      </c>
      <c r="G996" s="24"/>
      <c r="H996" s="25" t="str">
        <f aca="false">IF($D996="","",IFERROR(INDEX(المنتجات!$F$5:$F$24,MATCH($D996,المنتجات!$A$5:$A$24,0)),0))</f>
        <v/>
      </c>
      <c r="I996" s="30"/>
      <c r="J996" s="25" t="str">
        <f aca="false">IF($D996="","",N(G996)*H996-N(I996))</f>
        <v/>
      </c>
      <c r="K996" s="25" t="str">
        <f aca="false">IF($D996="","",N(G996)*IFERROR(INDEX(المنتجات!$H$5:$H$24,MATCH($D996,المنتجات!$A$5:$A$24,0)),0))</f>
        <v/>
      </c>
      <c r="L996" s="25" t="str">
        <f aca="false">IF($D996="","",J996-K996)</f>
        <v/>
      </c>
      <c r="M996" s="29"/>
      <c r="N996" s="29"/>
    </row>
    <row r="997" customFormat="false" ht="15" hidden="false" customHeight="false" outlineLevel="0" collapsed="false">
      <c r="A997" s="32"/>
      <c r="B997" s="29"/>
      <c r="C997" s="29"/>
      <c r="D997" s="29"/>
      <c r="E997" s="28" t="str">
        <f aca="false">IF($D997="","",IFERROR(INDEX(المنتجات!$C$5:$C$24,MATCH($D997,المنتجات!$A$5:$A$24,0)),"كود غير موجود"))</f>
        <v/>
      </c>
      <c r="F997" s="28" t="str">
        <f aca="false">IF($D997="","",IFERROR(INDEX(المنتجات!$B$5:$B$24,MATCH($D997,المنتجات!$A$5:$A$24,0)),""))</f>
        <v/>
      </c>
      <c r="G997" s="24"/>
      <c r="H997" s="25" t="str">
        <f aca="false">IF($D997="","",IFERROR(INDEX(المنتجات!$F$5:$F$24,MATCH($D997,المنتجات!$A$5:$A$24,0)),0))</f>
        <v/>
      </c>
      <c r="I997" s="30"/>
      <c r="J997" s="25" t="str">
        <f aca="false">IF($D997="","",N(G997)*H997-N(I997))</f>
        <v/>
      </c>
      <c r="K997" s="25" t="str">
        <f aca="false">IF($D997="","",N(G997)*IFERROR(INDEX(المنتجات!$H$5:$H$24,MATCH($D997,المنتجات!$A$5:$A$24,0)),0))</f>
        <v/>
      </c>
      <c r="L997" s="25" t="str">
        <f aca="false">IF($D997="","",J997-K997)</f>
        <v/>
      </c>
      <c r="M997" s="29"/>
      <c r="N997" s="29"/>
    </row>
    <row r="998" customFormat="false" ht="15" hidden="false" customHeight="false" outlineLevel="0" collapsed="false">
      <c r="A998" s="32"/>
      <c r="B998" s="29"/>
      <c r="C998" s="29"/>
      <c r="D998" s="29"/>
      <c r="E998" s="28" t="str">
        <f aca="false">IF($D998="","",IFERROR(INDEX(المنتجات!$C$5:$C$24,MATCH($D998,المنتجات!$A$5:$A$24,0)),"كود غير موجود"))</f>
        <v/>
      </c>
      <c r="F998" s="28" t="str">
        <f aca="false">IF($D998="","",IFERROR(INDEX(المنتجات!$B$5:$B$24,MATCH($D998,المنتجات!$A$5:$A$24,0)),""))</f>
        <v/>
      </c>
      <c r="G998" s="24"/>
      <c r="H998" s="25" t="str">
        <f aca="false">IF($D998="","",IFERROR(INDEX(المنتجات!$F$5:$F$24,MATCH($D998,المنتجات!$A$5:$A$24,0)),0))</f>
        <v/>
      </c>
      <c r="I998" s="30"/>
      <c r="J998" s="25" t="str">
        <f aca="false">IF($D998="","",N(G998)*H998-N(I998))</f>
        <v/>
      </c>
      <c r="K998" s="25" t="str">
        <f aca="false">IF($D998="","",N(G998)*IFERROR(INDEX(المنتجات!$H$5:$H$24,MATCH($D998,المنتجات!$A$5:$A$24,0)),0))</f>
        <v/>
      </c>
      <c r="L998" s="25" t="str">
        <f aca="false">IF($D998="","",J998-K998)</f>
        <v/>
      </c>
      <c r="M998" s="29"/>
      <c r="N998" s="29"/>
    </row>
    <row r="999" customFormat="false" ht="15" hidden="false" customHeight="false" outlineLevel="0" collapsed="false">
      <c r="A999" s="32"/>
      <c r="B999" s="29"/>
      <c r="C999" s="29"/>
      <c r="D999" s="29"/>
      <c r="E999" s="28" t="str">
        <f aca="false">IF($D999="","",IFERROR(INDEX(المنتجات!$C$5:$C$24,MATCH($D999,المنتجات!$A$5:$A$24,0)),"كود غير موجود"))</f>
        <v/>
      </c>
      <c r="F999" s="28" t="str">
        <f aca="false">IF($D999="","",IFERROR(INDEX(المنتجات!$B$5:$B$24,MATCH($D999,المنتجات!$A$5:$A$24,0)),""))</f>
        <v/>
      </c>
      <c r="G999" s="24"/>
      <c r="H999" s="25" t="str">
        <f aca="false">IF($D999="","",IFERROR(INDEX(المنتجات!$F$5:$F$24,MATCH($D999,المنتجات!$A$5:$A$24,0)),0))</f>
        <v/>
      </c>
      <c r="I999" s="30"/>
      <c r="J999" s="25" t="str">
        <f aca="false">IF($D999="","",N(G999)*H999-N(I999))</f>
        <v/>
      </c>
      <c r="K999" s="25" t="str">
        <f aca="false">IF($D999="","",N(G999)*IFERROR(INDEX(المنتجات!$H$5:$H$24,MATCH($D999,المنتجات!$A$5:$A$24,0)),0))</f>
        <v/>
      </c>
      <c r="L999" s="25" t="str">
        <f aca="false">IF($D999="","",J999-K999)</f>
        <v/>
      </c>
      <c r="M999" s="29"/>
      <c r="N999" s="29"/>
    </row>
    <row r="1000" customFormat="false" ht="15" hidden="false" customHeight="false" outlineLevel="0" collapsed="false">
      <c r="A1000" s="32"/>
      <c r="B1000" s="29"/>
      <c r="C1000" s="29"/>
      <c r="D1000" s="29"/>
      <c r="E1000" s="28" t="str">
        <f aca="false">IF($D1000="","",IFERROR(INDEX(المنتجات!$C$5:$C$24,MATCH($D1000,المنتجات!$A$5:$A$24,0)),"كود غير موجود"))</f>
        <v/>
      </c>
      <c r="F1000" s="28" t="str">
        <f aca="false">IF($D1000="","",IFERROR(INDEX(المنتجات!$B$5:$B$24,MATCH($D1000,المنتجات!$A$5:$A$24,0)),""))</f>
        <v/>
      </c>
      <c r="G1000" s="24"/>
      <c r="H1000" s="25" t="str">
        <f aca="false">IF($D1000="","",IFERROR(INDEX(المنتجات!$F$5:$F$24,MATCH($D1000,المنتجات!$A$5:$A$24,0)),0))</f>
        <v/>
      </c>
      <c r="I1000" s="30"/>
      <c r="J1000" s="25" t="str">
        <f aca="false">IF($D1000="","",N(G1000)*H1000-N(I1000))</f>
        <v/>
      </c>
      <c r="K1000" s="25" t="str">
        <f aca="false">IF($D1000="","",N(G1000)*IFERROR(INDEX(المنتجات!$H$5:$H$24,MATCH($D1000,المنتجات!$A$5:$A$24,0)),0))</f>
        <v/>
      </c>
      <c r="L1000" s="25" t="str">
        <f aca="false">IF($D1000="","",J1000-K1000)</f>
        <v/>
      </c>
      <c r="M1000" s="29"/>
      <c r="N1000" s="29"/>
    </row>
    <row r="1001" customFormat="false" ht="15" hidden="false" customHeight="false" outlineLevel="0" collapsed="false">
      <c r="A1001" s="32"/>
      <c r="B1001" s="29"/>
      <c r="C1001" s="29"/>
      <c r="D1001" s="29"/>
      <c r="E1001" s="28" t="str">
        <f aca="false">IF($D1001="","",IFERROR(INDEX(المنتجات!$C$5:$C$24,MATCH($D1001,المنتجات!$A$5:$A$24,0)),"كود غير موجود"))</f>
        <v/>
      </c>
      <c r="F1001" s="28" t="str">
        <f aca="false">IF($D1001="","",IFERROR(INDEX(المنتجات!$B$5:$B$24,MATCH($D1001,المنتجات!$A$5:$A$24,0)),""))</f>
        <v/>
      </c>
      <c r="G1001" s="24"/>
      <c r="H1001" s="25" t="str">
        <f aca="false">IF($D1001="","",IFERROR(INDEX(المنتجات!$F$5:$F$24,MATCH($D1001,المنتجات!$A$5:$A$24,0)),0))</f>
        <v/>
      </c>
      <c r="I1001" s="30"/>
      <c r="J1001" s="25" t="str">
        <f aca="false">IF($D1001="","",N(G1001)*H1001-N(I1001))</f>
        <v/>
      </c>
      <c r="K1001" s="25" t="str">
        <f aca="false">IF($D1001="","",N(G1001)*IFERROR(INDEX(المنتجات!$H$5:$H$24,MATCH($D1001,المنتجات!$A$5:$A$24,0)),0))</f>
        <v/>
      </c>
      <c r="L1001" s="25" t="str">
        <f aca="false">IF($D1001="","",J1001-K1001)</f>
        <v/>
      </c>
      <c r="M1001" s="29"/>
      <c r="N1001" s="29"/>
    </row>
    <row r="1002" customFormat="false" ht="15" hidden="false" customHeight="false" outlineLevel="0" collapsed="false">
      <c r="A1002" s="32"/>
      <c r="B1002" s="29"/>
      <c r="C1002" s="29"/>
      <c r="D1002" s="29"/>
      <c r="E1002" s="28" t="str">
        <f aca="false">IF($D1002="","",IFERROR(INDEX(المنتجات!$C$5:$C$24,MATCH($D1002,المنتجات!$A$5:$A$24,0)),"كود غير موجود"))</f>
        <v/>
      </c>
      <c r="F1002" s="28" t="str">
        <f aca="false">IF($D1002="","",IFERROR(INDEX(المنتجات!$B$5:$B$24,MATCH($D1002,المنتجات!$A$5:$A$24,0)),""))</f>
        <v/>
      </c>
      <c r="G1002" s="24"/>
      <c r="H1002" s="25" t="str">
        <f aca="false">IF($D1002="","",IFERROR(INDEX(المنتجات!$F$5:$F$24,MATCH($D1002,المنتجات!$A$5:$A$24,0)),0))</f>
        <v/>
      </c>
      <c r="I1002" s="30"/>
      <c r="J1002" s="25" t="str">
        <f aca="false">IF($D1002="","",N(G1002)*H1002-N(I1002))</f>
        <v/>
      </c>
      <c r="K1002" s="25" t="str">
        <f aca="false">IF($D1002="","",N(G1002)*IFERROR(INDEX(المنتجات!$H$5:$H$24,MATCH($D1002,المنتجات!$A$5:$A$24,0)),0))</f>
        <v/>
      </c>
      <c r="L1002" s="25" t="str">
        <f aca="false">IF($D1002="","",J1002-K1002)</f>
        <v/>
      </c>
      <c r="M1002" s="29"/>
      <c r="N1002" s="29"/>
    </row>
    <row r="1003" customFormat="false" ht="15" hidden="false" customHeight="false" outlineLevel="0" collapsed="false">
      <c r="A1003" s="32"/>
      <c r="B1003" s="29"/>
      <c r="C1003" s="29"/>
      <c r="D1003" s="29"/>
      <c r="E1003" s="28" t="str">
        <f aca="false">IF($D1003="","",IFERROR(INDEX(المنتجات!$C$5:$C$24,MATCH($D1003,المنتجات!$A$5:$A$24,0)),"كود غير موجود"))</f>
        <v/>
      </c>
      <c r="F1003" s="28" t="str">
        <f aca="false">IF($D1003="","",IFERROR(INDEX(المنتجات!$B$5:$B$24,MATCH($D1003,المنتجات!$A$5:$A$24,0)),""))</f>
        <v/>
      </c>
      <c r="G1003" s="24"/>
      <c r="H1003" s="25" t="str">
        <f aca="false">IF($D1003="","",IFERROR(INDEX(المنتجات!$F$5:$F$24,MATCH($D1003,المنتجات!$A$5:$A$24,0)),0))</f>
        <v/>
      </c>
      <c r="I1003" s="30"/>
      <c r="J1003" s="25" t="str">
        <f aca="false">IF($D1003="","",N(G1003)*H1003-N(I1003))</f>
        <v/>
      </c>
      <c r="K1003" s="25" t="str">
        <f aca="false">IF($D1003="","",N(G1003)*IFERROR(INDEX(المنتجات!$H$5:$H$24,MATCH($D1003,المنتجات!$A$5:$A$24,0)),0))</f>
        <v/>
      </c>
      <c r="L1003" s="25" t="str">
        <f aca="false">IF($D1003="","",J1003-K1003)</f>
        <v/>
      </c>
      <c r="M1003" s="29"/>
      <c r="N1003" s="29"/>
    </row>
    <row r="1004" customFormat="false" ht="15" hidden="false" customHeight="false" outlineLevel="0" collapsed="false">
      <c r="A1004" s="32"/>
      <c r="B1004" s="29"/>
      <c r="C1004" s="29"/>
      <c r="D1004" s="29"/>
      <c r="E1004" s="28" t="str">
        <f aca="false">IF($D1004="","",IFERROR(INDEX(المنتجات!$C$5:$C$24,MATCH($D1004,المنتجات!$A$5:$A$24,0)),"كود غير موجود"))</f>
        <v/>
      </c>
      <c r="F1004" s="28" t="str">
        <f aca="false">IF($D1004="","",IFERROR(INDEX(المنتجات!$B$5:$B$24,MATCH($D1004,المنتجات!$A$5:$A$24,0)),""))</f>
        <v/>
      </c>
      <c r="G1004" s="24"/>
      <c r="H1004" s="25" t="str">
        <f aca="false">IF($D1004="","",IFERROR(INDEX(المنتجات!$F$5:$F$24,MATCH($D1004,المنتجات!$A$5:$A$24,0)),0))</f>
        <v/>
      </c>
      <c r="I1004" s="30"/>
      <c r="J1004" s="25" t="str">
        <f aca="false">IF($D1004="","",N(G1004)*H1004-N(I1004))</f>
        <v/>
      </c>
      <c r="K1004" s="25" t="str">
        <f aca="false">IF($D1004="","",N(G1004)*IFERROR(INDEX(المنتجات!$H$5:$H$24,MATCH($D1004,المنتجات!$A$5:$A$24,0)),0))</f>
        <v/>
      </c>
      <c r="L1004" s="25" t="str">
        <f aca="false">IF($D1004="","",J1004-K1004)</f>
        <v/>
      </c>
      <c r="M1004" s="29"/>
      <c r="N1004" s="29"/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C5:C1004" type="list">
      <formula1>الإعدادات!$I$5:$I$16</formula1>
      <formula2>0</formula2>
    </dataValidation>
    <dataValidation allowBlank="true" errorStyle="stop" operator="between" showDropDown="false" showErrorMessage="false" showInputMessage="false" sqref="D5:D1004" type="list">
      <formula1>المنتجات!$A$5:$A$24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8" t="s">
        <v>193</v>
      </c>
      <c r="B1" s="18"/>
      <c r="C1" s="18"/>
      <c r="D1" s="18"/>
      <c r="E1" s="18"/>
      <c r="F1" s="18"/>
      <c r="G1" s="18"/>
      <c r="H1" s="18"/>
      <c r="I1" s="18"/>
    </row>
    <row r="2" customFormat="false" ht="31.5" hidden="false" customHeight="true" outlineLevel="0" collapsed="false">
      <c r="A2" s="19" t="s">
        <v>194</v>
      </c>
      <c r="B2" s="19"/>
      <c r="C2" s="19"/>
      <c r="D2" s="19"/>
      <c r="E2" s="19"/>
      <c r="F2" s="19"/>
      <c r="G2" s="19"/>
      <c r="H2" s="19"/>
      <c r="I2" s="19"/>
    </row>
    <row r="4" customFormat="false" ht="33.75" hidden="false" customHeight="true" outlineLevel="0" collapsed="false">
      <c r="A4" s="20" t="s">
        <v>177</v>
      </c>
      <c r="B4" s="20" t="s">
        <v>195</v>
      </c>
      <c r="C4" s="20" t="s">
        <v>59</v>
      </c>
      <c r="D4" s="20" t="s">
        <v>196</v>
      </c>
      <c r="E4" s="20" t="s">
        <v>111</v>
      </c>
      <c r="F4" s="20" t="s">
        <v>62</v>
      </c>
      <c r="G4" s="20" t="s">
        <v>197</v>
      </c>
      <c r="H4" s="20" t="s">
        <v>198</v>
      </c>
      <c r="I4" s="20" t="s">
        <v>72</v>
      </c>
    </row>
    <row r="5" customFormat="false" ht="15" hidden="false" customHeight="false" outlineLevel="0" collapsed="false">
      <c r="A5" s="32"/>
      <c r="B5" s="29"/>
      <c r="C5" s="29"/>
      <c r="D5" s="28" t="str">
        <f aca="false">IF($C5="","",IFERROR(INDEX('المواد الخام'!$B$5:$B$104,MATCH($C5,'المواد الخام'!$A$5:$A$104,0)),IFERROR(INDEX(المنتجات!$C$5:$C$24,MATCH($C5,المنتجات!$A$5:$A$24,0)),"كود غير موجود")))</f>
        <v/>
      </c>
      <c r="E5" s="24"/>
      <c r="F5" s="28" t="str">
        <f aca="false">IF($C5="","",IFERROR(INDEX('المواد الخام'!$D$5:$D$104,MATCH($C5,'المواد الخام'!$A$5:$A$104,0)),"حبة"))</f>
        <v/>
      </c>
      <c r="G5" s="30"/>
      <c r="H5" s="29"/>
      <c r="I5" s="29"/>
    </row>
    <row r="6" customFormat="false" ht="15" hidden="false" customHeight="false" outlineLevel="0" collapsed="false">
      <c r="A6" s="32"/>
      <c r="B6" s="29"/>
      <c r="C6" s="29"/>
      <c r="D6" s="28" t="str">
        <f aca="false">IF($C6="","",IFERROR(INDEX('المواد الخام'!$B$5:$B$104,MATCH($C6,'المواد الخام'!$A$5:$A$104,0)),IFERROR(INDEX(المنتجات!$C$5:$C$24,MATCH($C6,المنتجات!$A$5:$A$24,0)),"كود غير موجود")))</f>
        <v/>
      </c>
      <c r="E6" s="24"/>
      <c r="F6" s="28" t="str">
        <f aca="false">IF($C6="","",IFERROR(INDEX('المواد الخام'!$D$5:$D$104,MATCH($C6,'المواد الخام'!$A$5:$A$104,0)),"حبة"))</f>
        <v/>
      </c>
      <c r="G6" s="30"/>
      <c r="H6" s="29"/>
      <c r="I6" s="29"/>
    </row>
    <row r="7" customFormat="false" ht="15" hidden="false" customHeight="false" outlineLevel="0" collapsed="false">
      <c r="A7" s="32"/>
      <c r="B7" s="29"/>
      <c r="C7" s="29"/>
      <c r="D7" s="28" t="str">
        <f aca="false">IF($C7="","",IFERROR(INDEX('المواد الخام'!$B$5:$B$104,MATCH($C7,'المواد الخام'!$A$5:$A$104,0)),IFERROR(INDEX(المنتجات!$C$5:$C$24,MATCH($C7,المنتجات!$A$5:$A$24,0)),"كود غير موجود")))</f>
        <v/>
      </c>
      <c r="E7" s="24"/>
      <c r="F7" s="28" t="str">
        <f aca="false">IF($C7="","",IFERROR(INDEX('المواد الخام'!$D$5:$D$104,MATCH($C7,'المواد الخام'!$A$5:$A$104,0)),"حبة"))</f>
        <v/>
      </c>
      <c r="G7" s="30"/>
      <c r="H7" s="29"/>
      <c r="I7" s="29"/>
    </row>
    <row r="8" customFormat="false" ht="15" hidden="false" customHeight="false" outlineLevel="0" collapsed="false">
      <c r="A8" s="32"/>
      <c r="B8" s="29"/>
      <c r="C8" s="29"/>
      <c r="D8" s="28" t="str">
        <f aca="false">IF($C8="","",IFERROR(INDEX('المواد الخام'!$B$5:$B$104,MATCH($C8,'المواد الخام'!$A$5:$A$104,0)),IFERROR(INDEX(المنتجات!$C$5:$C$24,MATCH($C8,المنتجات!$A$5:$A$24,0)),"كود غير موجود")))</f>
        <v/>
      </c>
      <c r="E8" s="24"/>
      <c r="F8" s="28" t="str">
        <f aca="false">IF($C8="","",IFERROR(INDEX('المواد الخام'!$D$5:$D$104,MATCH($C8,'المواد الخام'!$A$5:$A$104,0)),"حبة"))</f>
        <v/>
      </c>
      <c r="G8" s="30"/>
      <c r="H8" s="29"/>
      <c r="I8" s="29"/>
    </row>
    <row r="9" customFormat="false" ht="15" hidden="false" customHeight="false" outlineLevel="0" collapsed="false">
      <c r="A9" s="32"/>
      <c r="B9" s="29"/>
      <c r="C9" s="29"/>
      <c r="D9" s="28" t="str">
        <f aca="false">IF($C9="","",IFERROR(INDEX('المواد الخام'!$B$5:$B$104,MATCH($C9,'المواد الخام'!$A$5:$A$104,0)),IFERROR(INDEX(المنتجات!$C$5:$C$24,MATCH($C9,المنتجات!$A$5:$A$24,0)),"كود غير موجود")))</f>
        <v/>
      </c>
      <c r="E9" s="24"/>
      <c r="F9" s="28" t="str">
        <f aca="false">IF($C9="","",IFERROR(INDEX('المواد الخام'!$D$5:$D$104,MATCH($C9,'المواد الخام'!$A$5:$A$104,0)),"حبة"))</f>
        <v/>
      </c>
      <c r="G9" s="30"/>
      <c r="H9" s="29"/>
      <c r="I9" s="29"/>
    </row>
    <row r="10" customFormat="false" ht="15" hidden="false" customHeight="false" outlineLevel="0" collapsed="false">
      <c r="A10" s="32"/>
      <c r="B10" s="29"/>
      <c r="C10" s="29"/>
      <c r="D10" s="28" t="str">
        <f aca="false">IF($C10="","",IFERROR(INDEX('المواد الخام'!$B$5:$B$104,MATCH($C10,'المواد الخام'!$A$5:$A$104,0)),IFERROR(INDEX(المنتجات!$C$5:$C$24,MATCH($C10,المنتجات!$A$5:$A$24,0)),"كود غير موجود")))</f>
        <v/>
      </c>
      <c r="E10" s="24"/>
      <c r="F10" s="28" t="str">
        <f aca="false">IF($C10="","",IFERROR(INDEX('المواد الخام'!$D$5:$D$104,MATCH($C10,'المواد الخام'!$A$5:$A$104,0)),"حبة"))</f>
        <v/>
      </c>
      <c r="G10" s="30"/>
      <c r="H10" s="29"/>
      <c r="I10" s="29"/>
    </row>
    <row r="11" customFormat="false" ht="15" hidden="false" customHeight="false" outlineLevel="0" collapsed="false">
      <c r="A11" s="32"/>
      <c r="B11" s="29"/>
      <c r="C11" s="29"/>
      <c r="D11" s="28" t="str">
        <f aca="false">IF($C11="","",IFERROR(INDEX('المواد الخام'!$B$5:$B$104,MATCH($C11,'المواد الخام'!$A$5:$A$104,0)),IFERROR(INDEX(المنتجات!$C$5:$C$24,MATCH($C11,المنتجات!$A$5:$A$24,0)),"كود غير موجود")))</f>
        <v/>
      </c>
      <c r="E11" s="24"/>
      <c r="F11" s="28" t="str">
        <f aca="false">IF($C11="","",IFERROR(INDEX('المواد الخام'!$D$5:$D$104,MATCH($C11,'المواد الخام'!$A$5:$A$104,0)),"حبة"))</f>
        <v/>
      </c>
      <c r="G11" s="30"/>
      <c r="H11" s="29"/>
      <c r="I11" s="29"/>
    </row>
    <row r="12" customFormat="false" ht="15" hidden="false" customHeight="false" outlineLevel="0" collapsed="false">
      <c r="A12" s="32"/>
      <c r="B12" s="29"/>
      <c r="C12" s="29"/>
      <c r="D12" s="28" t="str">
        <f aca="false">IF($C12="","",IFERROR(INDEX('المواد الخام'!$B$5:$B$104,MATCH($C12,'المواد الخام'!$A$5:$A$104,0)),IFERROR(INDEX(المنتجات!$C$5:$C$24,MATCH($C12,المنتجات!$A$5:$A$24,0)),"كود غير موجود")))</f>
        <v/>
      </c>
      <c r="E12" s="24"/>
      <c r="F12" s="28" t="str">
        <f aca="false">IF($C12="","",IFERROR(INDEX('المواد الخام'!$D$5:$D$104,MATCH($C12,'المواد الخام'!$A$5:$A$104,0)),"حبة"))</f>
        <v/>
      </c>
      <c r="G12" s="30"/>
      <c r="H12" s="29"/>
      <c r="I12" s="29"/>
    </row>
    <row r="13" customFormat="false" ht="15" hidden="false" customHeight="false" outlineLevel="0" collapsed="false">
      <c r="A13" s="32"/>
      <c r="B13" s="29"/>
      <c r="C13" s="29"/>
      <c r="D13" s="28" t="str">
        <f aca="false">IF($C13="","",IFERROR(INDEX('المواد الخام'!$B$5:$B$104,MATCH($C13,'المواد الخام'!$A$5:$A$104,0)),IFERROR(INDEX(المنتجات!$C$5:$C$24,MATCH($C13,المنتجات!$A$5:$A$24,0)),"كود غير موجود")))</f>
        <v/>
      </c>
      <c r="E13" s="24"/>
      <c r="F13" s="28" t="str">
        <f aca="false">IF($C13="","",IFERROR(INDEX('المواد الخام'!$D$5:$D$104,MATCH($C13,'المواد الخام'!$A$5:$A$104,0)),"حبة"))</f>
        <v/>
      </c>
      <c r="G13" s="30"/>
      <c r="H13" s="29"/>
      <c r="I13" s="29"/>
    </row>
    <row r="14" customFormat="false" ht="15" hidden="false" customHeight="false" outlineLevel="0" collapsed="false">
      <c r="A14" s="32"/>
      <c r="B14" s="29"/>
      <c r="C14" s="29"/>
      <c r="D14" s="28" t="str">
        <f aca="false">IF($C14="","",IFERROR(INDEX('المواد الخام'!$B$5:$B$104,MATCH($C14,'المواد الخام'!$A$5:$A$104,0)),IFERROR(INDEX(المنتجات!$C$5:$C$24,MATCH($C14,المنتجات!$A$5:$A$24,0)),"كود غير موجود")))</f>
        <v/>
      </c>
      <c r="E14" s="24"/>
      <c r="F14" s="28" t="str">
        <f aca="false">IF($C14="","",IFERROR(INDEX('المواد الخام'!$D$5:$D$104,MATCH($C14,'المواد الخام'!$A$5:$A$104,0)),"حبة"))</f>
        <v/>
      </c>
      <c r="G14" s="30"/>
      <c r="H14" s="29"/>
      <c r="I14" s="29"/>
    </row>
    <row r="15" customFormat="false" ht="15" hidden="false" customHeight="false" outlineLevel="0" collapsed="false">
      <c r="A15" s="32"/>
      <c r="B15" s="29"/>
      <c r="C15" s="29"/>
      <c r="D15" s="28" t="str">
        <f aca="false">IF($C15="","",IFERROR(INDEX('المواد الخام'!$B$5:$B$104,MATCH($C15,'المواد الخام'!$A$5:$A$104,0)),IFERROR(INDEX(المنتجات!$C$5:$C$24,MATCH($C15,المنتجات!$A$5:$A$24,0)),"كود غير موجود")))</f>
        <v/>
      </c>
      <c r="E15" s="24"/>
      <c r="F15" s="28" t="str">
        <f aca="false">IF($C15="","",IFERROR(INDEX('المواد الخام'!$D$5:$D$104,MATCH($C15,'المواد الخام'!$A$5:$A$104,0)),"حبة"))</f>
        <v/>
      </c>
      <c r="G15" s="30"/>
      <c r="H15" s="29"/>
      <c r="I15" s="29"/>
    </row>
    <row r="16" customFormat="false" ht="15" hidden="false" customHeight="false" outlineLevel="0" collapsed="false">
      <c r="A16" s="32"/>
      <c r="B16" s="29"/>
      <c r="C16" s="29"/>
      <c r="D16" s="28" t="str">
        <f aca="false">IF($C16="","",IFERROR(INDEX('المواد الخام'!$B$5:$B$104,MATCH($C16,'المواد الخام'!$A$5:$A$104,0)),IFERROR(INDEX(المنتجات!$C$5:$C$24,MATCH($C16,المنتجات!$A$5:$A$24,0)),"كود غير موجود")))</f>
        <v/>
      </c>
      <c r="E16" s="24"/>
      <c r="F16" s="28" t="str">
        <f aca="false">IF($C16="","",IFERROR(INDEX('المواد الخام'!$D$5:$D$104,MATCH($C16,'المواد الخام'!$A$5:$A$104,0)),"حبة"))</f>
        <v/>
      </c>
      <c r="G16" s="30"/>
      <c r="H16" s="29"/>
      <c r="I16" s="29"/>
    </row>
    <row r="17" customFormat="false" ht="15" hidden="false" customHeight="false" outlineLevel="0" collapsed="false">
      <c r="A17" s="32"/>
      <c r="B17" s="29"/>
      <c r="C17" s="29"/>
      <c r="D17" s="28" t="str">
        <f aca="false">IF($C17="","",IFERROR(INDEX('المواد الخام'!$B$5:$B$104,MATCH($C17,'المواد الخام'!$A$5:$A$104,0)),IFERROR(INDEX(المنتجات!$C$5:$C$24,MATCH($C17,المنتجات!$A$5:$A$24,0)),"كود غير موجود")))</f>
        <v/>
      </c>
      <c r="E17" s="24"/>
      <c r="F17" s="28" t="str">
        <f aca="false">IF($C17="","",IFERROR(INDEX('المواد الخام'!$D$5:$D$104,MATCH($C17,'المواد الخام'!$A$5:$A$104,0)),"حبة"))</f>
        <v/>
      </c>
      <c r="G17" s="30"/>
      <c r="H17" s="29"/>
      <c r="I17" s="29"/>
    </row>
    <row r="18" customFormat="false" ht="15" hidden="false" customHeight="false" outlineLevel="0" collapsed="false">
      <c r="A18" s="32"/>
      <c r="B18" s="29"/>
      <c r="C18" s="29"/>
      <c r="D18" s="28" t="str">
        <f aca="false">IF($C18="","",IFERROR(INDEX('المواد الخام'!$B$5:$B$104,MATCH($C18,'المواد الخام'!$A$5:$A$104,0)),IFERROR(INDEX(المنتجات!$C$5:$C$24,MATCH($C18,المنتجات!$A$5:$A$24,0)),"كود غير موجود")))</f>
        <v/>
      </c>
      <c r="E18" s="24"/>
      <c r="F18" s="28" t="str">
        <f aca="false">IF($C18="","",IFERROR(INDEX('المواد الخام'!$D$5:$D$104,MATCH($C18,'المواد الخام'!$A$5:$A$104,0)),"حبة"))</f>
        <v/>
      </c>
      <c r="G18" s="30"/>
      <c r="H18" s="29"/>
      <c r="I18" s="29"/>
    </row>
    <row r="19" customFormat="false" ht="15" hidden="false" customHeight="false" outlineLevel="0" collapsed="false">
      <c r="A19" s="32"/>
      <c r="B19" s="29"/>
      <c r="C19" s="29"/>
      <c r="D19" s="28" t="str">
        <f aca="false">IF($C19="","",IFERROR(INDEX('المواد الخام'!$B$5:$B$104,MATCH($C19,'المواد الخام'!$A$5:$A$104,0)),IFERROR(INDEX(المنتجات!$C$5:$C$24,MATCH($C19,المنتجات!$A$5:$A$24,0)),"كود غير موجود")))</f>
        <v/>
      </c>
      <c r="E19" s="24"/>
      <c r="F19" s="28" t="str">
        <f aca="false">IF($C19="","",IFERROR(INDEX('المواد الخام'!$D$5:$D$104,MATCH($C19,'المواد الخام'!$A$5:$A$104,0)),"حبة"))</f>
        <v/>
      </c>
      <c r="G19" s="30"/>
      <c r="H19" s="29"/>
      <c r="I19" s="29"/>
    </row>
    <row r="20" customFormat="false" ht="15" hidden="false" customHeight="false" outlineLevel="0" collapsed="false">
      <c r="A20" s="32"/>
      <c r="B20" s="29"/>
      <c r="C20" s="29"/>
      <c r="D20" s="28" t="str">
        <f aca="false">IF($C20="","",IFERROR(INDEX('المواد الخام'!$B$5:$B$104,MATCH($C20,'المواد الخام'!$A$5:$A$104,0)),IFERROR(INDEX(المنتجات!$C$5:$C$24,MATCH($C20,المنتجات!$A$5:$A$24,0)),"كود غير موجود")))</f>
        <v/>
      </c>
      <c r="E20" s="24"/>
      <c r="F20" s="28" t="str">
        <f aca="false">IF($C20="","",IFERROR(INDEX('المواد الخام'!$D$5:$D$104,MATCH($C20,'المواد الخام'!$A$5:$A$104,0)),"حبة"))</f>
        <v/>
      </c>
      <c r="G20" s="30"/>
      <c r="H20" s="29"/>
      <c r="I20" s="29"/>
    </row>
    <row r="21" customFormat="false" ht="15" hidden="false" customHeight="false" outlineLevel="0" collapsed="false">
      <c r="A21" s="32"/>
      <c r="B21" s="29"/>
      <c r="C21" s="29"/>
      <c r="D21" s="28" t="str">
        <f aca="false">IF($C21="","",IFERROR(INDEX('المواد الخام'!$B$5:$B$104,MATCH($C21,'المواد الخام'!$A$5:$A$104,0)),IFERROR(INDEX(المنتجات!$C$5:$C$24,MATCH($C21,المنتجات!$A$5:$A$24,0)),"كود غير موجود")))</f>
        <v/>
      </c>
      <c r="E21" s="24"/>
      <c r="F21" s="28" t="str">
        <f aca="false">IF($C21="","",IFERROR(INDEX('المواد الخام'!$D$5:$D$104,MATCH($C21,'المواد الخام'!$A$5:$A$104,0)),"حبة"))</f>
        <v/>
      </c>
      <c r="G21" s="30"/>
      <c r="H21" s="29"/>
      <c r="I21" s="29"/>
    </row>
    <row r="22" customFormat="false" ht="15" hidden="false" customHeight="false" outlineLevel="0" collapsed="false">
      <c r="A22" s="32"/>
      <c r="B22" s="29"/>
      <c r="C22" s="29"/>
      <c r="D22" s="28" t="str">
        <f aca="false">IF($C22="","",IFERROR(INDEX('المواد الخام'!$B$5:$B$104,MATCH($C22,'المواد الخام'!$A$5:$A$104,0)),IFERROR(INDEX(المنتجات!$C$5:$C$24,MATCH($C22,المنتجات!$A$5:$A$24,0)),"كود غير موجود")))</f>
        <v/>
      </c>
      <c r="E22" s="24"/>
      <c r="F22" s="28" t="str">
        <f aca="false">IF($C22="","",IFERROR(INDEX('المواد الخام'!$D$5:$D$104,MATCH($C22,'المواد الخام'!$A$5:$A$104,0)),"حبة"))</f>
        <v/>
      </c>
      <c r="G22" s="30"/>
      <c r="H22" s="29"/>
      <c r="I22" s="29"/>
    </row>
    <row r="23" customFormat="false" ht="15" hidden="false" customHeight="false" outlineLevel="0" collapsed="false">
      <c r="A23" s="32"/>
      <c r="B23" s="29"/>
      <c r="C23" s="29"/>
      <c r="D23" s="28" t="str">
        <f aca="false">IF($C23="","",IFERROR(INDEX('المواد الخام'!$B$5:$B$104,MATCH($C23,'المواد الخام'!$A$5:$A$104,0)),IFERROR(INDEX(المنتجات!$C$5:$C$24,MATCH($C23,المنتجات!$A$5:$A$24,0)),"كود غير موجود")))</f>
        <v/>
      </c>
      <c r="E23" s="24"/>
      <c r="F23" s="28" t="str">
        <f aca="false">IF($C23="","",IFERROR(INDEX('المواد الخام'!$D$5:$D$104,MATCH($C23,'المواد الخام'!$A$5:$A$104,0)),"حبة"))</f>
        <v/>
      </c>
      <c r="G23" s="30"/>
      <c r="H23" s="29"/>
      <c r="I23" s="29"/>
    </row>
    <row r="24" customFormat="false" ht="15" hidden="false" customHeight="false" outlineLevel="0" collapsed="false">
      <c r="A24" s="32"/>
      <c r="B24" s="29"/>
      <c r="C24" s="29"/>
      <c r="D24" s="28" t="str">
        <f aca="false">IF($C24="","",IFERROR(INDEX('المواد الخام'!$B$5:$B$104,MATCH($C24,'المواد الخام'!$A$5:$A$104,0)),IFERROR(INDEX(المنتجات!$C$5:$C$24,MATCH($C24,المنتجات!$A$5:$A$24,0)),"كود غير موجود")))</f>
        <v/>
      </c>
      <c r="E24" s="24"/>
      <c r="F24" s="28" t="str">
        <f aca="false">IF($C24="","",IFERROR(INDEX('المواد الخام'!$D$5:$D$104,MATCH($C24,'المواد الخام'!$A$5:$A$104,0)),"حبة"))</f>
        <v/>
      </c>
      <c r="G24" s="30"/>
      <c r="H24" s="29"/>
      <c r="I24" s="29"/>
    </row>
    <row r="25" customFormat="false" ht="15" hidden="false" customHeight="false" outlineLevel="0" collapsed="false">
      <c r="A25" s="32"/>
      <c r="B25" s="29"/>
      <c r="C25" s="29"/>
      <c r="D25" s="28" t="str">
        <f aca="false">IF($C25="","",IFERROR(INDEX('المواد الخام'!$B$5:$B$104,MATCH($C25,'المواد الخام'!$A$5:$A$104,0)),IFERROR(INDEX(المنتجات!$C$5:$C$24,MATCH($C25,المنتجات!$A$5:$A$24,0)),"كود غير موجود")))</f>
        <v/>
      </c>
      <c r="E25" s="24"/>
      <c r="F25" s="28" t="str">
        <f aca="false">IF($C25="","",IFERROR(INDEX('المواد الخام'!$D$5:$D$104,MATCH($C25,'المواد الخام'!$A$5:$A$104,0)),"حبة"))</f>
        <v/>
      </c>
      <c r="G25" s="30"/>
      <c r="H25" s="29"/>
      <c r="I25" s="29"/>
    </row>
    <row r="26" customFormat="false" ht="15" hidden="false" customHeight="false" outlineLevel="0" collapsed="false">
      <c r="A26" s="32"/>
      <c r="B26" s="29"/>
      <c r="C26" s="29"/>
      <c r="D26" s="28" t="str">
        <f aca="false">IF($C26="","",IFERROR(INDEX('المواد الخام'!$B$5:$B$104,MATCH($C26,'المواد الخام'!$A$5:$A$104,0)),IFERROR(INDEX(المنتجات!$C$5:$C$24,MATCH($C26,المنتجات!$A$5:$A$24,0)),"كود غير موجود")))</f>
        <v/>
      </c>
      <c r="E26" s="24"/>
      <c r="F26" s="28" t="str">
        <f aca="false">IF($C26="","",IFERROR(INDEX('المواد الخام'!$D$5:$D$104,MATCH($C26,'المواد الخام'!$A$5:$A$104,0)),"حبة"))</f>
        <v/>
      </c>
      <c r="G26" s="30"/>
      <c r="H26" s="29"/>
      <c r="I26" s="29"/>
    </row>
    <row r="27" customFormat="false" ht="15" hidden="false" customHeight="false" outlineLevel="0" collapsed="false">
      <c r="A27" s="32"/>
      <c r="B27" s="29"/>
      <c r="C27" s="29"/>
      <c r="D27" s="28" t="str">
        <f aca="false">IF($C27="","",IFERROR(INDEX('المواد الخام'!$B$5:$B$104,MATCH($C27,'المواد الخام'!$A$5:$A$104,0)),IFERROR(INDEX(المنتجات!$C$5:$C$24,MATCH($C27,المنتجات!$A$5:$A$24,0)),"كود غير موجود")))</f>
        <v/>
      </c>
      <c r="E27" s="24"/>
      <c r="F27" s="28" t="str">
        <f aca="false">IF($C27="","",IFERROR(INDEX('المواد الخام'!$D$5:$D$104,MATCH($C27,'المواد الخام'!$A$5:$A$104,0)),"حبة"))</f>
        <v/>
      </c>
      <c r="G27" s="30"/>
      <c r="H27" s="29"/>
      <c r="I27" s="29"/>
    </row>
    <row r="28" customFormat="false" ht="15" hidden="false" customHeight="false" outlineLevel="0" collapsed="false">
      <c r="A28" s="32"/>
      <c r="B28" s="29"/>
      <c r="C28" s="29"/>
      <c r="D28" s="28" t="str">
        <f aca="false">IF($C28="","",IFERROR(INDEX('المواد الخام'!$B$5:$B$104,MATCH($C28,'المواد الخام'!$A$5:$A$104,0)),IFERROR(INDEX(المنتجات!$C$5:$C$24,MATCH($C28,المنتجات!$A$5:$A$24,0)),"كود غير موجود")))</f>
        <v/>
      </c>
      <c r="E28" s="24"/>
      <c r="F28" s="28" t="str">
        <f aca="false">IF($C28="","",IFERROR(INDEX('المواد الخام'!$D$5:$D$104,MATCH($C28,'المواد الخام'!$A$5:$A$104,0)),"حبة"))</f>
        <v/>
      </c>
      <c r="G28" s="30"/>
      <c r="H28" s="29"/>
      <c r="I28" s="29"/>
    </row>
    <row r="29" customFormat="false" ht="15" hidden="false" customHeight="false" outlineLevel="0" collapsed="false">
      <c r="A29" s="32"/>
      <c r="B29" s="29"/>
      <c r="C29" s="29"/>
      <c r="D29" s="28" t="str">
        <f aca="false">IF($C29="","",IFERROR(INDEX('المواد الخام'!$B$5:$B$104,MATCH($C29,'المواد الخام'!$A$5:$A$104,0)),IFERROR(INDEX(المنتجات!$C$5:$C$24,MATCH($C29,المنتجات!$A$5:$A$24,0)),"كود غير موجود")))</f>
        <v/>
      </c>
      <c r="E29" s="24"/>
      <c r="F29" s="28" t="str">
        <f aca="false">IF($C29="","",IFERROR(INDEX('المواد الخام'!$D$5:$D$104,MATCH($C29,'المواد الخام'!$A$5:$A$104,0)),"حبة"))</f>
        <v/>
      </c>
      <c r="G29" s="30"/>
      <c r="H29" s="29"/>
      <c r="I29" s="29"/>
    </row>
    <row r="30" customFormat="false" ht="15" hidden="false" customHeight="false" outlineLevel="0" collapsed="false">
      <c r="A30" s="32"/>
      <c r="B30" s="29"/>
      <c r="C30" s="29"/>
      <c r="D30" s="28" t="str">
        <f aca="false">IF($C30="","",IFERROR(INDEX('المواد الخام'!$B$5:$B$104,MATCH($C30,'المواد الخام'!$A$5:$A$104,0)),IFERROR(INDEX(المنتجات!$C$5:$C$24,MATCH($C30,المنتجات!$A$5:$A$24,0)),"كود غير موجود")))</f>
        <v/>
      </c>
      <c r="E30" s="24"/>
      <c r="F30" s="28" t="str">
        <f aca="false">IF($C30="","",IFERROR(INDEX('المواد الخام'!$D$5:$D$104,MATCH($C30,'المواد الخام'!$A$5:$A$104,0)),"حبة"))</f>
        <v/>
      </c>
      <c r="G30" s="30"/>
      <c r="H30" s="29"/>
      <c r="I30" s="29"/>
    </row>
    <row r="31" customFormat="false" ht="15" hidden="false" customHeight="false" outlineLevel="0" collapsed="false">
      <c r="A31" s="32"/>
      <c r="B31" s="29"/>
      <c r="C31" s="29"/>
      <c r="D31" s="28" t="str">
        <f aca="false">IF($C31="","",IFERROR(INDEX('المواد الخام'!$B$5:$B$104,MATCH($C31,'المواد الخام'!$A$5:$A$104,0)),IFERROR(INDEX(المنتجات!$C$5:$C$24,MATCH($C31,المنتجات!$A$5:$A$24,0)),"كود غير موجود")))</f>
        <v/>
      </c>
      <c r="E31" s="24"/>
      <c r="F31" s="28" t="str">
        <f aca="false">IF($C31="","",IFERROR(INDEX('المواد الخام'!$D$5:$D$104,MATCH($C31,'المواد الخام'!$A$5:$A$104,0)),"حبة"))</f>
        <v/>
      </c>
      <c r="G31" s="30"/>
      <c r="H31" s="29"/>
      <c r="I31" s="29"/>
    </row>
    <row r="32" customFormat="false" ht="15" hidden="false" customHeight="false" outlineLevel="0" collapsed="false">
      <c r="A32" s="32"/>
      <c r="B32" s="29"/>
      <c r="C32" s="29"/>
      <c r="D32" s="28" t="str">
        <f aca="false">IF($C32="","",IFERROR(INDEX('المواد الخام'!$B$5:$B$104,MATCH($C32,'المواد الخام'!$A$5:$A$104,0)),IFERROR(INDEX(المنتجات!$C$5:$C$24,MATCH($C32,المنتجات!$A$5:$A$24,0)),"كود غير موجود")))</f>
        <v/>
      </c>
      <c r="E32" s="24"/>
      <c r="F32" s="28" t="str">
        <f aca="false">IF($C32="","",IFERROR(INDEX('المواد الخام'!$D$5:$D$104,MATCH($C32,'المواد الخام'!$A$5:$A$104,0)),"حبة"))</f>
        <v/>
      </c>
      <c r="G32" s="30"/>
      <c r="H32" s="29"/>
      <c r="I32" s="29"/>
    </row>
    <row r="33" customFormat="false" ht="15" hidden="false" customHeight="false" outlineLevel="0" collapsed="false">
      <c r="A33" s="32"/>
      <c r="B33" s="29"/>
      <c r="C33" s="29"/>
      <c r="D33" s="28" t="str">
        <f aca="false">IF($C33="","",IFERROR(INDEX('المواد الخام'!$B$5:$B$104,MATCH($C33,'المواد الخام'!$A$5:$A$104,0)),IFERROR(INDEX(المنتجات!$C$5:$C$24,MATCH($C33,المنتجات!$A$5:$A$24,0)),"كود غير موجود")))</f>
        <v/>
      </c>
      <c r="E33" s="24"/>
      <c r="F33" s="28" t="str">
        <f aca="false">IF($C33="","",IFERROR(INDEX('المواد الخام'!$D$5:$D$104,MATCH($C33,'المواد الخام'!$A$5:$A$104,0)),"حبة"))</f>
        <v/>
      </c>
      <c r="G33" s="30"/>
      <c r="H33" s="29"/>
      <c r="I33" s="29"/>
    </row>
    <row r="34" customFormat="false" ht="15" hidden="false" customHeight="false" outlineLevel="0" collapsed="false">
      <c r="A34" s="32"/>
      <c r="B34" s="29"/>
      <c r="C34" s="29"/>
      <c r="D34" s="28" t="str">
        <f aca="false">IF($C34="","",IFERROR(INDEX('المواد الخام'!$B$5:$B$104,MATCH($C34,'المواد الخام'!$A$5:$A$104,0)),IFERROR(INDEX(المنتجات!$C$5:$C$24,MATCH($C34,المنتجات!$A$5:$A$24,0)),"كود غير موجود")))</f>
        <v/>
      </c>
      <c r="E34" s="24"/>
      <c r="F34" s="28" t="str">
        <f aca="false">IF($C34="","",IFERROR(INDEX('المواد الخام'!$D$5:$D$104,MATCH($C34,'المواد الخام'!$A$5:$A$104,0)),"حبة"))</f>
        <v/>
      </c>
      <c r="G34" s="30"/>
      <c r="H34" s="29"/>
      <c r="I34" s="29"/>
    </row>
    <row r="35" customFormat="false" ht="15" hidden="false" customHeight="false" outlineLevel="0" collapsed="false">
      <c r="A35" s="32"/>
      <c r="B35" s="29"/>
      <c r="C35" s="29"/>
      <c r="D35" s="28" t="str">
        <f aca="false">IF($C35="","",IFERROR(INDEX('المواد الخام'!$B$5:$B$104,MATCH($C35,'المواد الخام'!$A$5:$A$104,0)),IFERROR(INDEX(المنتجات!$C$5:$C$24,MATCH($C35,المنتجات!$A$5:$A$24,0)),"كود غير موجود")))</f>
        <v/>
      </c>
      <c r="E35" s="24"/>
      <c r="F35" s="28" t="str">
        <f aca="false">IF($C35="","",IFERROR(INDEX('المواد الخام'!$D$5:$D$104,MATCH($C35,'المواد الخام'!$A$5:$A$104,0)),"حبة"))</f>
        <v/>
      </c>
      <c r="G35" s="30"/>
      <c r="H35" s="29"/>
      <c r="I35" s="29"/>
    </row>
    <row r="36" customFormat="false" ht="15" hidden="false" customHeight="false" outlineLevel="0" collapsed="false">
      <c r="A36" s="32"/>
      <c r="B36" s="29"/>
      <c r="C36" s="29"/>
      <c r="D36" s="28" t="str">
        <f aca="false">IF($C36="","",IFERROR(INDEX('المواد الخام'!$B$5:$B$104,MATCH($C36,'المواد الخام'!$A$5:$A$104,0)),IFERROR(INDEX(المنتجات!$C$5:$C$24,MATCH($C36,المنتجات!$A$5:$A$24,0)),"كود غير موجود")))</f>
        <v/>
      </c>
      <c r="E36" s="24"/>
      <c r="F36" s="28" t="str">
        <f aca="false">IF($C36="","",IFERROR(INDEX('المواد الخام'!$D$5:$D$104,MATCH($C36,'المواد الخام'!$A$5:$A$104,0)),"حبة"))</f>
        <v/>
      </c>
      <c r="G36" s="30"/>
      <c r="H36" s="29"/>
      <c r="I36" s="29"/>
    </row>
    <row r="37" customFormat="false" ht="15" hidden="false" customHeight="false" outlineLevel="0" collapsed="false">
      <c r="A37" s="32"/>
      <c r="B37" s="29"/>
      <c r="C37" s="29"/>
      <c r="D37" s="28" t="str">
        <f aca="false">IF($C37="","",IFERROR(INDEX('المواد الخام'!$B$5:$B$104,MATCH($C37,'المواد الخام'!$A$5:$A$104,0)),IFERROR(INDEX(المنتجات!$C$5:$C$24,MATCH($C37,المنتجات!$A$5:$A$24,0)),"كود غير موجود")))</f>
        <v/>
      </c>
      <c r="E37" s="24"/>
      <c r="F37" s="28" t="str">
        <f aca="false">IF($C37="","",IFERROR(INDEX('المواد الخام'!$D$5:$D$104,MATCH($C37,'المواد الخام'!$A$5:$A$104,0)),"حبة"))</f>
        <v/>
      </c>
      <c r="G37" s="30"/>
      <c r="H37" s="29"/>
      <c r="I37" s="29"/>
    </row>
    <row r="38" customFormat="false" ht="15" hidden="false" customHeight="false" outlineLevel="0" collapsed="false">
      <c r="A38" s="32"/>
      <c r="B38" s="29"/>
      <c r="C38" s="29"/>
      <c r="D38" s="28" t="str">
        <f aca="false">IF($C38="","",IFERROR(INDEX('المواد الخام'!$B$5:$B$104,MATCH($C38,'المواد الخام'!$A$5:$A$104,0)),IFERROR(INDEX(المنتجات!$C$5:$C$24,MATCH($C38,المنتجات!$A$5:$A$24,0)),"كود غير موجود")))</f>
        <v/>
      </c>
      <c r="E38" s="24"/>
      <c r="F38" s="28" t="str">
        <f aca="false">IF($C38="","",IFERROR(INDEX('المواد الخام'!$D$5:$D$104,MATCH($C38,'المواد الخام'!$A$5:$A$104,0)),"حبة"))</f>
        <v/>
      </c>
      <c r="G38" s="30"/>
      <c r="H38" s="29"/>
      <c r="I38" s="29"/>
    </row>
    <row r="39" customFormat="false" ht="15" hidden="false" customHeight="false" outlineLevel="0" collapsed="false">
      <c r="A39" s="32"/>
      <c r="B39" s="29"/>
      <c r="C39" s="29"/>
      <c r="D39" s="28" t="str">
        <f aca="false">IF($C39="","",IFERROR(INDEX('المواد الخام'!$B$5:$B$104,MATCH($C39,'المواد الخام'!$A$5:$A$104,0)),IFERROR(INDEX(المنتجات!$C$5:$C$24,MATCH($C39,المنتجات!$A$5:$A$24,0)),"كود غير موجود")))</f>
        <v/>
      </c>
      <c r="E39" s="24"/>
      <c r="F39" s="28" t="str">
        <f aca="false">IF($C39="","",IFERROR(INDEX('المواد الخام'!$D$5:$D$104,MATCH($C39,'المواد الخام'!$A$5:$A$104,0)),"حبة"))</f>
        <v/>
      </c>
      <c r="G39" s="30"/>
      <c r="H39" s="29"/>
      <c r="I39" s="29"/>
    </row>
    <row r="40" customFormat="false" ht="15" hidden="false" customHeight="false" outlineLevel="0" collapsed="false">
      <c r="A40" s="32"/>
      <c r="B40" s="29"/>
      <c r="C40" s="29"/>
      <c r="D40" s="28" t="str">
        <f aca="false">IF($C40="","",IFERROR(INDEX('المواد الخام'!$B$5:$B$104,MATCH($C40,'المواد الخام'!$A$5:$A$104,0)),IFERROR(INDEX(المنتجات!$C$5:$C$24,MATCH($C40,المنتجات!$A$5:$A$24,0)),"كود غير موجود")))</f>
        <v/>
      </c>
      <c r="E40" s="24"/>
      <c r="F40" s="28" t="str">
        <f aca="false">IF($C40="","",IFERROR(INDEX('المواد الخام'!$D$5:$D$104,MATCH($C40,'المواد الخام'!$A$5:$A$104,0)),"حبة"))</f>
        <v/>
      </c>
      <c r="G40" s="30"/>
      <c r="H40" s="29"/>
      <c r="I40" s="29"/>
    </row>
    <row r="41" customFormat="false" ht="15" hidden="false" customHeight="false" outlineLevel="0" collapsed="false">
      <c r="A41" s="32"/>
      <c r="B41" s="29"/>
      <c r="C41" s="29"/>
      <c r="D41" s="28" t="str">
        <f aca="false">IF($C41="","",IFERROR(INDEX('المواد الخام'!$B$5:$B$104,MATCH($C41,'المواد الخام'!$A$5:$A$104,0)),IFERROR(INDEX(المنتجات!$C$5:$C$24,MATCH($C41,المنتجات!$A$5:$A$24,0)),"كود غير موجود")))</f>
        <v/>
      </c>
      <c r="E41" s="24"/>
      <c r="F41" s="28" t="str">
        <f aca="false">IF($C41="","",IFERROR(INDEX('المواد الخام'!$D$5:$D$104,MATCH($C41,'المواد الخام'!$A$5:$A$104,0)),"حبة"))</f>
        <v/>
      </c>
      <c r="G41" s="30"/>
      <c r="H41" s="29"/>
      <c r="I41" s="29"/>
    </row>
    <row r="42" customFormat="false" ht="15" hidden="false" customHeight="false" outlineLevel="0" collapsed="false">
      <c r="A42" s="32"/>
      <c r="B42" s="29"/>
      <c r="C42" s="29"/>
      <c r="D42" s="28" t="str">
        <f aca="false">IF($C42="","",IFERROR(INDEX('المواد الخام'!$B$5:$B$104,MATCH($C42,'المواد الخام'!$A$5:$A$104,0)),IFERROR(INDEX(المنتجات!$C$5:$C$24,MATCH($C42,المنتجات!$A$5:$A$24,0)),"كود غير موجود")))</f>
        <v/>
      </c>
      <c r="E42" s="24"/>
      <c r="F42" s="28" t="str">
        <f aca="false">IF($C42="","",IFERROR(INDEX('المواد الخام'!$D$5:$D$104,MATCH($C42,'المواد الخام'!$A$5:$A$104,0)),"حبة"))</f>
        <v/>
      </c>
      <c r="G42" s="30"/>
      <c r="H42" s="29"/>
      <c r="I42" s="29"/>
    </row>
    <row r="43" customFormat="false" ht="15" hidden="false" customHeight="false" outlineLevel="0" collapsed="false">
      <c r="A43" s="32"/>
      <c r="B43" s="29"/>
      <c r="C43" s="29"/>
      <c r="D43" s="28" t="str">
        <f aca="false">IF($C43="","",IFERROR(INDEX('المواد الخام'!$B$5:$B$104,MATCH($C43,'المواد الخام'!$A$5:$A$104,0)),IFERROR(INDEX(المنتجات!$C$5:$C$24,MATCH($C43,المنتجات!$A$5:$A$24,0)),"كود غير موجود")))</f>
        <v/>
      </c>
      <c r="E43" s="24"/>
      <c r="F43" s="28" t="str">
        <f aca="false">IF($C43="","",IFERROR(INDEX('المواد الخام'!$D$5:$D$104,MATCH($C43,'المواد الخام'!$A$5:$A$104,0)),"حبة"))</f>
        <v/>
      </c>
      <c r="G43" s="30"/>
      <c r="H43" s="29"/>
      <c r="I43" s="29"/>
    </row>
    <row r="44" customFormat="false" ht="15" hidden="false" customHeight="false" outlineLevel="0" collapsed="false">
      <c r="A44" s="32"/>
      <c r="B44" s="29"/>
      <c r="C44" s="29"/>
      <c r="D44" s="28" t="str">
        <f aca="false">IF($C44="","",IFERROR(INDEX('المواد الخام'!$B$5:$B$104,MATCH($C44,'المواد الخام'!$A$5:$A$104,0)),IFERROR(INDEX(المنتجات!$C$5:$C$24,MATCH($C44,المنتجات!$A$5:$A$24,0)),"كود غير موجود")))</f>
        <v/>
      </c>
      <c r="E44" s="24"/>
      <c r="F44" s="28" t="str">
        <f aca="false">IF($C44="","",IFERROR(INDEX('المواد الخام'!$D$5:$D$104,MATCH($C44,'المواد الخام'!$A$5:$A$104,0)),"حبة"))</f>
        <v/>
      </c>
      <c r="G44" s="30"/>
      <c r="H44" s="29"/>
      <c r="I44" s="29"/>
    </row>
    <row r="45" customFormat="false" ht="15" hidden="false" customHeight="false" outlineLevel="0" collapsed="false">
      <c r="A45" s="32"/>
      <c r="B45" s="29"/>
      <c r="C45" s="29"/>
      <c r="D45" s="28" t="str">
        <f aca="false">IF($C45="","",IFERROR(INDEX('المواد الخام'!$B$5:$B$104,MATCH($C45,'المواد الخام'!$A$5:$A$104,0)),IFERROR(INDEX(المنتجات!$C$5:$C$24,MATCH($C45,المنتجات!$A$5:$A$24,0)),"كود غير موجود")))</f>
        <v/>
      </c>
      <c r="E45" s="24"/>
      <c r="F45" s="28" t="str">
        <f aca="false">IF($C45="","",IFERROR(INDEX('المواد الخام'!$D$5:$D$104,MATCH($C45,'المواد الخام'!$A$5:$A$104,0)),"حبة"))</f>
        <v/>
      </c>
      <c r="G45" s="30"/>
      <c r="H45" s="29"/>
      <c r="I45" s="29"/>
    </row>
    <row r="46" customFormat="false" ht="15" hidden="false" customHeight="false" outlineLevel="0" collapsed="false">
      <c r="A46" s="32"/>
      <c r="B46" s="29"/>
      <c r="C46" s="29"/>
      <c r="D46" s="28" t="str">
        <f aca="false">IF($C46="","",IFERROR(INDEX('المواد الخام'!$B$5:$B$104,MATCH($C46,'المواد الخام'!$A$5:$A$104,0)),IFERROR(INDEX(المنتجات!$C$5:$C$24,MATCH($C46,المنتجات!$A$5:$A$24,0)),"كود غير موجود")))</f>
        <v/>
      </c>
      <c r="E46" s="24"/>
      <c r="F46" s="28" t="str">
        <f aca="false">IF($C46="","",IFERROR(INDEX('المواد الخام'!$D$5:$D$104,MATCH($C46,'المواد الخام'!$A$5:$A$104,0)),"حبة"))</f>
        <v/>
      </c>
      <c r="G46" s="30"/>
      <c r="H46" s="29"/>
      <c r="I46" s="29"/>
    </row>
    <row r="47" customFormat="false" ht="15" hidden="false" customHeight="false" outlineLevel="0" collapsed="false">
      <c r="A47" s="32"/>
      <c r="B47" s="29"/>
      <c r="C47" s="29"/>
      <c r="D47" s="28" t="str">
        <f aca="false">IF($C47="","",IFERROR(INDEX('المواد الخام'!$B$5:$B$104,MATCH($C47,'المواد الخام'!$A$5:$A$104,0)),IFERROR(INDEX(المنتجات!$C$5:$C$24,MATCH($C47,المنتجات!$A$5:$A$24,0)),"كود غير موجود")))</f>
        <v/>
      </c>
      <c r="E47" s="24"/>
      <c r="F47" s="28" t="str">
        <f aca="false">IF($C47="","",IFERROR(INDEX('المواد الخام'!$D$5:$D$104,MATCH($C47,'المواد الخام'!$A$5:$A$104,0)),"حبة"))</f>
        <v/>
      </c>
      <c r="G47" s="30"/>
      <c r="H47" s="29"/>
      <c r="I47" s="29"/>
    </row>
    <row r="48" customFormat="false" ht="15" hidden="false" customHeight="false" outlineLevel="0" collapsed="false">
      <c r="A48" s="32"/>
      <c r="B48" s="29"/>
      <c r="C48" s="29"/>
      <c r="D48" s="28" t="str">
        <f aca="false">IF($C48="","",IFERROR(INDEX('المواد الخام'!$B$5:$B$104,MATCH($C48,'المواد الخام'!$A$5:$A$104,0)),IFERROR(INDEX(المنتجات!$C$5:$C$24,MATCH($C48,المنتجات!$A$5:$A$24,0)),"كود غير موجود")))</f>
        <v/>
      </c>
      <c r="E48" s="24"/>
      <c r="F48" s="28" t="str">
        <f aca="false">IF($C48="","",IFERROR(INDEX('المواد الخام'!$D$5:$D$104,MATCH($C48,'المواد الخام'!$A$5:$A$104,0)),"حبة"))</f>
        <v/>
      </c>
      <c r="G48" s="30"/>
      <c r="H48" s="29"/>
      <c r="I48" s="29"/>
    </row>
    <row r="49" customFormat="false" ht="15" hidden="false" customHeight="false" outlineLevel="0" collapsed="false">
      <c r="A49" s="32"/>
      <c r="B49" s="29"/>
      <c r="C49" s="29"/>
      <c r="D49" s="28" t="str">
        <f aca="false">IF($C49="","",IFERROR(INDEX('المواد الخام'!$B$5:$B$104,MATCH($C49,'المواد الخام'!$A$5:$A$104,0)),IFERROR(INDEX(المنتجات!$C$5:$C$24,MATCH($C49,المنتجات!$A$5:$A$24,0)),"كود غير موجود")))</f>
        <v/>
      </c>
      <c r="E49" s="24"/>
      <c r="F49" s="28" t="str">
        <f aca="false">IF($C49="","",IFERROR(INDEX('المواد الخام'!$D$5:$D$104,MATCH($C49,'المواد الخام'!$A$5:$A$104,0)),"حبة"))</f>
        <v/>
      </c>
      <c r="G49" s="30"/>
      <c r="H49" s="29"/>
      <c r="I49" s="29"/>
    </row>
    <row r="50" customFormat="false" ht="15" hidden="false" customHeight="false" outlineLevel="0" collapsed="false">
      <c r="A50" s="32"/>
      <c r="B50" s="29"/>
      <c r="C50" s="29"/>
      <c r="D50" s="28" t="str">
        <f aca="false">IF($C50="","",IFERROR(INDEX('المواد الخام'!$B$5:$B$104,MATCH($C50,'المواد الخام'!$A$5:$A$104,0)),IFERROR(INDEX(المنتجات!$C$5:$C$24,MATCH($C50,المنتجات!$A$5:$A$24,0)),"كود غير موجود")))</f>
        <v/>
      </c>
      <c r="E50" s="24"/>
      <c r="F50" s="28" t="str">
        <f aca="false">IF($C50="","",IFERROR(INDEX('المواد الخام'!$D$5:$D$104,MATCH($C50,'المواد الخام'!$A$5:$A$104,0)),"حبة"))</f>
        <v/>
      </c>
      <c r="G50" s="30"/>
      <c r="H50" s="29"/>
      <c r="I50" s="29"/>
    </row>
    <row r="51" customFormat="false" ht="15" hidden="false" customHeight="false" outlineLevel="0" collapsed="false">
      <c r="A51" s="32"/>
      <c r="B51" s="29"/>
      <c r="C51" s="29"/>
      <c r="D51" s="28" t="str">
        <f aca="false">IF($C51="","",IFERROR(INDEX('المواد الخام'!$B$5:$B$104,MATCH($C51,'المواد الخام'!$A$5:$A$104,0)),IFERROR(INDEX(المنتجات!$C$5:$C$24,MATCH($C51,المنتجات!$A$5:$A$24,0)),"كود غير موجود")))</f>
        <v/>
      </c>
      <c r="E51" s="24"/>
      <c r="F51" s="28" t="str">
        <f aca="false">IF($C51="","",IFERROR(INDEX('المواد الخام'!$D$5:$D$104,MATCH($C51,'المواد الخام'!$A$5:$A$104,0)),"حبة"))</f>
        <v/>
      </c>
      <c r="G51" s="30"/>
      <c r="H51" s="29"/>
      <c r="I51" s="29"/>
    </row>
    <row r="52" customFormat="false" ht="15" hidden="false" customHeight="false" outlineLevel="0" collapsed="false">
      <c r="A52" s="32"/>
      <c r="B52" s="29"/>
      <c r="C52" s="29"/>
      <c r="D52" s="28" t="str">
        <f aca="false">IF($C52="","",IFERROR(INDEX('المواد الخام'!$B$5:$B$104,MATCH($C52,'المواد الخام'!$A$5:$A$104,0)),IFERROR(INDEX(المنتجات!$C$5:$C$24,MATCH($C52,المنتجات!$A$5:$A$24,0)),"كود غير موجود")))</f>
        <v/>
      </c>
      <c r="E52" s="24"/>
      <c r="F52" s="28" t="str">
        <f aca="false">IF($C52="","",IFERROR(INDEX('المواد الخام'!$D$5:$D$104,MATCH($C52,'المواد الخام'!$A$5:$A$104,0)),"حبة"))</f>
        <v/>
      </c>
      <c r="G52" s="30"/>
      <c r="H52" s="29"/>
      <c r="I52" s="29"/>
    </row>
    <row r="53" customFormat="false" ht="15" hidden="false" customHeight="false" outlineLevel="0" collapsed="false">
      <c r="A53" s="32"/>
      <c r="B53" s="29"/>
      <c r="C53" s="29"/>
      <c r="D53" s="28" t="str">
        <f aca="false">IF($C53="","",IFERROR(INDEX('المواد الخام'!$B$5:$B$104,MATCH($C53,'المواد الخام'!$A$5:$A$104,0)),IFERROR(INDEX(المنتجات!$C$5:$C$24,MATCH($C53,المنتجات!$A$5:$A$24,0)),"كود غير موجود")))</f>
        <v/>
      </c>
      <c r="E53" s="24"/>
      <c r="F53" s="28" t="str">
        <f aca="false">IF($C53="","",IFERROR(INDEX('المواد الخام'!$D$5:$D$104,MATCH($C53,'المواد الخام'!$A$5:$A$104,0)),"حبة"))</f>
        <v/>
      </c>
      <c r="G53" s="30"/>
      <c r="H53" s="29"/>
      <c r="I53" s="29"/>
    </row>
    <row r="54" customFormat="false" ht="15" hidden="false" customHeight="false" outlineLevel="0" collapsed="false">
      <c r="A54" s="32"/>
      <c r="B54" s="29"/>
      <c r="C54" s="29"/>
      <c r="D54" s="28" t="str">
        <f aca="false">IF($C54="","",IFERROR(INDEX('المواد الخام'!$B$5:$B$104,MATCH($C54,'المواد الخام'!$A$5:$A$104,0)),IFERROR(INDEX(المنتجات!$C$5:$C$24,MATCH($C54,المنتجات!$A$5:$A$24,0)),"كود غير موجود")))</f>
        <v/>
      </c>
      <c r="E54" s="24"/>
      <c r="F54" s="28" t="str">
        <f aca="false">IF($C54="","",IFERROR(INDEX('المواد الخام'!$D$5:$D$104,MATCH($C54,'المواد الخام'!$A$5:$A$104,0)),"حبة"))</f>
        <v/>
      </c>
      <c r="G54" s="30"/>
      <c r="H54" s="29"/>
      <c r="I54" s="29"/>
    </row>
    <row r="55" customFormat="false" ht="15" hidden="false" customHeight="false" outlineLevel="0" collapsed="false">
      <c r="A55" s="32"/>
      <c r="B55" s="29"/>
      <c r="C55" s="29"/>
      <c r="D55" s="28" t="str">
        <f aca="false">IF($C55="","",IFERROR(INDEX('المواد الخام'!$B$5:$B$104,MATCH($C55,'المواد الخام'!$A$5:$A$104,0)),IFERROR(INDEX(المنتجات!$C$5:$C$24,MATCH($C55,المنتجات!$A$5:$A$24,0)),"كود غير موجود")))</f>
        <v/>
      </c>
      <c r="E55" s="24"/>
      <c r="F55" s="28" t="str">
        <f aca="false">IF($C55="","",IFERROR(INDEX('المواد الخام'!$D$5:$D$104,MATCH($C55,'المواد الخام'!$A$5:$A$104,0)),"حبة"))</f>
        <v/>
      </c>
      <c r="G55" s="30"/>
      <c r="H55" s="29"/>
      <c r="I55" s="29"/>
    </row>
    <row r="56" customFormat="false" ht="15" hidden="false" customHeight="false" outlineLevel="0" collapsed="false">
      <c r="A56" s="32"/>
      <c r="B56" s="29"/>
      <c r="C56" s="29"/>
      <c r="D56" s="28" t="str">
        <f aca="false">IF($C56="","",IFERROR(INDEX('المواد الخام'!$B$5:$B$104,MATCH($C56,'المواد الخام'!$A$5:$A$104,0)),IFERROR(INDEX(المنتجات!$C$5:$C$24,MATCH($C56,المنتجات!$A$5:$A$24,0)),"كود غير موجود")))</f>
        <v/>
      </c>
      <c r="E56" s="24"/>
      <c r="F56" s="28" t="str">
        <f aca="false">IF($C56="","",IFERROR(INDEX('المواد الخام'!$D$5:$D$104,MATCH($C56,'المواد الخام'!$A$5:$A$104,0)),"حبة"))</f>
        <v/>
      </c>
      <c r="G56" s="30"/>
      <c r="H56" s="29"/>
      <c r="I56" s="29"/>
    </row>
    <row r="57" customFormat="false" ht="15" hidden="false" customHeight="false" outlineLevel="0" collapsed="false">
      <c r="A57" s="32"/>
      <c r="B57" s="29"/>
      <c r="C57" s="29"/>
      <c r="D57" s="28" t="str">
        <f aca="false">IF($C57="","",IFERROR(INDEX('المواد الخام'!$B$5:$B$104,MATCH($C57,'المواد الخام'!$A$5:$A$104,0)),IFERROR(INDEX(المنتجات!$C$5:$C$24,MATCH($C57,المنتجات!$A$5:$A$24,0)),"كود غير موجود")))</f>
        <v/>
      </c>
      <c r="E57" s="24"/>
      <c r="F57" s="28" t="str">
        <f aca="false">IF($C57="","",IFERROR(INDEX('المواد الخام'!$D$5:$D$104,MATCH($C57,'المواد الخام'!$A$5:$A$104,0)),"حبة"))</f>
        <v/>
      </c>
      <c r="G57" s="30"/>
      <c r="H57" s="29"/>
      <c r="I57" s="29"/>
    </row>
    <row r="58" customFormat="false" ht="15" hidden="false" customHeight="false" outlineLevel="0" collapsed="false">
      <c r="A58" s="32"/>
      <c r="B58" s="29"/>
      <c r="C58" s="29"/>
      <c r="D58" s="28" t="str">
        <f aca="false">IF($C58="","",IFERROR(INDEX('المواد الخام'!$B$5:$B$104,MATCH($C58,'المواد الخام'!$A$5:$A$104,0)),IFERROR(INDEX(المنتجات!$C$5:$C$24,MATCH($C58,المنتجات!$A$5:$A$24,0)),"كود غير موجود")))</f>
        <v/>
      </c>
      <c r="E58" s="24"/>
      <c r="F58" s="28" t="str">
        <f aca="false">IF($C58="","",IFERROR(INDEX('المواد الخام'!$D$5:$D$104,MATCH($C58,'المواد الخام'!$A$5:$A$104,0)),"حبة"))</f>
        <v/>
      </c>
      <c r="G58" s="30"/>
      <c r="H58" s="29"/>
      <c r="I58" s="29"/>
    </row>
    <row r="59" customFormat="false" ht="15" hidden="false" customHeight="false" outlineLevel="0" collapsed="false">
      <c r="A59" s="32"/>
      <c r="B59" s="29"/>
      <c r="C59" s="29"/>
      <c r="D59" s="28" t="str">
        <f aca="false">IF($C59="","",IFERROR(INDEX('المواد الخام'!$B$5:$B$104,MATCH($C59,'المواد الخام'!$A$5:$A$104,0)),IFERROR(INDEX(المنتجات!$C$5:$C$24,MATCH($C59,المنتجات!$A$5:$A$24,0)),"كود غير موجود")))</f>
        <v/>
      </c>
      <c r="E59" s="24"/>
      <c r="F59" s="28" t="str">
        <f aca="false">IF($C59="","",IFERROR(INDEX('المواد الخام'!$D$5:$D$104,MATCH($C59,'المواد الخام'!$A$5:$A$104,0)),"حبة"))</f>
        <v/>
      </c>
      <c r="G59" s="30"/>
      <c r="H59" s="29"/>
      <c r="I59" s="29"/>
    </row>
    <row r="60" customFormat="false" ht="15" hidden="false" customHeight="false" outlineLevel="0" collapsed="false">
      <c r="A60" s="32"/>
      <c r="B60" s="29"/>
      <c r="C60" s="29"/>
      <c r="D60" s="28" t="str">
        <f aca="false">IF($C60="","",IFERROR(INDEX('المواد الخام'!$B$5:$B$104,MATCH($C60,'المواد الخام'!$A$5:$A$104,0)),IFERROR(INDEX(المنتجات!$C$5:$C$24,MATCH($C60,المنتجات!$A$5:$A$24,0)),"كود غير موجود")))</f>
        <v/>
      </c>
      <c r="E60" s="24"/>
      <c r="F60" s="28" t="str">
        <f aca="false">IF($C60="","",IFERROR(INDEX('المواد الخام'!$D$5:$D$104,MATCH($C60,'المواد الخام'!$A$5:$A$104,0)),"حبة"))</f>
        <v/>
      </c>
      <c r="G60" s="30"/>
      <c r="H60" s="29"/>
      <c r="I60" s="29"/>
    </row>
    <row r="61" customFormat="false" ht="15" hidden="false" customHeight="false" outlineLevel="0" collapsed="false">
      <c r="A61" s="32"/>
      <c r="B61" s="29"/>
      <c r="C61" s="29"/>
      <c r="D61" s="28" t="str">
        <f aca="false">IF($C61="","",IFERROR(INDEX('المواد الخام'!$B$5:$B$104,MATCH($C61,'المواد الخام'!$A$5:$A$104,0)),IFERROR(INDEX(المنتجات!$C$5:$C$24,MATCH($C61,المنتجات!$A$5:$A$24,0)),"كود غير موجود")))</f>
        <v/>
      </c>
      <c r="E61" s="24"/>
      <c r="F61" s="28" t="str">
        <f aca="false">IF($C61="","",IFERROR(INDEX('المواد الخام'!$D$5:$D$104,MATCH($C61,'المواد الخام'!$A$5:$A$104,0)),"حبة"))</f>
        <v/>
      </c>
      <c r="G61" s="30"/>
      <c r="H61" s="29"/>
      <c r="I61" s="29"/>
    </row>
    <row r="62" customFormat="false" ht="15" hidden="false" customHeight="false" outlineLevel="0" collapsed="false">
      <c r="A62" s="32"/>
      <c r="B62" s="29"/>
      <c r="C62" s="29"/>
      <c r="D62" s="28" t="str">
        <f aca="false">IF($C62="","",IFERROR(INDEX('المواد الخام'!$B$5:$B$104,MATCH($C62,'المواد الخام'!$A$5:$A$104,0)),IFERROR(INDEX(المنتجات!$C$5:$C$24,MATCH($C62,المنتجات!$A$5:$A$24,0)),"كود غير موجود")))</f>
        <v/>
      </c>
      <c r="E62" s="24"/>
      <c r="F62" s="28" t="str">
        <f aca="false">IF($C62="","",IFERROR(INDEX('المواد الخام'!$D$5:$D$104,MATCH($C62,'المواد الخام'!$A$5:$A$104,0)),"حبة"))</f>
        <v/>
      </c>
      <c r="G62" s="30"/>
      <c r="H62" s="29"/>
      <c r="I62" s="29"/>
    </row>
    <row r="63" customFormat="false" ht="15" hidden="false" customHeight="false" outlineLevel="0" collapsed="false">
      <c r="A63" s="32"/>
      <c r="B63" s="29"/>
      <c r="C63" s="29"/>
      <c r="D63" s="28" t="str">
        <f aca="false">IF($C63="","",IFERROR(INDEX('المواد الخام'!$B$5:$B$104,MATCH($C63,'المواد الخام'!$A$5:$A$104,0)),IFERROR(INDEX(المنتجات!$C$5:$C$24,MATCH($C63,المنتجات!$A$5:$A$24,0)),"كود غير موجود")))</f>
        <v/>
      </c>
      <c r="E63" s="24"/>
      <c r="F63" s="28" t="str">
        <f aca="false">IF($C63="","",IFERROR(INDEX('المواد الخام'!$D$5:$D$104,MATCH($C63,'المواد الخام'!$A$5:$A$104,0)),"حبة"))</f>
        <v/>
      </c>
      <c r="G63" s="30"/>
      <c r="H63" s="29"/>
      <c r="I63" s="29"/>
    </row>
    <row r="64" customFormat="false" ht="15" hidden="false" customHeight="false" outlineLevel="0" collapsed="false">
      <c r="A64" s="32"/>
      <c r="B64" s="29"/>
      <c r="C64" s="29"/>
      <c r="D64" s="28" t="str">
        <f aca="false">IF($C64="","",IFERROR(INDEX('المواد الخام'!$B$5:$B$104,MATCH($C64,'المواد الخام'!$A$5:$A$104,0)),IFERROR(INDEX(المنتجات!$C$5:$C$24,MATCH($C64,المنتجات!$A$5:$A$24,0)),"كود غير موجود")))</f>
        <v/>
      </c>
      <c r="E64" s="24"/>
      <c r="F64" s="28" t="str">
        <f aca="false">IF($C64="","",IFERROR(INDEX('المواد الخام'!$D$5:$D$104,MATCH($C64,'المواد الخام'!$A$5:$A$104,0)),"حبة"))</f>
        <v/>
      </c>
      <c r="G64" s="30"/>
      <c r="H64" s="29"/>
      <c r="I64" s="29"/>
    </row>
    <row r="65" customFormat="false" ht="15" hidden="false" customHeight="false" outlineLevel="0" collapsed="false">
      <c r="A65" s="32"/>
      <c r="B65" s="29"/>
      <c r="C65" s="29"/>
      <c r="D65" s="28" t="str">
        <f aca="false">IF($C65="","",IFERROR(INDEX('المواد الخام'!$B$5:$B$104,MATCH($C65,'المواد الخام'!$A$5:$A$104,0)),IFERROR(INDEX(المنتجات!$C$5:$C$24,MATCH($C65,المنتجات!$A$5:$A$24,0)),"كود غير موجود")))</f>
        <v/>
      </c>
      <c r="E65" s="24"/>
      <c r="F65" s="28" t="str">
        <f aca="false">IF($C65="","",IFERROR(INDEX('المواد الخام'!$D$5:$D$104,MATCH($C65,'المواد الخام'!$A$5:$A$104,0)),"حبة"))</f>
        <v/>
      </c>
      <c r="G65" s="30"/>
      <c r="H65" s="29"/>
      <c r="I65" s="29"/>
    </row>
    <row r="66" customFormat="false" ht="15" hidden="false" customHeight="false" outlineLevel="0" collapsed="false">
      <c r="A66" s="32"/>
      <c r="B66" s="29"/>
      <c r="C66" s="29"/>
      <c r="D66" s="28" t="str">
        <f aca="false">IF($C66="","",IFERROR(INDEX('المواد الخام'!$B$5:$B$104,MATCH($C66,'المواد الخام'!$A$5:$A$104,0)),IFERROR(INDEX(المنتجات!$C$5:$C$24,MATCH($C66,المنتجات!$A$5:$A$24,0)),"كود غير موجود")))</f>
        <v/>
      </c>
      <c r="E66" s="24"/>
      <c r="F66" s="28" t="str">
        <f aca="false">IF($C66="","",IFERROR(INDEX('المواد الخام'!$D$5:$D$104,MATCH($C66,'المواد الخام'!$A$5:$A$104,0)),"حبة"))</f>
        <v/>
      </c>
      <c r="G66" s="30"/>
      <c r="H66" s="29"/>
      <c r="I66" s="29"/>
    </row>
    <row r="67" customFormat="false" ht="15" hidden="false" customHeight="false" outlineLevel="0" collapsed="false">
      <c r="A67" s="32"/>
      <c r="B67" s="29"/>
      <c r="C67" s="29"/>
      <c r="D67" s="28" t="str">
        <f aca="false">IF($C67="","",IFERROR(INDEX('المواد الخام'!$B$5:$B$104,MATCH($C67,'المواد الخام'!$A$5:$A$104,0)),IFERROR(INDEX(المنتجات!$C$5:$C$24,MATCH($C67,المنتجات!$A$5:$A$24,0)),"كود غير موجود")))</f>
        <v/>
      </c>
      <c r="E67" s="24"/>
      <c r="F67" s="28" t="str">
        <f aca="false">IF($C67="","",IFERROR(INDEX('المواد الخام'!$D$5:$D$104,MATCH($C67,'المواد الخام'!$A$5:$A$104,0)),"حبة"))</f>
        <v/>
      </c>
      <c r="G67" s="30"/>
      <c r="H67" s="29"/>
      <c r="I67" s="29"/>
    </row>
    <row r="68" customFormat="false" ht="15" hidden="false" customHeight="false" outlineLevel="0" collapsed="false">
      <c r="A68" s="32"/>
      <c r="B68" s="29"/>
      <c r="C68" s="29"/>
      <c r="D68" s="28" t="str">
        <f aca="false">IF($C68="","",IFERROR(INDEX('المواد الخام'!$B$5:$B$104,MATCH($C68,'المواد الخام'!$A$5:$A$104,0)),IFERROR(INDEX(المنتجات!$C$5:$C$24,MATCH($C68,المنتجات!$A$5:$A$24,0)),"كود غير موجود")))</f>
        <v/>
      </c>
      <c r="E68" s="24"/>
      <c r="F68" s="28" t="str">
        <f aca="false">IF($C68="","",IFERROR(INDEX('المواد الخام'!$D$5:$D$104,MATCH($C68,'المواد الخام'!$A$5:$A$104,0)),"حبة"))</f>
        <v/>
      </c>
      <c r="G68" s="30"/>
      <c r="H68" s="29"/>
      <c r="I68" s="29"/>
    </row>
    <row r="69" customFormat="false" ht="15" hidden="false" customHeight="false" outlineLevel="0" collapsed="false">
      <c r="A69" s="32"/>
      <c r="B69" s="29"/>
      <c r="C69" s="29"/>
      <c r="D69" s="28" t="str">
        <f aca="false">IF($C69="","",IFERROR(INDEX('المواد الخام'!$B$5:$B$104,MATCH($C69,'المواد الخام'!$A$5:$A$104,0)),IFERROR(INDEX(المنتجات!$C$5:$C$24,MATCH($C69,المنتجات!$A$5:$A$24,0)),"كود غير موجود")))</f>
        <v/>
      </c>
      <c r="E69" s="24"/>
      <c r="F69" s="28" t="str">
        <f aca="false">IF($C69="","",IFERROR(INDEX('المواد الخام'!$D$5:$D$104,MATCH($C69,'المواد الخام'!$A$5:$A$104,0)),"حبة"))</f>
        <v/>
      </c>
      <c r="G69" s="30"/>
      <c r="H69" s="29"/>
      <c r="I69" s="29"/>
    </row>
    <row r="70" customFormat="false" ht="15" hidden="false" customHeight="false" outlineLevel="0" collapsed="false">
      <c r="A70" s="32"/>
      <c r="B70" s="29"/>
      <c r="C70" s="29"/>
      <c r="D70" s="28" t="str">
        <f aca="false">IF($C70="","",IFERROR(INDEX('المواد الخام'!$B$5:$B$104,MATCH($C70,'المواد الخام'!$A$5:$A$104,0)),IFERROR(INDEX(المنتجات!$C$5:$C$24,MATCH($C70,المنتجات!$A$5:$A$24,0)),"كود غير موجود")))</f>
        <v/>
      </c>
      <c r="E70" s="24"/>
      <c r="F70" s="28" t="str">
        <f aca="false">IF($C70="","",IFERROR(INDEX('المواد الخام'!$D$5:$D$104,MATCH($C70,'المواد الخام'!$A$5:$A$104,0)),"حبة"))</f>
        <v/>
      </c>
      <c r="G70" s="30"/>
      <c r="H70" s="29"/>
      <c r="I70" s="29"/>
    </row>
    <row r="71" customFormat="false" ht="15" hidden="false" customHeight="false" outlineLevel="0" collapsed="false">
      <c r="A71" s="32"/>
      <c r="B71" s="29"/>
      <c r="C71" s="29"/>
      <c r="D71" s="28" t="str">
        <f aca="false">IF($C71="","",IFERROR(INDEX('المواد الخام'!$B$5:$B$104,MATCH($C71,'المواد الخام'!$A$5:$A$104,0)),IFERROR(INDEX(المنتجات!$C$5:$C$24,MATCH($C71,المنتجات!$A$5:$A$24,0)),"كود غير موجود")))</f>
        <v/>
      </c>
      <c r="E71" s="24"/>
      <c r="F71" s="28" t="str">
        <f aca="false">IF($C71="","",IFERROR(INDEX('المواد الخام'!$D$5:$D$104,MATCH($C71,'المواد الخام'!$A$5:$A$104,0)),"حبة"))</f>
        <v/>
      </c>
      <c r="G71" s="30"/>
      <c r="H71" s="29"/>
      <c r="I71" s="29"/>
    </row>
    <row r="72" customFormat="false" ht="15" hidden="false" customHeight="false" outlineLevel="0" collapsed="false">
      <c r="A72" s="32"/>
      <c r="B72" s="29"/>
      <c r="C72" s="29"/>
      <c r="D72" s="28" t="str">
        <f aca="false">IF($C72="","",IFERROR(INDEX('المواد الخام'!$B$5:$B$104,MATCH($C72,'المواد الخام'!$A$5:$A$104,0)),IFERROR(INDEX(المنتجات!$C$5:$C$24,MATCH($C72,المنتجات!$A$5:$A$24,0)),"كود غير موجود")))</f>
        <v/>
      </c>
      <c r="E72" s="24"/>
      <c r="F72" s="28" t="str">
        <f aca="false">IF($C72="","",IFERROR(INDEX('المواد الخام'!$D$5:$D$104,MATCH($C72,'المواد الخام'!$A$5:$A$104,0)),"حبة"))</f>
        <v/>
      </c>
      <c r="G72" s="30"/>
      <c r="H72" s="29"/>
      <c r="I72" s="29"/>
    </row>
    <row r="73" customFormat="false" ht="15" hidden="false" customHeight="false" outlineLevel="0" collapsed="false">
      <c r="A73" s="32"/>
      <c r="B73" s="29"/>
      <c r="C73" s="29"/>
      <c r="D73" s="28" t="str">
        <f aca="false">IF($C73="","",IFERROR(INDEX('المواد الخام'!$B$5:$B$104,MATCH($C73,'المواد الخام'!$A$5:$A$104,0)),IFERROR(INDEX(المنتجات!$C$5:$C$24,MATCH($C73,المنتجات!$A$5:$A$24,0)),"كود غير موجود")))</f>
        <v/>
      </c>
      <c r="E73" s="24"/>
      <c r="F73" s="28" t="str">
        <f aca="false">IF($C73="","",IFERROR(INDEX('المواد الخام'!$D$5:$D$104,MATCH($C73,'المواد الخام'!$A$5:$A$104,0)),"حبة"))</f>
        <v/>
      </c>
      <c r="G73" s="30"/>
      <c r="H73" s="29"/>
      <c r="I73" s="29"/>
    </row>
    <row r="74" customFormat="false" ht="15" hidden="false" customHeight="false" outlineLevel="0" collapsed="false">
      <c r="A74" s="32"/>
      <c r="B74" s="29"/>
      <c r="C74" s="29"/>
      <c r="D74" s="28" t="str">
        <f aca="false">IF($C74="","",IFERROR(INDEX('المواد الخام'!$B$5:$B$104,MATCH($C74,'المواد الخام'!$A$5:$A$104,0)),IFERROR(INDEX(المنتجات!$C$5:$C$24,MATCH($C74,المنتجات!$A$5:$A$24,0)),"كود غير موجود")))</f>
        <v/>
      </c>
      <c r="E74" s="24"/>
      <c r="F74" s="28" t="str">
        <f aca="false">IF($C74="","",IFERROR(INDEX('المواد الخام'!$D$5:$D$104,MATCH($C74,'المواد الخام'!$A$5:$A$104,0)),"حبة"))</f>
        <v/>
      </c>
      <c r="G74" s="30"/>
      <c r="H74" s="29"/>
      <c r="I74" s="29"/>
    </row>
    <row r="75" customFormat="false" ht="15" hidden="false" customHeight="false" outlineLevel="0" collapsed="false">
      <c r="A75" s="32"/>
      <c r="B75" s="29"/>
      <c r="C75" s="29"/>
      <c r="D75" s="28" t="str">
        <f aca="false">IF($C75="","",IFERROR(INDEX('المواد الخام'!$B$5:$B$104,MATCH($C75,'المواد الخام'!$A$5:$A$104,0)),IFERROR(INDEX(المنتجات!$C$5:$C$24,MATCH($C75,المنتجات!$A$5:$A$24,0)),"كود غير موجود")))</f>
        <v/>
      </c>
      <c r="E75" s="24"/>
      <c r="F75" s="28" t="str">
        <f aca="false">IF($C75="","",IFERROR(INDEX('المواد الخام'!$D$5:$D$104,MATCH($C75,'المواد الخام'!$A$5:$A$104,0)),"حبة"))</f>
        <v/>
      </c>
      <c r="G75" s="30"/>
      <c r="H75" s="29"/>
      <c r="I75" s="29"/>
    </row>
    <row r="76" customFormat="false" ht="15" hidden="false" customHeight="false" outlineLevel="0" collapsed="false">
      <c r="A76" s="32"/>
      <c r="B76" s="29"/>
      <c r="C76" s="29"/>
      <c r="D76" s="28" t="str">
        <f aca="false">IF($C76="","",IFERROR(INDEX('المواد الخام'!$B$5:$B$104,MATCH($C76,'المواد الخام'!$A$5:$A$104,0)),IFERROR(INDEX(المنتجات!$C$5:$C$24,MATCH($C76,المنتجات!$A$5:$A$24,0)),"كود غير موجود")))</f>
        <v/>
      </c>
      <c r="E76" s="24"/>
      <c r="F76" s="28" t="str">
        <f aca="false">IF($C76="","",IFERROR(INDEX('المواد الخام'!$D$5:$D$104,MATCH($C76,'المواد الخام'!$A$5:$A$104,0)),"حبة"))</f>
        <v/>
      </c>
      <c r="G76" s="30"/>
      <c r="H76" s="29"/>
      <c r="I76" s="29"/>
    </row>
    <row r="77" customFormat="false" ht="15" hidden="false" customHeight="false" outlineLevel="0" collapsed="false">
      <c r="A77" s="32"/>
      <c r="B77" s="29"/>
      <c r="C77" s="29"/>
      <c r="D77" s="28" t="str">
        <f aca="false">IF($C77="","",IFERROR(INDEX('المواد الخام'!$B$5:$B$104,MATCH($C77,'المواد الخام'!$A$5:$A$104,0)),IFERROR(INDEX(المنتجات!$C$5:$C$24,MATCH($C77,المنتجات!$A$5:$A$24,0)),"كود غير موجود")))</f>
        <v/>
      </c>
      <c r="E77" s="24"/>
      <c r="F77" s="28" t="str">
        <f aca="false">IF($C77="","",IFERROR(INDEX('المواد الخام'!$D$5:$D$104,MATCH($C77,'المواد الخام'!$A$5:$A$104,0)),"حبة"))</f>
        <v/>
      </c>
      <c r="G77" s="30"/>
      <c r="H77" s="29"/>
      <c r="I77" s="29"/>
    </row>
    <row r="78" customFormat="false" ht="15" hidden="false" customHeight="false" outlineLevel="0" collapsed="false">
      <c r="A78" s="32"/>
      <c r="B78" s="29"/>
      <c r="C78" s="29"/>
      <c r="D78" s="28" t="str">
        <f aca="false">IF($C78="","",IFERROR(INDEX('المواد الخام'!$B$5:$B$104,MATCH($C78,'المواد الخام'!$A$5:$A$104,0)),IFERROR(INDEX(المنتجات!$C$5:$C$24,MATCH($C78,المنتجات!$A$5:$A$24,0)),"كود غير موجود")))</f>
        <v/>
      </c>
      <c r="E78" s="24"/>
      <c r="F78" s="28" t="str">
        <f aca="false">IF($C78="","",IFERROR(INDEX('المواد الخام'!$D$5:$D$104,MATCH($C78,'المواد الخام'!$A$5:$A$104,0)),"حبة"))</f>
        <v/>
      </c>
      <c r="G78" s="30"/>
      <c r="H78" s="29"/>
      <c r="I78" s="29"/>
    </row>
    <row r="79" customFormat="false" ht="15" hidden="false" customHeight="false" outlineLevel="0" collapsed="false">
      <c r="A79" s="32"/>
      <c r="B79" s="29"/>
      <c r="C79" s="29"/>
      <c r="D79" s="28" t="str">
        <f aca="false">IF($C79="","",IFERROR(INDEX('المواد الخام'!$B$5:$B$104,MATCH($C79,'المواد الخام'!$A$5:$A$104,0)),IFERROR(INDEX(المنتجات!$C$5:$C$24,MATCH($C79,المنتجات!$A$5:$A$24,0)),"كود غير موجود")))</f>
        <v/>
      </c>
      <c r="E79" s="24"/>
      <c r="F79" s="28" t="str">
        <f aca="false">IF($C79="","",IFERROR(INDEX('المواد الخام'!$D$5:$D$104,MATCH($C79,'المواد الخام'!$A$5:$A$104,0)),"حبة"))</f>
        <v/>
      </c>
      <c r="G79" s="30"/>
      <c r="H79" s="29"/>
      <c r="I79" s="29"/>
    </row>
    <row r="80" customFormat="false" ht="15" hidden="false" customHeight="false" outlineLevel="0" collapsed="false">
      <c r="A80" s="32"/>
      <c r="B80" s="29"/>
      <c r="C80" s="29"/>
      <c r="D80" s="28" t="str">
        <f aca="false">IF($C80="","",IFERROR(INDEX('المواد الخام'!$B$5:$B$104,MATCH($C80,'المواد الخام'!$A$5:$A$104,0)),IFERROR(INDEX(المنتجات!$C$5:$C$24,MATCH($C80,المنتجات!$A$5:$A$24,0)),"كود غير موجود")))</f>
        <v/>
      </c>
      <c r="E80" s="24"/>
      <c r="F80" s="28" t="str">
        <f aca="false">IF($C80="","",IFERROR(INDEX('المواد الخام'!$D$5:$D$104,MATCH($C80,'المواد الخام'!$A$5:$A$104,0)),"حبة"))</f>
        <v/>
      </c>
      <c r="G80" s="30"/>
      <c r="H80" s="29"/>
      <c r="I80" s="29"/>
    </row>
    <row r="81" customFormat="false" ht="15" hidden="false" customHeight="false" outlineLevel="0" collapsed="false">
      <c r="A81" s="32"/>
      <c r="B81" s="29"/>
      <c r="C81" s="29"/>
      <c r="D81" s="28" t="str">
        <f aca="false">IF($C81="","",IFERROR(INDEX('المواد الخام'!$B$5:$B$104,MATCH($C81,'المواد الخام'!$A$5:$A$104,0)),IFERROR(INDEX(المنتجات!$C$5:$C$24,MATCH($C81,المنتجات!$A$5:$A$24,0)),"كود غير موجود")))</f>
        <v/>
      </c>
      <c r="E81" s="24"/>
      <c r="F81" s="28" t="str">
        <f aca="false">IF($C81="","",IFERROR(INDEX('المواد الخام'!$D$5:$D$104,MATCH($C81,'المواد الخام'!$A$5:$A$104,0)),"حبة"))</f>
        <v/>
      </c>
      <c r="G81" s="30"/>
      <c r="H81" s="29"/>
      <c r="I81" s="29"/>
    </row>
    <row r="82" customFormat="false" ht="15" hidden="false" customHeight="false" outlineLevel="0" collapsed="false">
      <c r="A82" s="32"/>
      <c r="B82" s="29"/>
      <c r="C82" s="29"/>
      <c r="D82" s="28" t="str">
        <f aca="false">IF($C82="","",IFERROR(INDEX('المواد الخام'!$B$5:$B$104,MATCH($C82,'المواد الخام'!$A$5:$A$104,0)),IFERROR(INDEX(المنتجات!$C$5:$C$24,MATCH($C82,المنتجات!$A$5:$A$24,0)),"كود غير موجود")))</f>
        <v/>
      </c>
      <c r="E82" s="24"/>
      <c r="F82" s="28" t="str">
        <f aca="false">IF($C82="","",IFERROR(INDEX('المواد الخام'!$D$5:$D$104,MATCH($C82,'المواد الخام'!$A$5:$A$104,0)),"حبة"))</f>
        <v/>
      </c>
      <c r="G82" s="30"/>
      <c r="H82" s="29"/>
      <c r="I82" s="29"/>
    </row>
    <row r="83" customFormat="false" ht="15" hidden="false" customHeight="false" outlineLevel="0" collapsed="false">
      <c r="A83" s="32"/>
      <c r="B83" s="29"/>
      <c r="C83" s="29"/>
      <c r="D83" s="28" t="str">
        <f aca="false">IF($C83="","",IFERROR(INDEX('المواد الخام'!$B$5:$B$104,MATCH($C83,'المواد الخام'!$A$5:$A$104,0)),IFERROR(INDEX(المنتجات!$C$5:$C$24,MATCH($C83,المنتجات!$A$5:$A$24,0)),"كود غير موجود")))</f>
        <v/>
      </c>
      <c r="E83" s="24"/>
      <c r="F83" s="28" t="str">
        <f aca="false">IF($C83="","",IFERROR(INDEX('المواد الخام'!$D$5:$D$104,MATCH($C83,'المواد الخام'!$A$5:$A$104,0)),"حبة"))</f>
        <v/>
      </c>
      <c r="G83" s="30"/>
      <c r="H83" s="29"/>
      <c r="I83" s="29"/>
    </row>
    <row r="84" customFormat="false" ht="15" hidden="false" customHeight="false" outlineLevel="0" collapsed="false">
      <c r="A84" s="32"/>
      <c r="B84" s="29"/>
      <c r="C84" s="29"/>
      <c r="D84" s="28" t="str">
        <f aca="false">IF($C84="","",IFERROR(INDEX('المواد الخام'!$B$5:$B$104,MATCH($C84,'المواد الخام'!$A$5:$A$104,0)),IFERROR(INDEX(المنتجات!$C$5:$C$24,MATCH($C84,المنتجات!$A$5:$A$24,0)),"كود غير موجود")))</f>
        <v/>
      </c>
      <c r="E84" s="24"/>
      <c r="F84" s="28" t="str">
        <f aca="false">IF($C84="","",IFERROR(INDEX('المواد الخام'!$D$5:$D$104,MATCH($C84,'المواد الخام'!$A$5:$A$104,0)),"حبة"))</f>
        <v/>
      </c>
      <c r="G84" s="30"/>
      <c r="H84" s="29"/>
      <c r="I84" s="29"/>
    </row>
    <row r="85" customFormat="false" ht="15" hidden="false" customHeight="false" outlineLevel="0" collapsed="false">
      <c r="A85" s="32"/>
      <c r="B85" s="29"/>
      <c r="C85" s="29"/>
      <c r="D85" s="28" t="str">
        <f aca="false">IF($C85="","",IFERROR(INDEX('المواد الخام'!$B$5:$B$104,MATCH($C85,'المواد الخام'!$A$5:$A$104,0)),IFERROR(INDEX(المنتجات!$C$5:$C$24,MATCH($C85,المنتجات!$A$5:$A$24,0)),"كود غير موجود")))</f>
        <v/>
      </c>
      <c r="E85" s="24"/>
      <c r="F85" s="28" t="str">
        <f aca="false">IF($C85="","",IFERROR(INDEX('المواد الخام'!$D$5:$D$104,MATCH($C85,'المواد الخام'!$A$5:$A$104,0)),"حبة"))</f>
        <v/>
      </c>
      <c r="G85" s="30"/>
      <c r="H85" s="29"/>
      <c r="I85" s="29"/>
    </row>
    <row r="86" customFormat="false" ht="15" hidden="false" customHeight="false" outlineLevel="0" collapsed="false">
      <c r="A86" s="32"/>
      <c r="B86" s="29"/>
      <c r="C86" s="29"/>
      <c r="D86" s="28" t="str">
        <f aca="false">IF($C86="","",IFERROR(INDEX('المواد الخام'!$B$5:$B$104,MATCH($C86,'المواد الخام'!$A$5:$A$104,0)),IFERROR(INDEX(المنتجات!$C$5:$C$24,MATCH($C86,المنتجات!$A$5:$A$24,0)),"كود غير موجود")))</f>
        <v/>
      </c>
      <c r="E86" s="24"/>
      <c r="F86" s="28" t="str">
        <f aca="false">IF($C86="","",IFERROR(INDEX('المواد الخام'!$D$5:$D$104,MATCH($C86,'المواد الخام'!$A$5:$A$104,0)),"حبة"))</f>
        <v/>
      </c>
      <c r="G86" s="30"/>
      <c r="H86" s="29"/>
      <c r="I86" s="29"/>
    </row>
    <row r="87" customFormat="false" ht="15" hidden="false" customHeight="false" outlineLevel="0" collapsed="false">
      <c r="A87" s="32"/>
      <c r="B87" s="29"/>
      <c r="C87" s="29"/>
      <c r="D87" s="28" t="str">
        <f aca="false">IF($C87="","",IFERROR(INDEX('المواد الخام'!$B$5:$B$104,MATCH($C87,'المواد الخام'!$A$5:$A$104,0)),IFERROR(INDEX(المنتجات!$C$5:$C$24,MATCH($C87,المنتجات!$A$5:$A$24,0)),"كود غير موجود")))</f>
        <v/>
      </c>
      <c r="E87" s="24"/>
      <c r="F87" s="28" t="str">
        <f aca="false">IF($C87="","",IFERROR(INDEX('المواد الخام'!$D$5:$D$104,MATCH($C87,'المواد الخام'!$A$5:$A$104,0)),"حبة"))</f>
        <v/>
      </c>
      <c r="G87" s="30"/>
      <c r="H87" s="29"/>
      <c r="I87" s="29"/>
    </row>
    <row r="88" customFormat="false" ht="15" hidden="false" customHeight="false" outlineLevel="0" collapsed="false">
      <c r="A88" s="32"/>
      <c r="B88" s="29"/>
      <c r="C88" s="29"/>
      <c r="D88" s="28" t="str">
        <f aca="false">IF($C88="","",IFERROR(INDEX('المواد الخام'!$B$5:$B$104,MATCH($C88,'المواد الخام'!$A$5:$A$104,0)),IFERROR(INDEX(المنتجات!$C$5:$C$24,MATCH($C88,المنتجات!$A$5:$A$24,0)),"كود غير موجود")))</f>
        <v/>
      </c>
      <c r="E88" s="24"/>
      <c r="F88" s="28" t="str">
        <f aca="false">IF($C88="","",IFERROR(INDEX('المواد الخام'!$D$5:$D$104,MATCH($C88,'المواد الخام'!$A$5:$A$104,0)),"حبة"))</f>
        <v/>
      </c>
      <c r="G88" s="30"/>
      <c r="H88" s="29"/>
      <c r="I88" s="29"/>
    </row>
    <row r="89" customFormat="false" ht="15" hidden="false" customHeight="false" outlineLevel="0" collapsed="false">
      <c r="A89" s="32"/>
      <c r="B89" s="29"/>
      <c r="C89" s="29"/>
      <c r="D89" s="28" t="str">
        <f aca="false">IF($C89="","",IFERROR(INDEX('المواد الخام'!$B$5:$B$104,MATCH($C89,'المواد الخام'!$A$5:$A$104,0)),IFERROR(INDEX(المنتجات!$C$5:$C$24,MATCH($C89,المنتجات!$A$5:$A$24,0)),"كود غير موجود")))</f>
        <v/>
      </c>
      <c r="E89" s="24"/>
      <c r="F89" s="28" t="str">
        <f aca="false">IF($C89="","",IFERROR(INDEX('المواد الخام'!$D$5:$D$104,MATCH($C89,'المواد الخام'!$A$5:$A$104,0)),"حبة"))</f>
        <v/>
      </c>
      <c r="G89" s="30"/>
      <c r="H89" s="29"/>
      <c r="I89" s="29"/>
    </row>
    <row r="90" customFormat="false" ht="15" hidden="false" customHeight="false" outlineLevel="0" collapsed="false">
      <c r="A90" s="32"/>
      <c r="B90" s="29"/>
      <c r="C90" s="29"/>
      <c r="D90" s="28" t="str">
        <f aca="false">IF($C90="","",IFERROR(INDEX('المواد الخام'!$B$5:$B$104,MATCH($C90,'المواد الخام'!$A$5:$A$104,0)),IFERROR(INDEX(المنتجات!$C$5:$C$24,MATCH($C90,المنتجات!$A$5:$A$24,0)),"كود غير موجود")))</f>
        <v/>
      </c>
      <c r="E90" s="24"/>
      <c r="F90" s="28" t="str">
        <f aca="false">IF($C90="","",IFERROR(INDEX('المواد الخام'!$D$5:$D$104,MATCH($C90,'المواد الخام'!$A$5:$A$104,0)),"حبة"))</f>
        <v/>
      </c>
      <c r="G90" s="30"/>
      <c r="H90" s="29"/>
      <c r="I90" s="29"/>
    </row>
    <row r="91" customFormat="false" ht="15" hidden="false" customHeight="false" outlineLevel="0" collapsed="false">
      <c r="A91" s="32"/>
      <c r="B91" s="29"/>
      <c r="C91" s="29"/>
      <c r="D91" s="28" t="str">
        <f aca="false">IF($C91="","",IFERROR(INDEX('المواد الخام'!$B$5:$B$104,MATCH($C91,'المواد الخام'!$A$5:$A$104,0)),IFERROR(INDEX(المنتجات!$C$5:$C$24,MATCH($C91,المنتجات!$A$5:$A$24,0)),"كود غير موجود")))</f>
        <v/>
      </c>
      <c r="E91" s="24"/>
      <c r="F91" s="28" t="str">
        <f aca="false">IF($C91="","",IFERROR(INDEX('المواد الخام'!$D$5:$D$104,MATCH($C91,'المواد الخام'!$A$5:$A$104,0)),"حبة"))</f>
        <v/>
      </c>
      <c r="G91" s="30"/>
      <c r="H91" s="29"/>
      <c r="I91" s="29"/>
    </row>
    <row r="92" customFormat="false" ht="15" hidden="false" customHeight="false" outlineLevel="0" collapsed="false">
      <c r="A92" s="32"/>
      <c r="B92" s="29"/>
      <c r="C92" s="29"/>
      <c r="D92" s="28" t="str">
        <f aca="false">IF($C92="","",IFERROR(INDEX('المواد الخام'!$B$5:$B$104,MATCH($C92,'المواد الخام'!$A$5:$A$104,0)),IFERROR(INDEX(المنتجات!$C$5:$C$24,MATCH($C92,المنتجات!$A$5:$A$24,0)),"كود غير موجود")))</f>
        <v/>
      </c>
      <c r="E92" s="24"/>
      <c r="F92" s="28" t="str">
        <f aca="false">IF($C92="","",IFERROR(INDEX('المواد الخام'!$D$5:$D$104,MATCH($C92,'المواد الخام'!$A$5:$A$104,0)),"حبة"))</f>
        <v/>
      </c>
      <c r="G92" s="30"/>
      <c r="H92" s="29"/>
      <c r="I92" s="29"/>
    </row>
    <row r="93" customFormat="false" ht="15" hidden="false" customHeight="false" outlineLevel="0" collapsed="false">
      <c r="A93" s="32"/>
      <c r="B93" s="29"/>
      <c r="C93" s="29"/>
      <c r="D93" s="28" t="str">
        <f aca="false">IF($C93="","",IFERROR(INDEX('المواد الخام'!$B$5:$B$104,MATCH($C93,'المواد الخام'!$A$5:$A$104,0)),IFERROR(INDEX(المنتجات!$C$5:$C$24,MATCH($C93,المنتجات!$A$5:$A$24,0)),"كود غير موجود")))</f>
        <v/>
      </c>
      <c r="E93" s="24"/>
      <c r="F93" s="28" t="str">
        <f aca="false">IF($C93="","",IFERROR(INDEX('المواد الخام'!$D$5:$D$104,MATCH($C93,'المواد الخام'!$A$5:$A$104,0)),"حبة"))</f>
        <v/>
      </c>
      <c r="G93" s="30"/>
      <c r="H93" s="29"/>
      <c r="I93" s="29"/>
    </row>
    <row r="94" customFormat="false" ht="15" hidden="false" customHeight="false" outlineLevel="0" collapsed="false">
      <c r="A94" s="32"/>
      <c r="B94" s="29"/>
      <c r="C94" s="29"/>
      <c r="D94" s="28" t="str">
        <f aca="false">IF($C94="","",IFERROR(INDEX('المواد الخام'!$B$5:$B$104,MATCH($C94,'المواد الخام'!$A$5:$A$104,0)),IFERROR(INDEX(المنتجات!$C$5:$C$24,MATCH($C94,المنتجات!$A$5:$A$24,0)),"كود غير موجود")))</f>
        <v/>
      </c>
      <c r="E94" s="24"/>
      <c r="F94" s="28" t="str">
        <f aca="false">IF($C94="","",IFERROR(INDEX('المواد الخام'!$D$5:$D$104,MATCH($C94,'المواد الخام'!$A$5:$A$104,0)),"حبة"))</f>
        <v/>
      </c>
      <c r="G94" s="30"/>
      <c r="H94" s="29"/>
      <c r="I94" s="29"/>
    </row>
    <row r="95" customFormat="false" ht="15" hidden="false" customHeight="false" outlineLevel="0" collapsed="false">
      <c r="A95" s="32"/>
      <c r="B95" s="29"/>
      <c r="C95" s="29"/>
      <c r="D95" s="28" t="str">
        <f aca="false">IF($C95="","",IFERROR(INDEX('المواد الخام'!$B$5:$B$104,MATCH($C95,'المواد الخام'!$A$5:$A$104,0)),IFERROR(INDEX(المنتجات!$C$5:$C$24,MATCH($C95,المنتجات!$A$5:$A$24,0)),"كود غير موجود")))</f>
        <v/>
      </c>
      <c r="E95" s="24"/>
      <c r="F95" s="28" t="str">
        <f aca="false">IF($C95="","",IFERROR(INDEX('المواد الخام'!$D$5:$D$104,MATCH($C95,'المواد الخام'!$A$5:$A$104,0)),"حبة"))</f>
        <v/>
      </c>
      <c r="G95" s="30"/>
      <c r="H95" s="29"/>
      <c r="I95" s="29"/>
    </row>
    <row r="96" customFormat="false" ht="15" hidden="false" customHeight="false" outlineLevel="0" collapsed="false">
      <c r="A96" s="32"/>
      <c r="B96" s="29"/>
      <c r="C96" s="29"/>
      <c r="D96" s="28" t="str">
        <f aca="false">IF($C96="","",IFERROR(INDEX('المواد الخام'!$B$5:$B$104,MATCH($C96,'المواد الخام'!$A$5:$A$104,0)),IFERROR(INDEX(المنتجات!$C$5:$C$24,MATCH($C96,المنتجات!$A$5:$A$24,0)),"كود غير موجود")))</f>
        <v/>
      </c>
      <c r="E96" s="24"/>
      <c r="F96" s="28" t="str">
        <f aca="false">IF($C96="","",IFERROR(INDEX('المواد الخام'!$D$5:$D$104,MATCH($C96,'المواد الخام'!$A$5:$A$104,0)),"حبة"))</f>
        <v/>
      </c>
      <c r="G96" s="30"/>
      <c r="H96" s="29"/>
      <c r="I96" s="29"/>
    </row>
    <row r="97" customFormat="false" ht="15" hidden="false" customHeight="false" outlineLevel="0" collapsed="false">
      <c r="A97" s="32"/>
      <c r="B97" s="29"/>
      <c r="C97" s="29"/>
      <c r="D97" s="28" t="str">
        <f aca="false">IF($C97="","",IFERROR(INDEX('المواد الخام'!$B$5:$B$104,MATCH($C97,'المواد الخام'!$A$5:$A$104,0)),IFERROR(INDEX(المنتجات!$C$5:$C$24,MATCH($C97,المنتجات!$A$5:$A$24,0)),"كود غير موجود")))</f>
        <v/>
      </c>
      <c r="E97" s="24"/>
      <c r="F97" s="28" t="str">
        <f aca="false">IF($C97="","",IFERROR(INDEX('المواد الخام'!$D$5:$D$104,MATCH($C97,'المواد الخام'!$A$5:$A$104,0)),"حبة"))</f>
        <v/>
      </c>
      <c r="G97" s="30"/>
      <c r="H97" s="29"/>
      <c r="I97" s="29"/>
    </row>
    <row r="98" customFormat="false" ht="15" hidden="false" customHeight="false" outlineLevel="0" collapsed="false">
      <c r="A98" s="32"/>
      <c r="B98" s="29"/>
      <c r="C98" s="29"/>
      <c r="D98" s="28" t="str">
        <f aca="false">IF($C98="","",IFERROR(INDEX('المواد الخام'!$B$5:$B$104,MATCH($C98,'المواد الخام'!$A$5:$A$104,0)),IFERROR(INDEX(المنتجات!$C$5:$C$24,MATCH($C98,المنتجات!$A$5:$A$24,0)),"كود غير موجود")))</f>
        <v/>
      </c>
      <c r="E98" s="24"/>
      <c r="F98" s="28" t="str">
        <f aca="false">IF($C98="","",IFERROR(INDEX('المواد الخام'!$D$5:$D$104,MATCH($C98,'المواد الخام'!$A$5:$A$104,0)),"حبة"))</f>
        <v/>
      </c>
      <c r="G98" s="30"/>
      <c r="H98" s="29"/>
      <c r="I98" s="29"/>
    </row>
    <row r="99" customFormat="false" ht="15" hidden="false" customHeight="false" outlineLevel="0" collapsed="false">
      <c r="A99" s="32"/>
      <c r="B99" s="29"/>
      <c r="C99" s="29"/>
      <c r="D99" s="28" t="str">
        <f aca="false">IF($C99="","",IFERROR(INDEX('المواد الخام'!$B$5:$B$104,MATCH($C99,'المواد الخام'!$A$5:$A$104,0)),IFERROR(INDEX(المنتجات!$C$5:$C$24,MATCH($C99,المنتجات!$A$5:$A$24,0)),"كود غير موجود")))</f>
        <v/>
      </c>
      <c r="E99" s="24"/>
      <c r="F99" s="28" t="str">
        <f aca="false">IF($C99="","",IFERROR(INDEX('المواد الخام'!$D$5:$D$104,MATCH($C99,'المواد الخام'!$A$5:$A$104,0)),"حبة"))</f>
        <v/>
      </c>
      <c r="G99" s="30"/>
      <c r="H99" s="29"/>
      <c r="I99" s="29"/>
    </row>
    <row r="100" customFormat="false" ht="15" hidden="false" customHeight="false" outlineLevel="0" collapsed="false">
      <c r="A100" s="32"/>
      <c r="B100" s="29"/>
      <c r="C100" s="29"/>
      <c r="D100" s="28" t="str">
        <f aca="false">IF($C100="","",IFERROR(INDEX('المواد الخام'!$B$5:$B$104,MATCH($C100,'المواد الخام'!$A$5:$A$104,0)),IFERROR(INDEX(المنتجات!$C$5:$C$24,MATCH($C100,المنتجات!$A$5:$A$24,0)),"كود غير موجود")))</f>
        <v/>
      </c>
      <c r="E100" s="24"/>
      <c r="F100" s="28" t="str">
        <f aca="false">IF($C100="","",IFERROR(INDEX('المواد الخام'!$D$5:$D$104,MATCH($C100,'المواد الخام'!$A$5:$A$104,0)),"حبة"))</f>
        <v/>
      </c>
      <c r="G100" s="30"/>
      <c r="H100" s="29"/>
      <c r="I100" s="29"/>
    </row>
    <row r="101" customFormat="false" ht="15" hidden="false" customHeight="false" outlineLevel="0" collapsed="false">
      <c r="A101" s="32"/>
      <c r="B101" s="29"/>
      <c r="C101" s="29"/>
      <c r="D101" s="28" t="str">
        <f aca="false">IF($C101="","",IFERROR(INDEX('المواد الخام'!$B$5:$B$104,MATCH($C101,'المواد الخام'!$A$5:$A$104,0)),IFERROR(INDEX(المنتجات!$C$5:$C$24,MATCH($C101,المنتجات!$A$5:$A$24,0)),"كود غير موجود")))</f>
        <v/>
      </c>
      <c r="E101" s="24"/>
      <c r="F101" s="28" t="str">
        <f aca="false">IF($C101="","",IFERROR(INDEX('المواد الخام'!$D$5:$D$104,MATCH($C101,'المواد الخام'!$A$5:$A$104,0)),"حبة"))</f>
        <v/>
      </c>
      <c r="G101" s="30"/>
      <c r="H101" s="29"/>
      <c r="I101" s="29"/>
    </row>
    <row r="102" customFormat="false" ht="15" hidden="false" customHeight="false" outlineLevel="0" collapsed="false">
      <c r="A102" s="32"/>
      <c r="B102" s="29"/>
      <c r="C102" s="29"/>
      <c r="D102" s="28" t="str">
        <f aca="false">IF($C102="","",IFERROR(INDEX('المواد الخام'!$B$5:$B$104,MATCH($C102,'المواد الخام'!$A$5:$A$104,0)),IFERROR(INDEX(المنتجات!$C$5:$C$24,MATCH($C102,المنتجات!$A$5:$A$24,0)),"كود غير موجود")))</f>
        <v/>
      </c>
      <c r="E102" s="24"/>
      <c r="F102" s="28" t="str">
        <f aca="false">IF($C102="","",IFERROR(INDEX('المواد الخام'!$D$5:$D$104,MATCH($C102,'المواد الخام'!$A$5:$A$104,0)),"حبة"))</f>
        <v/>
      </c>
      <c r="G102" s="30"/>
      <c r="H102" s="29"/>
      <c r="I102" s="29"/>
    </row>
    <row r="103" customFormat="false" ht="15" hidden="false" customHeight="false" outlineLevel="0" collapsed="false">
      <c r="A103" s="32"/>
      <c r="B103" s="29"/>
      <c r="C103" s="29"/>
      <c r="D103" s="28" t="str">
        <f aca="false">IF($C103="","",IFERROR(INDEX('المواد الخام'!$B$5:$B$104,MATCH($C103,'المواد الخام'!$A$5:$A$104,0)),IFERROR(INDEX(المنتجات!$C$5:$C$24,MATCH($C103,المنتجات!$A$5:$A$24,0)),"كود غير موجود")))</f>
        <v/>
      </c>
      <c r="E103" s="24"/>
      <c r="F103" s="28" t="str">
        <f aca="false">IF($C103="","",IFERROR(INDEX('المواد الخام'!$D$5:$D$104,MATCH($C103,'المواد الخام'!$A$5:$A$104,0)),"حبة"))</f>
        <v/>
      </c>
      <c r="G103" s="30"/>
      <c r="H103" s="29"/>
      <c r="I103" s="29"/>
    </row>
    <row r="104" customFormat="false" ht="15" hidden="false" customHeight="false" outlineLevel="0" collapsed="false">
      <c r="A104" s="32"/>
      <c r="B104" s="29"/>
      <c r="C104" s="29"/>
      <c r="D104" s="28" t="str">
        <f aca="false">IF($C104="","",IFERROR(INDEX('المواد الخام'!$B$5:$B$104,MATCH($C104,'المواد الخام'!$A$5:$A$104,0)),IFERROR(INDEX(المنتجات!$C$5:$C$24,MATCH($C104,المنتجات!$A$5:$A$24,0)),"كود غير موجود")))</f>
        <v/>
      </c>
      <c r="E104" s="24"/>
      <c r="F104" s="28" t="str">
        <f aca="false">IF($C104="","",IFERROR(INDEX('المواد الخام'!$D$5:$D$104,MATCH($C104,'المواد الخام'!$A$5:$A$104,0)),"حبة"))</f>
        <v/>
      </c>
      <c r="G104" s="30"/>
      <c r="H104" s="29"/>
      <c r="I104" s="29"/>
    </row>
    <row r="105" customFormat="false" ht="15" hidden="false" customHeight="false" outlineLevel="0" collapsed="false">
      <c r="A105" s="32"/>
      <c r="B105" s="29"/>
      <c r="C105" s="29"/>
      <c r="D105" s="28" t="str">
        <f aca="false">IF($C105="","",IFERROR(INDEX('المواد الخام'!$B$5:$B$104,MATCH($C105,'المواد الخام'!$A$5:$A$104,0)),IFERROR(INDEX(المنتجات!$C$5:$C$24,MATCH($C105,المنتجات!$A$5:$A$24,0)),"كود غير موجود")))</f>
        <v/>
      </c>
      <c r="E105" s="24"/>
      <c r="F105" s="28" t="str">
        <f aca="false">IF($C105="","",IFERROR(INDEX('المواد الخام'!$D$5:$D$104,MATCH($C105,'المواد الخام'!$A$5:$A$104,0)),"حبة"))</f>
        <v/>
      </c>
      <c r="G105" s="30"/>
      <c r="H105" s="29"/>
      <c r="I105" s="29"/>
    </row>
    <row r="106" customFormat="false" ht="15" hidden="false" customHeight="false" outlineLevel="0" collapsed="false">
      <c r="A106" s="32"/>
      <c r="B106" s="29"/>
      <c r="C106" s="29"/>
      <c r="D106" s="28" t="str">
        <f aca="false">IF($C106="","",IFERROR(INDEX('المواد الخام'!$B$5:$B$104,MATCH($C106,'المواد الخام'!$A$5:$A$104,0)),IFERROR(INDEX(المنتجات!$C$5:$C$24,MATCH($C106,المنتجات!$A$5:$A$24,0)),"كود غير موجود")))</f>
        <v/>
      </c>
      <c r="E106" s="24"/>
      <c r="F106" s="28" t="str">
        <f aca="false">IF($C106="","",IFERROR(INDEX('المواد الخام'!$D$5:$D$104,MATCH($C106,'المواد الخام'!$A$5:$A$104,0)),"حبة"))</f>
        <v/>
      </c>
      <c r="G106" s="30"/>
      <c r="H106" s="29"/>
      <c r="I106" s="29"/>
    </row>
    <row r="107" customFormat="false" ht="15" hidden="false" customHeight="false" outlineLevel="0" collapsed="false">
      <c r="A107" s="32"/>
      <c r="B107" s="29"/>
      <c r="C107" s="29"/>
      <c r="D107" s="28" t="str">
        <f aca="false">IF($C107="","",IFERROR(INDEX('المواد الخام'!$B$5:$B$104,MATCH($C107,'المواد الخام'!$A$5:$A$104,0)),IFERROR(INDEX(المنتجات!$C$5:$C$24,MATCH($C107,المنتجات!$A$5:$A$24,0)),"كود غير موجود")))</f>
        <v/>
      </c>
      <c r="E107" s="24"/>
      <c r="F107" s="28" t="str">
        <f aca="false">IF($C107="","",IFERROR(INDEX('المواد الخام'!$D$5:$D$104,MATCH($C107,'المواد الخام'!$A$5:$A$104,0)),"حبة"))</f>
        <v/>
      </c>
      <c r="G107" s="30"/>
      <c r="H107" s="29"/>
      <c r="I107" s="29"/>
    </row>
    <row r="108" customFormat="false" ht="15" hidden="false" customHeight="false" outlineLevel="0" collapsed="false">
      <c r="A108" s="32"/>
      <c r="B108" s="29"/>
      <c r="C108" s="29"/>
      <c r="D108" s="28" t="str">
        <f aca="false">IF($C108="","",IFERROR(INDEX('المواد الخام'!$B$5:$B$104,MATCH($C108,'المواد الخام'!$A$5:$A$104,0)),IFERROR(INDEX(المنتجات!$C$5:$C$24,MATCH($C108,المنتجات!$A$5:$A$24,0)),"كود غير موجود")))</f>
        <v/>
      </c>
      <c r="E108" s="24"/>
      <c r="F108" s="28" t="str">
        <f aca="false">IF($C108="","",IFERROR(INDEX('المواد الخام'!$D$5:$D$104,MATCH($C108,'المواد الخام'!$A$5:$A$104,0)),"حبة"))</f>
        <v/>
      </c>
      <c r="G108" s="30"/>
      <c r="H108" s="29"/>
      <c r="I108" s="29"/>
    </row>
    <row r="109" customFormat="false" ht="15" hidden="false" customHeight="false" outlineLevel="0" collapsed="false">
      <c r="A109" s="32"/>
      <c r="B109" s="29"/>
      <c r="C109" s="29"/>
      <c r="D109" s="28" t="str">
        <f aca="false">IF($C109="","",IFERROR(INDEX('المواد الخام'!$B$5:$B$104,MATCH($C109,'المواد الخام'!$A$5:$A$104,0)),IFERROR(INDEX(المنتجات!$C$5:$C$24,MATCH($C109,المنتجات!$A$5:$A$24,0)),"كود غير موجود")))</f>
        <v/>
      </c>
      <c r="E109" s="24"/>
      <c r="F109" s="28" t="str">
        <f aca="false">IF($C109="","",IFERROR(INDEX('المواد الخام'!$D$5:$D$104,MATCH($C109,'المواد الخام'!$A$5:$A$104,0)),"حبة"))</f>
        <v/>
      </c>
      <c r="G109" s="30"/>
      <c r="H109" s="29"/>
      <c r="I109" s="29"/>
    </row>
    <row r="110" customFormat="false" ht="15" hidden="false" customHeight="false" outlineLevel="0" collapsed="false">
      <c r="A110" s="32"/>
      <c r="B110" s="29"/>
      <c r="C110" s="29"/>
      <c r="D110" s="28" t="str">
        <f aca="false">IF($C110="","",IFERROR(INDEX('المواد الخام'!$B$5:$B$104,MATCH($C110,'المواد الخام'!$A$5:$A$104,0)),IFERROR(INDEX(المنتجات!$C$5:$C$24,MATCH($C110,المنتجات!$A$5:$A$24,0)),"كود غير موجود")))</f>
        <v/>
      </c>
      <c r="E110" s="24"/>
      <c r="F110" s="28" t="str">
        <f aca="false">IF($C110="","",IFERROR(INDEX('المواد الخام'!$D$5:$D$104,MATCH($C110,'المواد الخام'!$A$5:$A$104,0)),"حبة"))</f>
        <v/>
      </c>
      <c r="G110" s="30"/>
      <c r="H110" s="29"/>
      <c r="I110" s="29"/>
    </row>
    <row r="111" customFormat="false" ht="15" hidden="false" customHeight="false" outlineLevel="0" collapsed="false">
      <c r="A111" s="32"/>
      <c r="B111" s="29"/>
      <c r="C111" s="29"/>
      <c r="D111" s="28" t="str">
        <f aca="false">IF($C111="","",IFERROR(INDEX('المواد الخام'!$B$5:$B$104,MATCH($C111,'المواد الخام'!$A$5:$A$104,0)),IFERROR(INDEX(المنتجات!$C$5:$C$24,MATCH($C111,المنتجات!$A$5:$A$24,0)),"كود غير موجود")))</f>
        <v/>
      </c>
      <c r="E111" s="24"/>
      <c r="F111" s="28" t="str">
        <f aca="false">IF($C111="","",IFERROR(INDEX('المواد الخام'!$D$5:$D$104,MATCH($C111,'المواد الخام'!$A$5:$A$104,0)),"حبة"))</f>
        <v/>
      </c>
      <c r="G111" s="30"/>
      <c r="H111" s="29"/>
      <c r="I111" s="29"/>
    </row>
    <row r="112" customFormat="false" ht="15" hidden="false" customHeight="false" outlineLevel="0" collapsed="false">
      <c r="A112" s="32"/>
      <c r="B112" s="29"/>
      <c r="C112" s="29"/>
      <c r="D112" s="28" t="str">
        <f aca="false">IF($C112="","",IFERROR(INDEX('المواد الخام'!$B$5:$B$104,MATCH($C112,'المواد الخام'!$A$5:$A$104,0)),IFERROR(INDEX(المنتجات!$C$5:$C$24,MATCH($C112,المنتجات!$A$5:$A$24,0)),"كود غير موجود")))</f>
        <v/>
      </c>
      <c r="E112" s="24"/>
      <c r="F112" s="28" t="str">
        <f aca="false">IF($C112="","",IFERROR(INDEX('المواد الخام'!$D$5:$D$104,MATCH($C112,'المواد الخام'!$A$5:$A$104,0)),"حبة"))</f>
        <v/>
      </c>
      <c r="G112" s="30"/>
      <c r="H112" s="29"/>
      <c r="I112" s="29"/>
    </row>
    <row r="113" customFormat="false" ht="15" hidden="false" customHeight="false" outlineLevel="0" collapsed="false">
      <c r="A113" s="32"/>
      <c r="B113" s="29"/>
      <c r="C113" s="29"/>
      <c r="D113" s="28" t="str">
        <f aca="false">IF($C113="","",IFERROR(INDEX('المواد الخام'!$B$5:$B$104,MATCH($C113,'المواد الخام'!$A$5:$A$104,0)),IFERROR(INDEX(المنتجات!$C$5:$C$24,MATCH($C113,المنتجات!$A$5:$A$24,0)),"كود غير موجود")))</f>
        <v/>
      </c>
      <c r="E113" s="24"/>
      <c r="F113" s="28" t="str">
        <f aca="false">IF($C113="","",IFERROR(INDEX('المواد الخام'!$D$5:$D$104,MATCH($C113,'المواد الخام'!$A$5:$A$104,0)),"حبة"))</f>
        <v/>
      </c>
      <c r="G113" s="30"/>
      <c r="H113" s="29"/>
      <c r="I113" s="29"/>
    </row>
    <row r="114" customFormat="false" ht="15" hidden="false" customHeight="false" outlineLevel="0" collapsed="false">
      <c r="A114" s="32"/>
      <c r="B114" s="29"/>
      <c r="C114" s="29"/>
      <c r="D114" s="28" t="str">
        <f aca="false">IF($C114="","",IFERROR(INDEX('المواد الخام'!$B$5:$B$104,MATCH($C114,'المواد الخام'!$A$5:$A$104,0)),IFERROR(INDEX(المنتجات!$C$5:$C$24,MATCH($C114,المنتجات!$A$5:$A$24,0)),"كود غير موجود")))</f>
        <v/>
      </c>
      <c r="E114" s="24"/>
      <c r="F114" s="28" t="str">
        <f aca="false">IF($C114="","",IFERROR(INDEX('المواد الخام'!$D$5:$D$104,MATCH($C114,'المواد الخام'!$A$5:$A$104,0)),"حبة"))</f>
        <v/>
      </c>
      <c r="G114" s="30"/>
      <c r="H114" s="29"/>
      <c r="I114" s="29"/>
    </row>
    <row r="115" customFormat="false" ht="15" hidden="false" customHeight="false" outlineLevel="0" collapsed="false">
      <c r="A115" s="32"/>
      <c r="B115" s="29"/>
      <c r="C115" s="29"/>
      <c r="D115" s="28" t="str">
        <f aca="false">IF($C115="","",IFERROR(INDEX('المواد الخام'!$B$5:$B$104,MATCH($C115,'المواد الخام'!$A$5:$A$104,0)),IFERROR(INDEX(المنتجات!$C$5:$C$24,MATCH($C115,المنتجات!$A$5:$A$24,0)),"كود غير موجود")))</f>
        <v/>
      </c>
      <c r="E115" s="24"/>
      <c r="F115" s="28" t="str">
        <f aca="false">IF($C115="","",IFERROR(INDEX('المواد الخام'!$D$5:$D$104,MATCH($C115,'المواد الخام'!$A$5:$A$104,0)),"حبة"))</f>
        <v/>
      </c>
      <c r="G115" s="30"/>
      <c r="H115" s="29"/>
      <c r="I115" s="29"/>
    </row>
    <row r="116" customFormat="false" ht="15" hidden="false" customHeight="false" outlineLevel="0" collapsed="false">
      <c r="A116" s="32"/>
      <c r="B116" s="29"/>
      <c r="C116" s="29"/>
      <c r="D116" s="28" t="str">
        <f aca="false">IF($C116="","",IFERROR(INDEX('المواد الخام'!$B$5:$B$104,MATCH($C116,'المواد الخام'!$A$5:$A$104,0)),IFERROR(INDEX(المنتجات!$C$5:$C$24,MATCH($C116,المنتجات!$A$5:$A$24,0)),"كود غير موجود")))</f>
        <v/>
      </c>
      <c r="E116" s="24"/>
      <c r="F116" s="28" t="str">
        <f aca="false">IF($C116="","",IFERROR(INDEX('المواد الخام'!$D$5:$D$104,MATCH($C116,'المواد الخام'!$A$5:$A$104,0)),"حبة"))</f>
        <v/>
      </c>
      <c r="G116" s="30"/>
      <c r="H116" s="29"/>
      <c r="I116" s="29"/>
    </row>
    <row r="117" customFormat="false" ht="15" hidden="false" customHeight="false" outlineLevel="0" collapsed="false">
      <c r="A117" s="32"/>
      <c r="B117" s="29"/>
      <c r="C117" s="29"/>
      <c r="D117" s="28" t="str">
        <f aca="false">IF($C117="","",IFERROR(INDEX('المواد الخام'!$B$5:$B$104,MATCH($C117,'المواد الخام'!$A$5:$A$104,0)),IFERROR(INDEX(المنتجات!$C$5:$C$24,MATCH($C117,المنتجات!$A$5:$A$24,0)),"كود غير موجود")))</f>
        <v/>
      </c>
      <c r="E117" s="24"/>
      <c r="F117" s="28" t="str">
        <f aca="false">IF($C117="","",IFERROR(INDEX('المواد الخام'!$D$5:$D$104,MATCH($C117,'المواد الخام'!$A$5:$A$104,0)),"حبة"))</f>
        <v/>
      </c>
      <c r="G117" s="30"/>
      <c r="H117" s="29"/>
      <c r="I117" s="29"/>
    </row>
    <row r="118" customFormat="false" ht="15" hidden="false" customHeight="false" outlineLevel="0" collapsed="false">
      <c r="A118" s="32"/>
      <c r="B118" s="29"/>
      <c r="C118" s="29"/>
      <c r="D118" s="28" t="str">
        <f aca="false">IF($C118="","",IFERROR(INDEX('المواد الخام'!$B$5:$B$104,MATCH($C118,'المواد الخام'!$A$5:$A$104,0)),IFERROR(INDEX(المنتجات!$C$5:$C$24,MATCH($C118,المنتجات!$A$5:$A$24,0)),"كود غير موجود")))</f>
        <v/>
      </c>
      <c r="E118" s="24"/>
      <c r="F118" s="28" t="str">
        <f aca="false">IF($C118="","",IFERROR(INDEX('المواد الخام'!$D$5:$D$104,MATCH($C118,'المواد الخام'!$A$5:$A$104,0)),"حبة"))</f>
        <v/>
      </c>
      <c r="G118" s="30"/>
      <c r="H118" s="29"/>
      <c r="I118" s="29"/>
    </row>
    <row r="119" customFormat="false" ht="15" hidden="false" customHeight="false" outlineLevel="0" collapsed="false">
      <c r="A119" s="32"/>
      <c r="B119" s="29"/>
      <c r="C119" s="29"/>
      <c r="D119" s="28" t="str">
        <f aca="false">IF($C119="","",IFERROR(INDEX('المواد الخام'!$B$5:$B$104,MATCH($C119,'المواد الخام'!$A$5:$A$104,0)),IFERROR(INDEX(المنتجات!$C$5:$C$24,MATCH($C119,المنتجات!$A$5:$A$24,0)),"كود غير موجود")))</f>
        <v/>
      </c>
      <c r="E119" s="24"/>
      <c r="F119" s="28" t="str">
        <f aca="false">IF($C119="","",IFERROR(INDEX('المواد الخام'!$D$5:$D$104,MATCH($C119,'المواد الخام'!$A$5:$A$104,0)),"حبة"))</f>
        <v/>
      </c>
      <c r="G119" s="30"/>
      <c r="H119" s="29"/>
      <c r="I119" s="29"/>
    </row>
    <row r="120" customFormat="false" ht="15" hidden="false" customHeight="false" outlineLevel="0" collapsed="false">
      <c r="A120" s="32"/>
      <c r="B120" s="29"/>
      <c r="C120" s="29"/>
      <c r="D120" s="28" t="str">
        <f aca="false">IF($C120="","",IFERROR(INDEX('المواد الخام'!$B$5:$B$104,MATCH($C120,'المواد الخام'!$A$5:$A$104,0)),IFERROR(INDEX(المنتجات!$C$5:$C$24,MATCH($C120,المنتجات!$A$5:$A$24,0)),"كود غير موجود")))</f>
        <v/>
      </c>
      <c r="E120" s="24"/>
      <c r="F120" s="28" t="str">
        <f aca="false">IF($C120="","",IFERROR(INDEX('المواد الخام'!$D$5:$D$104,MATCH($C120,'المواد الخام'!$A$5:$A$104,0)),"حبة"))</f>
        <v/>
      </c>
      <c r="G120" s="30"/>
      <c r="H120" s="29"/>
      <c r="I120" s="29"/>
    </row>
    <row r="121" customFormat="false" ht="15" hidden="false" customHeight="false" outlineLevel="0" collapsed="false">
      <c r="A121" s="32"/>
      <c r="B121" s="29"/>
      <c r="C121" s="29"/>
      <c r="D121" s="28" t="str">
        <f aca="false">IF($C121="","",IFERROR(INDEX('المواد الخام'!$B$5:$B$104,MATCH($C121,'المواد الخام'!$A$5:$A$104,0)),IFERROR(INDEX(المنتجات!$C$5:$C$24,MATCH($C121,المنتجات!$A$5:$A$24,0)),"كود غير موجود")))</f>
        <v/>
      </c>
      <c r="E121" s="24"/>
      <c r="F121" s="28" t="str">
        <f aca="false">IF($C121="","",IFERROR(INDEX('المواد الخام'!$D$5:$D$104,MATCH($C121,'المواد الخام'!$A$5:$A$104,0)),"حبة"))</f>
        <v/>
      </c>
      <c r="G121" s="30"/>
      <c r="H121" s="29"/>
      <c r="I121" s="29"/>
    </row>
    <row r="122" customFormat="false" ht="15" hidden="false" customHeight="false" outlineLevel="0" collapsed="false">
      <c r="A122" s="32"/>
      <c r="B122" s="29"/>
      <c r="C122" s="29"/>
      <c r="D122" s="28" t="str">
        <f aca="false">IF($C122="","",IFERROR(INDEX('المواد الخام'!$B$5:$B$104,MATCH($C122,'المواد الخام'!$A$5:$A$104,0)),IFERROR(INDEX(المنتجات!$C$5:$C$24,MATCH($C122,المنتجات!$A$5:$A$24,0)),"كود غير موجود")))</f>
        <v/>
      </c>
      <c r="E122" s="24"/>
      <c r="F122" s="28" t="str">
        <f aca="false">IF($C122="","",IFERROR(INDEX('المواد الخام'!$D$5:$D$104,MATCH($C122,'المواد الخام'!$A$5:$A$104,0)),"حبة"))</f>
        <v/>
      </c>
      <c r="G122" s="30"/>
      <c r="H122" s="29"/>
      <c r="I122" s="29"/>
    </row>
    <row r="123" customFormat="false" ht="15" hidden="false" customHeight="false" outlineLevel="0" collapsed="false">
      <c r="A123" s="32"/>
      <c r="B123" s="29"/>
      <c r="C123" s="29"/>
      <c r="D123" s="28" t="str">
        <f aca="false">IF($C123="","",IFERROR(INDEX('المواد الخام'!$B$5:$B$104,MATCH($C123,'المواد الخام'!$A$5:$A$104,0)),IFERROR(INDEX(المنتجات!$C$5:$C$24,MATCH($C123,المنتجات!$A$5:$A$24,0)),"كود غير موجود")))</f>
        <v/>
      </c>
      <c r="E123" s="24"/>
      <c r="F123" s="28" t="str">
        <f aca="false">IF($C123="","",IFERROR(INDEX('المواد الخام'!$D$5:$D$104,MATCH($C123,'المواد الخام'!$A$5:$A$104,0)),"حبة"))</f>
        <v/>
      </c>
      <c r="G123" s="30"/>
      <c r="H123" s="29"/>
      <c r="I123" s="29"/>
    </row>
    <row r="124" customFormat="false" ht="15" hidden="false" customHeight="false" outlineLevel="0" collapsed="false">
      <c r="A124" s="32"/>
      <c r="B124" s="29"/>
      <c r="C124" s="29"/>
      <c r="D124" s="28" t="str">
        <f aca="false">IF($C124="","",IFERROR(INDEX('المواد الخام'!$B$5:$B$104,MATCH($C124,'المواد الخام'!$A$5:$A$104,0)),IFERROR(INDEX(المنتجات!$C$5:$C$24,MATCH($C124,المنتجات!$A$5:$A$24,0)),"كود غير موجود")))</f>
        <v/>
      </c>
      <c r="E124" s="24"/>
      <c r="F124" s="28" t="str">
        <f aca="false">IF($C124="","",IFERROR(INDEX('المواد الخام'!$D$5:$D$104,MATCH($C124,'المواد الخام'!$A$5:$A$104,0)),"حبة"))</f>
        <v/>
      </c>
      <c r="G124" s="30"/>
      <c r="H124" s="29"/>
      <c r="I124" s="29"/>
    </row>
    <row r="125" customFormat="false" ht="15" hidden="false" customHeight="false" outlineLevel="0" collapsed="false">
      <c r="A125" s="32"/>
      <c r="B125" s="29"/>
      <c r="C125" s="29"/>
      <c r="D125" s="28" t="str">
        <f aca="false">IF($C125="","",IFERROR(INDEX('المواد الخام'!$B$5:$B$104,MATCH($C125,'المواد الخام'!$A$5:$A$104,0)),IFERROR(INDEX(المنتجات!$C$5:$C$24,MATCH($C125,المنتجات!$A$5:$A$24,0)),"كود غير موجود")))</f>
        <v/>
      </c>
      <c r="E125" s="24"/>
      <c r="F125" s="28" t="str">
        <f aca="false">IF($C125="","",IFERROR(INDEX('المواد الخام'!$D$5:$D$104,MATCH($C125,'المواد الخام'!$A$5:$A$104,0)),"حبة"))</f>
        <v/>
      </c>
      <c r="G125" s="30"/>
      <c r="H125" s="29"/>
      <c r="I125" s="29"/>
    </row>
    <row r="126" customFormat="false" ht="15" hidden="false" customHeight="false" outlineLevel="0" collapsed="false">
      <c r="A126" s="32"/>
      <c r="B126" s="29"/>
      <c r="C126" s="29"/>
      <c r="D126" s="28" t="str">
        <f aca="false">IF($C126="","",IFERROR(INDEX('المواد الخام'!$B$5:$B$104,MATCH($C126,'المواد الخام'!$A$5:$A$104,0)),IFERROR(INDEX(المنتجات!$C$5:$C$24,MATCH($C126,المنتجات!$A$5:$A$24,0)),"كود غير موجود")))</f>
        <v/>
      </c>
      <c r="E126" s="24"/>
      <c r="F126" s="28" t="str">
        <f aca="false">IF($C126="","",IFERROR(INDEX('المواد الخام'!$D$5:$D$104,MATCH($C126,'المواد الخام'!$A$5:$A$104,0)),"حبة"))</f>
        <v/>
      </c>
      <c r="G126" s="30"/>
      <c r="H126" s="29"/>
      <c r="I126" s="29"/>
    </row>
    <row r="127" customFormat="false" ht="15" hidden="false" customHeight="false" outlineLevel="0" collapsed="false">
      <c r="A127" s="32"/>
      <c r="B127" s="29"/>
      <c r="C127" s="29"/>
      <c r="D127" s="28" t="str">
        <f aca="false">IF($C127="","",IFERROR(INDEX('المواد الخام'!$B$5:$B$104,MATCH($C127,'المواد الخام'!$A$5:$A$104,0)),IFERROR(INDEX(المنتجات!$C$5:$C$24,MATCH($C127,المنتجات!$A$5:$A$24,0)),"كود غير موجود")))</f>
        <v/>
      </c>
      <c r="E127" s="24"/>
      <c r="F127" s="28" t="str">
        <f aca="false">IF($C127="","",IFERROR(INDEX('المواد الخام'!$D$5:$D$104,MATCH($C127,'المواد الخام'!$A$5:$A$104,0)),"حبة"))</f>
        <v/>
      </c>
      <c r="G127" s="30"/>
      <c r="H127" s="29"/>
      <c r="I127" s="29"/>
    </row>
    <row r="128" customFormat="false" ht="15" hidden="false" customHeight="false" outlineLevel="0" collapsed="false">
      <c r="A128" s="32"/>
      <c r="B128" s="29"/>
      <c r="C128" s="29"/>
      <c r="D128" s="28" t="str">
        <f aca="false">IF($C128="","",IFERROR(INDEX('المواد الخام'!$B$5:$B$104,MATCH($C128,'المواد الخام'!$A$5:$A$104,0)),IFERROR(INDEX(المنتجات!$C$5:$C$24,MATCH($C128,المنتجات!$A$5:$A$24,0)),"كود غير موجود")))</f>
        <v/>
      </c>
      <c r="E128" s="24"/>
      <c r="F128" s="28" t="str">
        <f aca="false">IF($C128="","",IFERROR(INDEX('المواد الخام'!$D$5:$D$104,MATCH($C128,'المواد الخام'!$A$5:$A$104,0)),"حبة"))</f>
        <v/>
      </c>
      <c r="G128" s="30"/>
      <c r="H128" s="29"/>
      <c r="I128" s="29"/>
    </row>
    <row r="129" customFormat="false" ht="15" hidden="false" customHeight="false" outlineLevel="0" collapsed="false">
      <c r="A129" s="32"/>
      <c r="B129" s="29"/>
      <c r="C129" s="29"/>
      <c r="D129" s="28" t="str">
        <f aca="false">IF($C129="","",IFERROR(INDEX('المواد الخام'!$B$5:$B$104,MATCH($C129,'المواد الخام'!$A$5:$A$104,0)),IFERROR(INDEX(المنتجات!$C$5:$C$24,MATCH($C129,المنتجات!$A$5:$A$24,0)),"كود غير موجود")))</f>
        <v/>
      </c>
      <c r="E129" s="24"/>
      <c r="F129" s="28" t="str">
        <f aca="false">IF($C129="","",IFERROR(INDEX('المواد الخام'!$D$5:$D$104,MATCH($C129,'المواد الخام'!$A$5:$A$104,0)),"حبة"))</f>
        <v/>
      </c>
      <c r="G129" s="30"/>
      <c r="H129" s="29"/>
      <c r="I129" s="29"/>
    </row>
    <row r="130" customFormat="false" ht="15" hidden="false" customHeight="false" outlineLevel="0" collapsed="false">
      <c r="A130" s="32"/>
      <c r="B130" s="29"/>
      <c r="C130" s="29"/>
      <c r="D130" s="28" t="str">
        <f aca="false">IF($C130="","",IFERROR(INDEX('المواد الخام'!$B$5:$B$104,MATCH($C130,'المواد الخام'!$A$5:$A$104,0)),IFERROR(INDEX(المنتجات!$C$5:$C$24,MATCH($C130,المنتجات!$A$5:$A$24,0)),"كود غير موجود")))</f>
        <v/>
      </c>
      <c r="E130" s="24"/>
      <c r="F130" s="28" t="str">
        <f aca="false">IF($C130="","",IFERROR(INDEX('المواد الخام'!$D$5:$D$104,MATCH($C130,'المواد الخام'!$A$5:$A$104,0)),"حبة"))</f>
        <v/>
      </c>
      <c r="G130" s="30"/>
      <c r="H130" s="29"/>
      <c r="I130" s="29"/>
    </row>
    <row r="131" customFormat="false" ht="15" hidden="false" customHeight="false" outlineLevel="0" collapsed="false">
      <c r="A131" s="32"/>
      <c r="B131" s="29"/>
      <c r="C131" s="29"/>
      <c r="D131" s="28" t="str">
        <f aca="false">IF($C131="","",IFERROR(INDEX('المواد الخام'!$B$5:$B$104,MATCH($C131,'المواد الخام'!$A$5:$A$104,0)),IFERROR(INDEX(المنتجات!$C$5:$C$24,MATCH($C131,المنتجات!$A$5:$A$24,0)),"كود غير موجود")))</f>
        <v/>
      </c>
      <c r="E131" s="24"/>
      <c r="F131" s="28" t="str">
        <f aca="false">IF($C131="","",IFERROR(INDEX('المواد الخام'!$D$5:$D$104,MATCH($C131,'المواد الخام'!$A$5:$A$104,0)),"حبة"))</f>
        <v/>
      </c>
      <c r="G131" s="30"/>
      <c r="H131" s="29"/>
      <c r="I131" s="29"/>
    </row>
    <row r="132" customFormat="false" ht="15" hidden="false" customHeight="false" outlineLevel="0" collapsed="false">
      <c r="A132" s="32"/>
      <c r="B132" s="29"/>
      <c r="C132" s="29"/>
      <c r="D132" s="28" t="str">
        <f aca="false">IF($C132="","",IFERROR(INDEX('المواد الخام'!$B$5:$B$104,MATCH($C132,'المواد الخام'!$A$5:$A$104,0)),IFERROR(INDEX(المنتجات!$C$5:$C$24,MATCH($C132,المنتجات!$A$5:$A$24,0)),"كود غير موجود")))</f>
        <v/>
      </c>
      <c r="E132" s="24"/>
      <c r="F132" s="28" t="str">
        <f aca="false">IF($C132="","",IFERROR(INDEX('المواد الخام'!$D$5:$D$104,MATCH($C132,'المواد الخام'!$A$5:$A$104,0)),"حبة"))</f>
        <v/>
      </c>
      <c r="G132" s="30"/>
      <c r="H132" s="29"/>
      <c r="I132" s="29"/>
    </row>
    <row r="133" customFormat="false" ht="15" hidden="false" customHeight="false" outlineLevel="0" collapsed="false">
      <c r="A133" s="32"/>
      <c r="B133" s="29"/>
      <c r="C133" s="29"/>
      <c r="D133" s="28" t="str">
        <f aca="false">IF($C133="","",IFERROR(INDEX('المواد الخام'!$B$5:$B$104,MATCH($C133,'المواد الخام'!$A$5:$A$104,0)),IFERROR(INDEX(المنتجات!$C$5:$C$24,MATCH($C133,المنتجات!$A$5:$A$24,0)),"كود غير موجود")))</f>
        <v/>
      </c>
      <c r="E133" s="24"/>
      <c r="F133" s="28" t="str">
        <f aca="false">IF($C133="","",IFERROR(INDEX('المواد الخام'!$D$5:$D$104,MATCH($C133,'المواد الخام'!$A$5:$A$104,0)),"حبة"))</f>
        <v/>
      </c>
      <c r="G133" s="30"/>
      <c r="H133" s="29"/>
      <c r="I133" s="29"/>
    </row>
    <row r="134" customFormat="false" ht="15" hidden="false" customHeight="false" outlineLevel="0" collapsed="false">
      <c r="A134" s="32"/>
      <c r="B134" s="29"/>
      <c r="C134" s="29"/>
      <c r="D134" s="28" t="str">
        <f aca="false">IF($C134="","",IFERROR(INDEX('المواد الخام'!$B$5:$B$104,MATCH($C134,'المواد الخام'!$A$5:$A$104,0)),IFERROR(INDEX(المنتجات!$C$5:$C$24,MATCH($C134,المنتجات!$A$5:$A$24,0)),"كود غير موجود")))</f>
        <v/>
      </c>
      <c r="E134" s="24"/>
      <c r="F134" s="28" t="str">
        <f aca="false">IF($C134="","",IFERROR(INDEX('المواد الخام'!$D$5:$D$104,MATCH($C134,'المواد الخام'!$A$5:$A$104,0)),"حبة"))</f>
        <v/>
      </c>
      <c r="G134" s="30"/>
      <c r="H134" s="29"/>
      <c r="I134" s="29"/>
    </row>
    <row r="135" customFormat="false" ht="15" hidden="false" customHeight="false" outlineLevel="0" collapsed="false">
      <c r="A135" s="32"/>
      <c r="B135" s="29"/>
      <c r="C135" s="29"/>
      <c r="D135" s="28" t="str">
        <f aca="false">IF($C135="","",IFERROR(INDEX('المواد الخام'!$B$5:$B$104,MATCH($C135,'المواد الخام'!$A$5:$A$104,0)),IFERROR(INDEX(المنتجات!$C$5:$C$24,MATCH($C135,المنتجات!$A$5:$A$24,0)),"كود غير موجود")))</f>
        <v/>
      </c>
      <c r="E135" s="24"/>
      <c r="F135" s="28" t="str">
        <f aca="false">IF($C135="","",IFERROR(INDEX('المواد الخام'!$D$5:$D$104,MATCH($C135,'المواد الخام'!$A$5:$A$104,0)),"حبة"))</f>
        <v/>
      </c>
      <c r="G135" s="30"/>
      <c r="H135" s="29"/>
      <c r="I135" s="29"/>
    </row>
    <row r="136" customFormat="false" ht="15" hidden="false" customHeight="false" outlineLevel="0" collapsed="false">
      <c r="A136" s="32"/>
      <c r="B136" s="29"/>
      <c r="C136" s="29"/>
      <c r="D136" s="28" t="str">
        <f aca="false">IF($C136="","",IFERROR(INDEX('المواد الخام'!$B$5:$B$104,MATCH($C136,'المواد الخام'!$A$5:$A$104,0)),IFERROR(INDEX(المنتجات!$C$5:$C$24,MATCH($C136,المنتجات!$A$5:$A$24,0)),"كود غير موجود")))</f>
        <v/>
      </c>
      <c r="E136" s="24"/>
      <c r="F136" s="28" t="str">
        <f aca="false">IF($C136="","",IFERROR(INDEX('المواد الخام'!$D$5:$D$104,MATCH($C136,'المواد الخام'!$A$5:$A$104,0)),"حبة"))</f>
        <v/>
      </c>
      <c r="G136" s="30"/>
      <c r="H136" s="29"/>
      <c r="I136" s="29"/>
    </row>
    <row r="137" customFormat="false" ht="15" hidden="false" customHeight="false" outlineLevel="0" collapsed="false">
      <c r="A137" s="32"/>
      <c r="B137" s="29"/>
      <c r="C137" s="29"/>
      <c r="D137" s="28" t="str">
        <f aca="false">IF($C137="","",IFERROR(INDEX('المواد الخام'!$B$5:$B$104,MATCH($C137,'المواد الخام'!$A$5:$A$104,0)),IFERROR(INDEX(المنتجات!$C$5:$C$24,MATCH($C137,المنتجات!$A$5:$A$24,0)),"كود غير موجود")))</f>
        <v/>
      </c>
      <c r="E137" s="24"/>
      <c r="F137" s="28" t="str">
        <f aca="false">IF($C137="","",IFERROR(INDEX('المواد الخام'!$D$5:$D$104,MATCH($C137,'المواد الخام'!$A$5:$A$104,0)),"حبة"))</f>
        <v/>
      </c>
      <c r="G137" s="30"/>
      <c r="H137" s="29"/>
      <c r="I137" s="29"/>
    </row>
    <row r="138" customFormat="false" ht="15" hidden="false" customHeight="false" outlineLevel="0" collapsed="false">
      <c r="A138" s="32"/>
      <c r="B138" s="29"/>
      <c r="C138" s="29"/>
      <c r="D138" s="28" t="str">
        <f aca="false">IF($C138="","",IFERROR(INDEX('المواد الخام'!$B$5:$B$104,MATCH($C138,'المواد الخام'!$A$5:$A$104,0)),IFERROR(INDEX(المنتجات!$C$5:$C$24,MATCH($C138,المنتجات!$A$5:$A$24,0)),"كود غير موجود")))</f>
        <v/>
      </c>
      <c r="E138" s="24"/>
      <c r="F138" s="28" t="str">
        <f aca="false">IF($C138="","",IFERROR(INDEX('المواد الخام'!$D$5:$D$104,MATCH($C138,'المواد الخام'!$A$5:$A$104,0)),"حبة"))</f>
        <v/>
      </c>
      <c r="G138" s="30"/>
      <c r="H138" s="29"/>
      <c r="I138" s="29"/>
    </row>
    <row r="139" customFormat="false" ht="15" hidden="false" customHeight="false" outlineLevel="0" collapsed="false">
      <c r="A139" s="32"/>
      <c r="B139" s="29"/>
      <c r="C139" s="29"/>
      <c r="D139" s="28" t="str">
        <f aca="false">IF($C139="","",IFERROR(INDEX('المواد الخام'!$B$5:$B$104,MATCH($C139,'المواد الخام'!$A$5:$A$104,0)),IFERROR(INDEX(المنتجات!$C$5:$C$24,MATCH($C139,المنتجات!$A$5:$A$24,0)),"كود غير موجود")))</f>
        <v/>
      </c>
      <c r="E139" s="24"/>
      <c r="F139" s="28" t="str">
        <f aca="false">IF($C139="","",IFERROR(INDEX('المواد الخام'!$D$5:$D$104,MATCH($C139,'المواد الخام'!$A$5:$A$104,0)),"حبة"))</f>
        <v/>
      </c>
      <c r="G139" s="30"/>
      <c r="H139" s="29"/>
      <c r="I139" s="29"/>
    </row>
    <row r="140" customFormat="false" ht="15" hidden="false" customHeight="false" outlineLevel="0" collapsed="false">
      <c r="A140" s="32"/>
      <c r="B140" s="29"/>
      <c r="C140" s="29"/>
      <c r="D140" s="28" t="str">
        <f aca="false">IF($C140="","",IFERROR(INDEX('المواد الخام'!$B$5:$B$104,MATCH($C140,'المواد الخام'!$A$5:$A$104,0)),IFERROR(INDEX(المنتجات!$C$5:$C$24,MATCH($C140,المنتجات!$A$5:$A$24,0)),"كود غير موجود")))</f>
        <v/>
      </c>
      <c r="E140" s="24"/>
      <c r="F140" s="28" t="str">
        <f aca="false">IF($C140="","",IFERROR(INDEX('المواد الخام'!$D$5:$D$104,MATCH($C140,'المواد الخام'!$A$5:$A$104,0)),"حبة"))</f>
        <v/>
      </c>
      <c r="G140" s="30"/>
      <c r="H140" s="29"/>
      <c r="I140" s="29"/>
    </row>
    <row r="141" customFormat="false" ht="15" hidden="false" customHeight="false" outlineLevel="0" collapsed="false">
      <c r="A141" s="32"/>
      <c r="B141" s="29"/>
      <c r="C141" s="29"/>
      <c r="D141" s="28" t="str">
        <f aca="false">IF($C141="","",IFERROR(INDEX('المواد الخام'!$B$5:$B$104,MATCH($C141,'المواد الخام'!$A$5:$A$104,0)),IFERROR(INDEX(المنتجات!$C$5:$C$24,MATCH($C141,المنتجات!$A$5:$A$24,0)),"كود غير موجود")))</f>
        <v/>
      </c>
      <c r="E141" s="24"/>
      <c r="F141" s="28" t="str">
        <f aca="false">IF($C141="","",IFERROR(INDEX('المواد الخام'!$D$5:$D$104,MATCH($C141,'المواد الخام'!$A$5:$A$104,0)),"حبة"))</f>
        <v/>
      </c>
      <c r="G141" s="30"/>
      <c r="H141" s="29"/>
      <c r="I141" s="29"/>
    </row>
    <row r="142" customFormat="false" ht="15" hidden="false" customHeight="false" outlineLevel="0" collapsed="false">
      <c r="A142" s="32"/>
      <c r="B142" s="29"/>
      <c r="C142" s="29"/>
      <c r="D142" s="28" t="str">
        <f aca="false">IF($C142="","",IFERROR(INDEX('المواد الخام'!$B$5:$B$104,MATCH($C142,'المواد الخام'!$A$5:$A$104,0)),IFERROR(INDEX(المنتجات!$C$5:$C$24,MATCH($C142,المنتجات!$A$5:$A$24,0)),"كود غير موجود")))</f>
        <v/>
      </c>
      <c r="E142" s="24"/>
      <c r="F142" s="28" t="str">
        <f aca="false">IF($C142="","",IFERROR(INDEX('المواد الخام'!$D$5:$D$104,MATCH($C142,'المواد الخام'!$A$5:$A$104,0)),"حبة"))</f>
        <v/>
      </c>
      <c r="G142" s="30"/>
      <c r="H142" s="29"/>
      <c r="I142" s="29"/>
    </row>
    <row r="143" customFormat="false" ht="15" hidden="false" customHeight="false" outlineLevel="0" collapsed="false">
      <c r="A143" s="32"/>
      <c r="B143" s="29"/>
      <c r="C143" s="29"/>
      <c r="D143" s="28" t="str">
        <f aca="false">IF($C143="","",IFERROR(INDEX('المواد الخام'!$B$5:$B$104,MATCH($C143,'المواد الخام'!$A$5:$A$104,0)),IFERROR(INDEX(المنتجات!$C$5:$C$24,MATCH($C143,المنتجات!$A$5:$A$24,0)),"كود غير موجود")))</f>
        <v/>
      </c>
      <c r="E143" s="24"/>
      <c r="F143" s="28" t="str">
        <f aca="false">IF($C143="","",IFERROR(INDEX('المواد الخام'!$D$5:$D$104,MATCH($C143,'المواد الخام'!$A$5:$A$104,0)),"حبة"))</f>
        <v/>
      </c>
      <c r="G143" s="30"/>
      <c r="H143" s="29"/>
      <c r="I143" s="29"/>
    </row>
    <row r="144" customFormat="false" ht="15" hidden="false" customHeight="false" outlineLevel="0" collapsed="false">
      <c r="A144" s="32"/>
      <c r="B144" s="29"/>
      <c r="C144" s="29"/>
      <c r="D144" s="28" t="str">
        <f aca="false">IF($C144="","",IFERROR(INDEX('المواد الخام'!$B$5:$B$104,MATCH($C144,'المواد الخام'!$A$5:$A$104,0)),IFERROR(INDEX(المنتجات!$C$5:$C$24,MATCH($C144,المنتجات!$A$5:$A$24,0)),"كود غير موجود")))</f>
        <v/>
      </c>
      <c r="E144" s="24"/>
      <c r="F144" s="28" t="str">
        <f aca="false">IF($C144="","",IFERROR(INDEX('المواد الخام'!$D$5:$D$104,MATCH($C144,'المواد الخام'!$A$5:$A$104,0)),"حبة"))</f>
        <v/>
      </c>
      <c r="G144" s="30"/>
      <c r="H144" s="29"/>
      <c r="I144" s="29"/>
    </row>
    <row r="145" customFormat="false" ht="15" hidden="false" customHeight="false" outlineLevel="0" collapsed="false">
      <c r="A145" s="32"/>
      <c r="B145" s="29"/>
      <c r="C145" s="29"/>
      <c r="D145" s="28" t="str">
        <f aca="false">IF($C145="","",IFERROR(INDEX('المواد الخام'!$B$5:$B$104,MATCH($C145,'المواد الخام'!$A$5:$A$104,0)),IFERROR(INDEX(المنتجات!$C$5:$C$24,MATCH($C145,المنتجات!$A$5:$A$24,0)),"كود غير موجود")))</f>
        <v/>
      </c>
      <c r="E145" s="24"/>
      <c r="F145" s="28" t="str">
        <f aca="false">IF($C145="","",IFERROR(INDEX('المواد الخام'!$D$5:$D$104,MATCH($C145,'المواد الخام'!$A$5:$A$104,0)),"حبة"))</f>
        <v/>
      </c>
      <c r="G145" s="30"/>
      <c r="H145" s="29"/>
      <c r="I145" s="29"/>
    </row>
    <row r="146" customFormat="false" ht="15" hidden="false" customHeight="false" outlineLevel="0" collapsed="false">
      <c r="A146" s="32"/>
      <c r="B146" s="29"/>
      <c r="C146" s="29"/>
      <c r="D146" s="28" t="str">
        <f aca="false">IF($C146="","",IFERROR(INDEX('المواد الخام'!$B$5:$B$104,MATCH($C146,'المواد الخام'!$A$5:$A$104,0)),IFERROR(INDEX(المنتجات!$C$5:$C$24,MATCH($C146,المنتجات!$A$5:$A$24,0)),"كود غير موجود")))</f>
        <v/>
      </c>
      <c r="E146" s="24"/>
      <c r="F146" s="28" t="str">
        <f aca="false">IF($C146="","",IFERROR(INDEX('المواد الخام'!$D$5:$D$104,MATCH($C146,'المواد الخام'!$A$5:$A$104,0)),"حبة"))</f>
        <v/>
      </c>
      <c r="G146" s="30"/>
      <c r="H146" s="29"/>
      <c r="I146" s="29"/>
    </row>
    <row r="147" customFormat="false" ht="15" hidden="false" customHeight="false" outlineLevel="0" collapsed="false">
      <c r="A147" s="32"/>
      <c r="B147" s="29"/>
      <c r="C147" s="29"/>
      <c r="D147" s="28" t="str">
        <f aca="false">IF($C147="","",IFERROR(INDEX('المواد الخام'!$B$5:$B$104,MATCH($C147,'المواد الخام'!$A$5:$A$104,0)),IFERROR(INDEX(المنتجات!$C$5:$C$24,MATCH($C147,المنتجات!$A$5:$A$24,0)),"كود غير موجود")))</f>
        <v/>
      </c>
      <c r="E147" s="24"/>
      <c r="F147" s="28" t="str">
        <f aca="false">IF($C147="","",IFERROR(INDEX('المواد الخام'!$D$5:$D$104,MATCH($C147,'المواد الخام'!$A$5:$A$104,0)),"حبة"))</f>
        <v/>
      </c>
      <c r="G147" s="30"/>
      <c r="H147" s="29"/>
      <c r="I147" s="29"/>
    </row>
    <row r="148" customFormat="false" ht="15" hidden="false" customHeight="false" outlineLevel="0" collapsed="false">
      <c r="A148" s="32"/>
      <c r="B148" s="29"/>
      <c r="C148" s="29"/>
      <c r="D148" s="28" t="str">
        <f aca="false">IF($C148="","",IFERROR(INDEX('المواد الخام'!$B$5:$B$104,MATCH($C148,'المواد الخام'!$A$5:$A$104,0)),IFERROR(INDEX(المنتجات!$C$5:$C$24,MATCH($C148,المنتجات!$A$5:$A$24,0)),"كود غير موجود")))</f>
        <v/>
      </c>
      <c r="E148" s="24"/>
      <c r="F148" s="28" t="str">
        <f aca="false">IF($C148="","",IFERROR(INDEX('المواد الخام'!$D$5:$D$104,MATCH($C148,'المواد الخام'!$A$5:$A$104,0)),"حبة"))</f>
        <v/>
      </c>
      <c r="G148" s="30"/>
      <c r="H148" s="29"/>
      <c r="I148" s="29"/>
    </row>
    <row r="149" customFormat="false" ht="15" hidden="false" customHeight="false" outlineLevel="0" collapsed="false">
      <c r="A149" s="32"/>
      <c r="B149" s="29"/>
      <c r="C149" s="29"/>
      <c r="D149" s="28" t="str">
        <f aca="false">IF($C149="","",IFERROR(INDEX('المواد الخام'!$B$5:$B$104,MATCH($C149,'المواد الخام'!$A$5:$A$104,0)),IFERROR(INDEX(المنتجات!$C$5:$C$24,MATCH($C149,المنتجات!$A$5:$A$24,0)),"كود غير موجود")))</f>
        <v/>
      </c>
      <c r="E149" s="24"/>
      <c r="F149" s="28" t="str">
        <f aca="false">IF($C149="","",IFERROR(INDEX('المواد الخام'!$D$5:$D$104,MATCH($C149,'المواد الخام'!$A$5:$A$104,0)),"حبة"))</f>
        <v/>
      </c>
      <c r="G149" s="30"/>
      <c r="H149" s="29"/>
      <c r="I149" s="29"/>
    </row>
    <row r="150" customFormat="false" ht="15" hidden="false" customHeight="false" outlineLevel="0" collapsed="false">
      <c r="A150" s="32"/>
      <c r="B150" s="29"/>
      <c r="C150" s="29"/>
      <c r="D150" s="28" t="str">
        <f aca="false">IF($C150="","",IFERROR(INDEX('المواد الخام'!$B$5:$B$104,MATCH($C150,'المواد الخام'!$A$5:$A$104,0)),IFERROR(INDEX(المنتجات!$C$5:$C$24,MATCH($C150,المنتجات!$A$5:$A$24,0)),"كود غير موجود")))</f>
        <v/>
      </c>
      <c r="E150" s="24"/>
      <c r="F150" s="28" t="str">
        <f aca="false">IF($C150="","",IFERROR(INDEX('المواد الخام'!$D$5:$D$104,MATCH($C150,'المواد الخام'!$A$5:$A$104,0)),"حبة"))</f>
        <v/>
      </c>
      <c r="G150" s="30"/>
      <c r="H150" s="29"/>
      <c r="I150" s="29"/>
    </row>
    <row r="151" customFormat="false" ht="15" hidden="false" customHeight="false" outlineLevel="0" collapsed="false">
      <c r="A151" s="32"/>
      <c r="B151" s="29"/>
      <c r="C151" s="29"/>
      <c r="D151" s="28" t="str">
        <f aca="false">IF($C151="","",IFERROR(INDEX('المواد الخام'!$B$5:$B$104,MATCH($C151,'المواد الخام'!$A$5:$A$104,0)),IFERROR(INDEX(المنتجات!$C$5:$C$24,MATCH($C151,المنتجات!$A$5:$A$24,0)),"كود غير موجود")))</f>
        <v/>
      </c>
      <c r="E151" s="24"/>
      <c r="F151" s="28" t="str">
        <f aca="false">IF($C151="","",IFERROR(INDEX('المواد الخام'!$D$5:$D$104,MATCH($C151,'المواد الخام'!$A$5:$A$104,0)),"حبة"))</f>
        <v/>
      </c>
      <c r="G151" s="30"/>
      <c r="H151" s="29"/>
      <c r="I151" s="29"/>
    </row>
    <row r="152" customFormat="false" ht="15" hidden="false" customHeight="false" outlineLevel="0" collapsed="false">
      <c r="A152" s="32"/>
      <c r="B152" s="29"/>
      <c r="C152" s="29"/>
      <c r="D152" s="28" t="str">
        <f aca="false">IF($C152="","",IFERROR(INDEX('المواد الخام'!$B$5:$B$104,MATCH($C152,'المواد الخام'!$A$5:$A$104,0)),IFERROR(INDEX(المنتجات!$C$5:$C$24,MATCH($C152,المنتجات!$A$5:$A$24,0)),"كود غير موجود")))</f>
        <v/>
      </c>
      <c r="E152" s="24"/>
      <c r="F152" s="28" t="str">
        <f aca="false">IF($C152="","",IFERROR(INDEX('المواد الخام'!$D$5:$D$104,MATCH($C152,'المواد الخام'!$A$5:$A$104,0)),"حبة"))</f>
        <v/>
      </c>
      <c r="G152" s="30"/>
      <c r="H152" s="29"/>
      <c r="I152" s="29"/>
    </row>
    <row r="153" customFormat="false" ht="15" hidden="false" customHeight="false" outlineLevel="0" collapsed="false">
      <c r="A153" s="32"/>
      <c r="B153" s="29"/>
      <c r="C153" s="29"/>
      <c r="D153" s="28" t="str">
        <f aca="false">IF($C153="","",IFERROR(INDEX('المواد الخام'!$B$5:$B$104,MATCH($C153,'المواد الخام'!$A$5:$A$104,0)),IFERROR(INDEX(المنتجات!$C$5:$C$24,MATCH($C153,المنتجات!$A$5:$A$24,0)),"كود غير موجود")))</f>
        <v/>
      </c>
      <c r="E153" s="24"/>
      <c r="F153" s="28" t="str">
        <f aca="false">IF($C153="","",IFERROR(INDEX('المواد الخام'!$D$5:$D$104,MATCH($C153,'المواد الخام'!$A$5:$A$104,0)),"حبة"))</f>
        <v/>
      </c>
      <c r="G153" s="30"/>
      <c r="H153" s="29"/>
      <c r="I153" s="29"/>
    </row>
    <row r="154" customFormat="false" ht="15" hidden="false" customHeight="false" outlineLevel="0" collapsed="false">
      <c r="A154" s="32"/>
      <c r="B154" s="29"/>
      <c r="C154" s="29"/>
      <c r="D154" s="28" t="str">
        <f aca="false">IF($C154="","",IFERROR(INDEX('المواد الخام'!$B$5:$B$104,MATCH($C154,'المواد الخام'!$A$5:$A$104,0)),IFERROR(INDEX(المنتجات!$C$5:$C$24,MATCH($C154,المنتجات!$A$5:$A$24,0)),"كود غير موجود")))</f>
        <v/>
      </c>
      <c r="E154" s="24"/>
      <c r="F154" s="28" t="str">
        <f aca="false">IF($C154="","",IFERROR(INDEX('المواد الخام'!$D$5:$D$104,MATCH($C154,'المواد الخام'!$A$5:$A$104,0)),"حبة"))</f>
        <v/>
      </c>
      <c r="G154" s="30"/>
      <c r="H154" s="29"/>
      <c r="I154" s="29"/>
    </row>
    <row r="155" customFormat="false" ht="15" hidden="false" customHeight="false" outlineLevel="0" collapsed="false">
      <c r="A155" s="32"/>
      <c r="B155" s="29"/>
      <c r="C155" s="29"/>
      <c r="D155" s="28" t="str">
        <f aca="false">IF($C155="","",IFERROR(INDEX('المواد الخام'!$B$5:$B$104,MATCH($C155,'المواد الخام'!$A$5:$A$104,0)),IFERROR(INDEX(المنتجات!$C$5:$C$24,MATCH($C155,المنتجات!$A$5:$A$24,0)),"كود غير موجود")))</f>
        <v/>
      </c>
      <c r="E155" s="24"/>
      <c r="F155" s="28" t="str">
        <f aca="false">IF($C155="","",IFERROR(INDEX('المواد الخام'!$D$5:$D$104,MATCH($C155,'المواد الخام'!$A$5:$A$104,0)),"حبة"))</f>
        <v/>
      </c>
      <c r="G155" s="30"/>
      <c r="H155" s="29"/>
      <c r="I155" s="29"/>
    </row>
    <row r="156" customFormat="false" ht="15" hidden="false" customHeight="false" outlineLevel="0" collapsed="false">
      <c r="A156" s="32"/>
      <c r="B156" s="29"/>
      <c r="C156" s="29"/>
      <c r="D156" s="28" t="str">
        <f aca="false">IF($C156="","",IFERROR(INDEX('المواد الخام'!$B$5:$B$104,MATCH($C156,'المواد الخام'!$A$5:$A$104,0)),IFERROR(INDEX(المنتجات!$C$5:$C$24,MATCH($C156,المنتجات!$A$5:$A$24,0)),"كود غير موجود")))</f>
        <v/>
      </c>
      <c r="E156" s="24"/>
      <c r="F156" s="28" t="str">
        <f aca="false">IF($C156="","",IFERROR(INDEX('المواد الخام'!$D$5:$D$104,MATCH($C156,'المواد الخام'!$A$5:$A$104,0)),"حبة"))</f>
        <v/>
      </c>
      <c r="G156" s="30"/>
      <c r="H156" s="29"/>
      <c r="I156" s="29"/>
    </row>
    <row r="157" customFormat="false" ht="15" hidden="false" customHeight="false" outlineLevel="0" collapsed="false">
      <c r="A157" s="32"/>
      <c r="B157" s="29"/>
      <c r="C157" s="29"/>
      <c r="D157" s="28" t="str">
        <f aca="false">IF($C157="","",IFERROR(INDEX('المواد الخام'!$B$5:$B$104,MATCH($C157,'المواد الخام'!$A$5:$A$104,0)),IFERROR(INDEX(المنتجات!$C$5:$C$24,MATCH($C157,المنتجات!$A$5:$A$24,0)),"كود غير موجود")))</f>
        <v/>
      </c>
      <c r="E157" s="24"/>
      <c r="F157" s="28" t="str">
        <f aca="false">IF($C157="","",IFERROR(INDEX('المواد الخام'!$D$5:$D$104,MATCH($C157,'المواد الخام'!$A$5:$A$104,0)),"حبة"))</f>
        <v/>
      </c>
      <c r="G157" s="30"/>
      <c r="H157" s="29"/>
      <c r="I157" s="29"/>
    </row>
    <row r="158" customFormat="false" ht="15" hidden="false" customHeight="false" outlineLevel="0" collapsed="false">
      <c r="A158" s="32"/>
      <c r="B158" s="29"/>
      <c r="C158" s="29"/>
      <c r="D158" s="28" t="str">
        <f aca="false">IF($C158="","",IFERROR(INDEX('المواد الخام'!$B$5:$B$104,MATCH($C158,'المواد الخام'!$A$5:$A$104,0)),IFERROR(INDEX(المنتجات!$C$5:$C$24,MATCH($C158,المنتجات!$A$5:$A$24,0)),"كود غير موجود")))</f>
        <v/>
      </c>
      <c r="E158" s="24"/>
      <c r="F158" s="28" t="str">
        <f aca="false">IF($C158="","",IFERROR(INDEX('المواد الخام'!$D$5:$D$104,MATCH($C158,'المواد الخام'!$A$5:$A$104,0)),"حبة"))</f>
        <v/>
      </c>
      <c r="G158" s="30"/>
      <c r="H158" s="29"/>
      <c r="I158" s="29"/>
    </row>
    <row r="159" customFormat="false" ht="15" hidden="false" customHeight="false" outlineLevel="0" collapsed="false">
      <c r="A159" s="32"/>
      <c r="B159" s="29"/>
      <c r="C159" s="29"/>
      <c r="D159" s="28" t="str">
        <f aca="false">IF($C159="","",IFERROR(INDEX('المواد الخام'!$B$5:$B$104,MATCH($C159,'المواد الخام'!$A$5:$A$104,0)),IFERROR(INDEX(المنتجات!$C$5:$C$24,MATCH($C159,المنتجات!$A$5:$A$24,0)),"كود غير موجود")))</f>
        <v/>
      </c>
      <c r="E159" s="24"/>
      <c r="F159" s="28" t="str">
        <f aca="false">IF($C159="","",IFERROR(INDEX('المواد الخام'!$D$5:$D$104,MATCH($C159,'المواد الخام'!$A$5:$A$104,0)),"حبة"))</f>
        <v/>
      </c>
      <c r="G159" s="30"/>
      <c r="H159" s="29"/>
      <c r="I159" s="29"/>
    </row>
    <row r="160" customFormat="false" ht="15" hidden="false" customHeight="false" outlineLevel="0" collapsed="false">
      <c r="A160" s="32"/>
      <c r="B160" s="29"/>
      <c r="C160" s="29"/>
      <c r="D160" s="28" t="str">
        <f aca="false">IF($C160="","",IFERROR(INDEX('المواد الخام'!$B$5:$B$104,MATCH($C160,'المواد الخام'!$A$5:$A$104,0)),IFERROR(INDEX(المنتجات!$C$5:$C$24,MATCH($C160,المنتجات!$A$5:$A$24,0)),"كود غير موجود")))</f>
        <v/>
      </c>
      <c r="E160" s="24"/>
      <c r="F160" s="28" t="str">
        <f aca="false">IF($C160="","",IFERROR(INDEX('المواد الخام'!$D$5:$D$104,MATCH($C160,'المواد الخام'!$A$5:$A$104,0)),"حبة"))</f>
        <v/>
      </c>
      <c r="G160" s="30"/>
      <c r="H160" s="29"/>
      <c r="I160" s="29"/>
    </row>
    <row r="161" customFormat="false" ht="15" hidden="false" customHeight="false" outlineLevel="0" collapsed="false">
      <c r="A161" s="32"/>
      <c r="B161" s="29"/>
      <c r="C161" s="29"/>
      <c r="D161" s="28" t="str">
        <f aca="false">IF($C161="","",IFERROR(INDEX('المواد الخام'!$B$5:$B$104,MATCH($C161,'المواد الخام'!$A$5:$A$104,0)),IFERROR(INDEX(المنتجات!$C$5:$C$24,MATCH($C161,المنتجات!$A$5:$A$24,0)),"كود غير موجود")))</f>
        <v/>
      </c>
      <c r="E161" s="24"/>
      <c r="F161" s="28" t="str">
        <f aca="false">IF($C161="","",IFERROR(INDEX('المواد الخام'!$D$5:$D$104,MATCH($C161,'المواد الخام'!$A$5:$A$104,0)),"حبة"))</f>
        <v/>
      </c>
      <c r="G161" s="30"/>
      <c r="H161" s="29"/>
      <c r="I161" s="29"/>
    </row>
    <row r="162" customFormat="false" ht="15" hidden="false" customHeight="false" outlineLevel="0" collapsed="false">
      <c r="A162" s="32"/>
      <c r="B162" s="29"/>
      <c r="C162" s="29"/>
      <c r="D162" s="28" t="str">
        <f aca="false">IF($C162="","",IFERROR(INDEX('المواد الخام'!$B$5:$B$104,MATCH($C162,'المواد الخام'!$A$5:$A$104,0)),IFERROR(INDEX(المنتجات!$C$5:$C$24,MATCH($C162,المنتجات!$A$5:$A$24,0)),"كود غير موجود")))</f>
        <v/>
      </c>
      <c r="E162" s="24"/>
      <c r="F162" s="28" t="str">
        <f aca="false">IF($C162="","",IFERROR(INDEX('المواد الخام'!$D$5:$D$104,MATCH($C162,'المواد الخام'!$A$5:$A$104,0)),"حبة"))</f>
        <v/>
      </c>
      <c r="G162" s="30"/>
      <c r="H162" s="29"/>
      <c r="I162" s="29"/>
    </row>
    <row r="163" customFormat="false" ht="15" hidden="false" customHeight="false" outlineLevel="0" collapsed="false">
      <c r="A163" s="32"/>
      <c r="B163" s="29"/>
      <c r="C163" s="29"/>
      <c r="D163" s="28" t="str">
        <f aca="false">IF($C163="","",IFERROR(INDEX('المواد الخام'!$B$5:$B$104,MATCH($C163,'المواد الخام'!$A$5:$A$104,0)),IFERROR(INDEX(المنتجات!$C$5:$C$24,MATCH($C163,المنتجات!$A$5:$A$24,0)),"كود غير موجود")))</f>
        <v/>
      </c>
      <c r="E163" s="24"/>
      <c r="F163" s="28" t="str">
        <f aca="false">IF($C163="","",IFERROR(INDEX('المواد الخام'!$D$5:$D$104,MATCH($C163,'المواد الخام'!$A$5:$A$104,0)),"حبة"))</f>
        <v/>
      </c>
      <c r="G163" s="30"/>
      <c r="H163" s="29"/>
      <c r="I163" s="29"/>
    </row>
    <row r="164" customFormat="false" ht="15" hidden="false" customHeight="false" outlineLevel="0" collapsed="false">
      <c r="A164" s="32"/>
      <c r="B164" s="29"/>
      <c r="C164" s="29"/>
      <c r="D164" s="28" t="str">
        <f aca="false">IF($C164="","",IFERROR(INDEX('المواد الخام'!$B$5:$B$104,MATCH($C164,'المواد الخام'!$A$5:$A$104,0)),IFERROR(INDEX(المنتجات!$C$5:$C$24,MATCH($C164,المنتجات!$A$5:$A$24,0)),"كود غير موجود")))</f>
        <v/>
      </c>
      <c r="E164" s="24"/>
      <c r="F164" s="28" t="str">
        <f aca="false">IF($C164="","",IFERROR(INDEX('المواد الخام'!$D$5:$D$104,MATCH($C164,'المواد الخام'!$A$5:$A$104,0)),"حبة"))</f>
        <v/>
      </c>
      <c r="G164" s="30"/>
      <c r="H164" s="29"/>
      <c r="I164" s="29"/>
    </row>
    <row r="165" customFormat="false" ht="15" hidden="false" customHeight="false" outlineLevel="0" collapsed="false">
      <c r="A165" s="32"/>
      <c r="B165" s="29"/>
      <c r="C165" s="29"/>
      <c r="D165" s="28" t="str">
        <f aca="false">IF($C165="","",IFERROR(INDEX('المواد الخام'!$B$5:$B$104,MATCH($C165,'المواد الخام'!$A$5:$A$104,0)),IFERROR(INDEX(المنتجات!$C$5:$C$24,MATCH($C165,المنتجات!$A$5:$A$24,0)),"كود غير موجود")))</f>
        <v/>
      </c>
      <c r="E165" s="24"/>
      <c r="F165" s="28" t="str">
        <f aca="false">IF($C165="","",IFERROR(INDEX('المواد الخام'!$D$5:$D$104,MATCH($C165,'المواد الخام'!$A$5:$A$104,0)),"حبة"))</f>
        <v/>
      </c>
      <c r="G165" s="30"/>
      <c r="H165" s="29"/>
      <c r="I165" s="29"/>
    </row>
    <row r="166" customFormat="false" ht="15" hidden="false" customHeight="false" outlineLevel="0" collapsed="false">
      <c r="A166" s="32"/>
      <c r="B166" s="29"/>
      <c r="C166" s="29"/>
      <c r="D166" s="28" t="str">
        <f aca="false">IF($C166="","",IFERROR(INDEX('المواد الخام'!$B$5:$B$104,MATCH($C166,'المواد الخام'!$A$5:$A$104,0)),IFERROR(INDEX(المنتجات!$C$5:$C$24,MATCH($C166,المنتجات!$A$5:$A$24,0)),"كود غير موجود")))</f>
        <v/>
      </c>
      <c r="E166" s="24"/>
      <c r="F166" s="28" t="str">
        <f aca="false">IF($C166="","",IFERROR(INDEX('المواد الخام'!$D$5:$D$104,MATCH($C166,'المواد الخام'!$A$5:$A$104,0)),"حبة"))</f>
        <v/>
      </c>
      <c r="G166" s="30"/>
      <c r="H166" s="29"/>
      <c r="I166" s="29"/>
    </row>
    <row r="167" customFormat="false" ht="15" hidden="false" customHeight="false" outlineLevel="0" collapsed="false">
      <c r="A167" s="32"/>
      <c r="B167" s="29"/>
      <c r="C167" s="29"/>
      <c r="D167" s="28" t="str">
        <f aca="false">IF($C167="","",IFERROR(INDEX('المواد الخام'!$B$5:$B$104,MATCH($C167,'المواد الخام'!$A$5:$A$104,0)),IFERROR(INDEX(المنتجات!$C$5:$C$24,MATCH($C167,المنتجات!$A$5:$A$24,0)),"كود غير موجود")))</f>
        <v/>
      </c>
      <c r="E167" s="24"/>
      <c r="F167" s="28" t="str">
        <f aca="false">IF($C167="","",IFERROR(INDEX('المواد الخام'!$D$5:$D$104,MATCH($C167,'المواد الخام'!$A$5:$A$104,0)),"حبة"))</f>
        <v/>
      </c>
      <c r="G167" s="30"/>
      <c r="H167" s="29"/>
      <c r="I167" s="29"/>
    </row>
    <row r="168" customFormat="false" ht="15" hidden="false" customHeight="false" outlineLevel="0" collapsed="false">
      <c r="A168" s="32"/>
      <c r="B168" s="29"/>
      <c r="C168" s="29"/>
      <c r="D168" s="28" t="str">
        <f aca="false">IF($C168="","",IFERROR(INDEX('المواد الخام'!$B$5:$B$104,MATCH($C168,'المواد الخام'!$A$5:$A$104,0)),IFERROR(INDEX(المنتجات!$C$5:$C$24,MATCH($C168,المنتجات!$A$5:$A$24,0)),"كود غير موجود")))</f>
        <v/>
      </c>
      <c r="E168" s="24"/>
      <c r="F168" s="28" t="str">
        <f aca="false">IF($C168="","",IFERROR(INDEX('المواد الخام'!$D$5:$D$104,MATCH($C168,'المواد الخام'!$A$5:$A$104,0)),"حبة"))</f>
        <v/>
      </c>
      <c r="G168" s="30"/>
      <c r="H168" s="29"/>
      <c r="I168" s="29"/>
    </row>
    <row r="169" customFormat="false" ht="15" hidden="false" customHeight="false" outlineLevel="0" collapsed="false">
      <c r="A169" s="32"/>
      <c r="B169" s="29"/>
      <c r="C169" s="29"/>
      <c r="D169" s="28" t="str">
        <f aca="false">IF($C169="","",IFERROR(INDEX('المواد الخام'!$B$5:$B$104,MATCH($C169,'المواد الخام'!$A$5:$A$104,0)),IFERROR(INDEX(المنتجات!$C$5:$C$24,MATCH($C169,المنتجات!$A$5:$A$24,0)),"كود غير موجود")))</f>
        <v/>
      </c>
      <c r="E169" s="24"/>
      <c r="F169" s="28" t="str">
        <f aca="false">IF($C169="","",IFERROR(INDEX('المواد الخام'!$D$5:$D$104,MATCH($C169,'المواد الخام'!$A$5:$A$104,0)),"حبة"))</f>
        <v/>
      </c>
      <c r="G169" s="30"/>
      <c r="H169" s="29"/>
      <c r="I169" s="29"/>
    </row>
    <row r="170" customFormat="false" ht="15" hidden="false" customHeight="false" outlineLevel="0" collapsed="false">
      <c r="A170" s="32"/>
      <c r="B170" s="29"/>
      <c r="C170" s="29"/>
      <c r="D170" s="28" t="str">
        <f aca="false">IF($C170="","",IFERROR(INDEX('المواد الخام'!$B$5:$B$104,MATCH($C170,'المواد الخام'!$A$5:$A$104,0)),IFERROR(INDEX(المنتجات!$C$5:$C$24,MATCH($C170,المنتجات!$A$5:$A$24,0)),"كود غير موجود")))</f>
        <v/>
      </c>
      <c r="E170" s="24"/>
      <c r="F170" s="28" t="str">
        <f aca="false">IF($C170="","",IFERROR(INDEX('المواد الخام'!$D$5:$D$104,MATCH($C170,'المواد الخام'!$A$5:$A$104,0)),"حبة"))</f>
        <v/>
      </c>
      <c r="G170" s="30"/>
      <c r="H170" s="29"/>
      <c r="I170" s="29"/>
    </row>
    <row r="171" customFormat="false" ht="15" hidden="false" customHeight="false" outlineLevel="0" collapsed="false">
      <c r="A171" s="32"/>
      <c r="B171" s="29"/>
      <c r="C171" s="29"/>
      <c r="D171" s="28" t="str">
        <f aca="false">IF($C171="","",IFERROR(INDEX('المواد الخام'!$B$5:$B$104,MATCH($C171,'المواد الخام'!$A$5:$A$104,0)),IFERROR(INDEX(المنتجات!$C$5:$C$24,MATCH($C171,المنتجات!$A$5:$A$24,0)),"كود غير موجود")))</f>
        <v/>
      </c>
      <c r="E171" s="24"/>
      <c r="F171" s="28" t="str">
        <f aca="false">IF($C171="","",IFERROR(INDEX('المواد الخام'!$D$5:$D$104,MATCH($C171,'المواد الخام'!$A$5:$A$104,0)),"حبة"))</f>
        <v/>
      </c>
      <c r="G171" s="30"/>
      <c r="H171" s="29"/>
      <c r="I171" s="29"/>
    </row>
    <row r="172" customFormat="false" ht="15" hidden="false" customHeight="false" outlineLevel="0" collapsed="false">
      <c r="A172" s="32"/>
      <c r="B172" s="29"/>
      <c r="C172" s="29"/>
      <c r="D172" s="28" t="str">
        <f aca="false">IF($C172="","",IFERROR(INDEX('المواد الخام'!$B$5:$B$104,MATCH($C172,'المواد الخام'!$A$5:$A$104,0)),IFERROR(INDEX(المنتجات!$C$5:$C$24,MATCH($C172,المنتجات!$A$5:$A$24,0)),"كود غير موجود")))</f>
        <v/>
      </c>
      <c r="E172" s="24"/>
      <c r="F172" s="28" t="str">
        <f aca="false">IF($C172="","",IFERROR(INDEX('المواد الخام'!$D$5:$D$104,MATCH($C172,'المواد الخام'!$A$5:$A$104,0)),"حبة"))</f>
        <v/>
      </c>
      <c r="G172" s="30"/>
      <c r="H172" s="29"/>
      <c r="I172" s="29"/>
    </row>
    <row r="173" customFormat="false" ht="15" hidden="false" customHeight="false" outlineLevel="0" collapsed="false">
      <c r="A173" s="32"/>
      <c r="B173" s="29"/>
      <c r="C173" s="29"/>
      <c r="D173" s="28" t="str">
        <f aca="false">IF($C173="","",IFERROR(INDEX('المواد الخام'!$B$5:$B$104,MATCH($C173,'المواد الخام'!$A$5:$A$104,0)),IFERROR(INDEX(المنتجات!$C$5:$C$24,MATCH($C173,المنتجات!$A$5:$A$24,0)),"كود غير موجود")))</f>
        <v/>
      </c>
      <c r="E173" s="24"/>
      <c r="F173" s="28" t="str">
        <f aca="false">IF($C173="","",IFERROR(INDEX('المواد الخام'!$D$5:$D$104,MATCH($C173,'المواد الخام'!$A$5:$A$104,0)),"حبة"))</f>
        <v/>
      </c>
      <c r="G173" s="30"/>
      <c r="H173" s="29"/>
      <c r="I173" s="29"/>
    </row>
    <row r="174" customFormat="false" ht="15" hidden="false" customHeight="false" outlineLevel="0" collapsed="false">
      <c r="A174" s="32"/>
      <c r="B174" s="29"/>
      <c r="C174" s="29"/>
      <c r="D174" s="28" t="str">
        <f aca="false">IF($C174="","",IFERROR(INDEX('المواد الخام'!$B$5:$B$104,MATCH($C174,'المواد الخام'!$A$5:$A$104,0)),IFERROR(INDEX(المنتجات!$C$5:$C$24,MATCH($C174,المنتجات!$A$5:$A$24,0)),"كود غير موجود")))</f>
        <v/>
      </c>
      <c r="E174" s="24"/>
      <c r="F174" s="28" t="str">
        <f aca="false">IF($C174="","",IFERROR(INDEX('المواد الخام'!$D$5:$D$104,MATCH($C174,'المواد الخام'!$A$5:$A$104,0)),"حبة"))</f>
        <v/>
      </c>
      <c r="G174" s="30"/>
      <c r="H174" s="29"/>
      <c r="I174" s="29"/>
    </row>
    <row r="175" customFormat="false" ht="15" hidden="false" customHeight="false" outlineLevel="0" collapsed="false">
      <c r="A175" s="32"/>
      <c r="B175" s="29"/>
      <c r="C175" s="29"/>
      <c r="D175" s="28" t="str">
        <f aca="false">IF($C175="","",IFERROR(INDEX('المواد الخام'!$B$5:$B$104,MATCH($C175,'المواد الخام'!$A$5:$A$104,0)),IFERROR(INDEX(المنتجات!$C$5:$C$24,MATCH($C175,المنتجات!$A$5:$A$24,0)),"كود غير موجود")))</f>
        <v/>
      </c>
      <c r="E175" s="24"/>
      <c r="F175" s="28" t="str">
        <f aca="false">IF($C175="","",IFERROR(INDEX('المواد الخام'!$D$5:$D$104,MATCH($C175,'المواد الخام'!$A$5:$A$104,0)),"حبة"))</f>
        <v/>
      </c>
      <c r="G175" s="30"/>
      <c r="H175" s="29"/>
      <c r="I175" s="29"/>
    </row>
    <row r="176" customFormat="false" ht="15" hidden="false" customHeight="false" outlineLevel="0" collapsed="false">
      <c r="A176" s="32"/>
      <c r="B176" s="29"/>
      <c r="C176" s="29"/>
      <c r="D176" s="28" t="str">
        <f aca="false">IF($C176="","",IFERROR(INDEX('المواد الخام'!$B$5:$B$104,MATCH($C176,'المواد الخام'!$A$5:$A$104,0)),IFERROR(INDEX(المنتجات!$C$5:$C$24,MATCH($C176,المنتجات!$A$5:$A$24,0)),"كود غير موجود")))</f>
        <v/>
      </c>
      <c r="E176" s="24"/>
      <c r="F176" s="28" t="str">
        <f aca="false">IF($C176="","",IFERROR(INDEX('المواد الخام'!$D$5:$D$104,MATCH($C176,'المواد الخام'!$A$5:$A$104,0)),"حبة"))</f>
        <v/>
      </c>
      <c r="G176" s="30"/>
      <c r="H176" s="29"/>
      <c r="I176" s="29"/>
    </row>
    <row r="177" customFormat="false" ht="15" hidden="false" customHeight="false" outlineLevel="0" collapsed="false">
      <c r="A177" s="32"/>
      <c r="B177" s="29"/>
      <c r="C177" s="29"/>
      <c r="D177" s="28" t="str">
        <f aca="false">IF($C177="","",IFERROR(INDEX('المواد الخام'!$B$5:$B$104,MATCH($C177,'المواد الخام'!$A$5:$A$104,0)),IFERROR(INDEX(المنتجات!$C$5:$C$24,MATCH($C177,المنتجات!$A$5:$A$24,0)),"كود غير موجود")))</f>
        <v/>
      </c>
      <c r="E177" s="24"/>
      <c r="F177" s="28" t="str">
        <f aca="false">IF($C177="","",IFERROR(INDEX('المواد الخام'!$D$5:$D$104,MATCH($C177,'المواد الخام'!$A$5:$A$104,0)),"حبة"))</f>
        <v/>
      </c>
      <c r="G177" s="30"/>
      <c r="H177" s="29"/>
      <c r="I177" s="29"/>
    </row>
    <row r="178" customFormat="false" ht="15" hidden="false" customHeight="false" outlineLevel="0" collapsed="false">
      <c r="A178" s="32"/>
      <c r="B178" s="29"/>
      <c r="C178" s="29"/>
      <c r="D178" s="28" t="str">
        <f aca="false">IF($C178="","",IFERROR(INDEX('المواد الخام'!$B$5:$B$104,MATCH($C178,'المواد الخام'!$A$5:$A$104,0)),IFERROR(INDEX(المنتجات!$C$5:$C$24,MATCH($C178,المنتجات!$A$5:$A$24,0)),"كود غير موجود")))</f>
        <v/>
      </c>
      <c r="E178" s="24"/>
      <c r="F178" s="28" t="str">
        <f aca="false">IF($C178="","",IFERROR(INDEX('المواد الخام'!$D$5:$D$104,MATCH($C178,'المواد الخام'!$A$5:$A$104,0)),"حبة"))</f>
        <v/>
      </c>
      <c r="G178" s="30"/>
      <c r="H178" s="29"/>
      <c r="I178" s="29"/>
    </row>
    <row r="179" customFormat="false" ht="15" hidden="false" customHeight="false" outlineLevel="0" collapsed="false">
      <c r="A179" s="32"/>
      <c r="B179" s="29"/>
      <c r="C179" s="29"/>
      <c r="D179" s="28" t="str">
        <f aca="false">IF($C179="","",IFERROR(INDEX('المواد الخام'!$B$5:$B$104,MATCH($C179,'المواد الخام'!$A$5:$A$104,0)),IFERROR(INDEX(المنتجات!$C$5:$C$24,MATCH($C179,المنتجات!$A$5:$A$24,0)),"كود غير موجود")))</f>
        <v/>
      </c>
      <c r="E179" s="24"/>
      <c r="F179" s="28" t="str">
        <f aca="false">IF($C179="","",IFERROR(INDEX('المواد الخام'!$D$5:$D$104,MATCH($C179,'المواد الخام'!$A$5:$A$104,0)),"حبة"))</f>
        <v/>
      </c>
      <c r="G179" s="30"/>
      <c r="H179" s="29"/>
      <c r="I179" s="29"/>
    </row>
    <row r="180" customFormat="false" ht="15" hidden="false" customHeight="false" outlineLevel="0" collapsed="false">
      <c r="A180" s="32"/>
      <c r="B180" s="29"/>
      <c r="C180" s="29"/>
      <c r="D180" s="28" t="str">
        <f aca="false">IF($C180="","",IFERROR(INDEX('المواد الخام'!$B$5:$B$104,MATCH($C180,'المواد الخام'!$A$5:$A$104,0)),IFERROR(INDEX(المنتجات!$C$5:$C$24,MATCH($C180,المنتجات!$A$5:$A$24,0)),"كود غير موجود")))</f>
        <v/>
      </c>
      <c r="E180" s="24"/>
      <c r="F180" s="28" t="str">
        <f aca="false">IF($C180="","",IFERROR(INDEX('المواد الخام'!$D$5:$D$104,MATCH($C180,'المواد الخام'!$A$5:$A$104,0)),"حبة"))</f>
        <v/>
      </c>
      <c r="G180" s="30"/>
      <c r="H180" s="29"/>
      <c r="I180" s="29"/>
    </row>
    <row r="181" customFormat="false" ht="15" hidden="false" customHeight="false" outlineLevel="0" collapsed="false">
      <c r="A181" s="32"/>
      <c r="B181" s="29"/>
      <c r="C181" s="29"/>
      <c r="D181" s="28" t="str">
        <f aca="false">IF($C181="","",IFERROR(INDEX('المواد الخام'!$B$5:$B$104,MATCH($C181,'المواد الخام'!$A$5:$A$104,0)),IFERROR(INDEX(المنتجات!$C$5:$C$24,MATCH($C181,المنتجات!$A$5:$A$24,0)),"كود غير موجود")))</f>
        <v/>
      </c>
      <c r="E181" s="24"/>
      <c r="F181" s="28" t="str">
        <f aca="false">IF($C181="","",IFERROR(INDEX('المواد الخام'!$D$5:$D$104,MATCH($C181,'المواد الخام'!$A$5:$A$104,0)),"حبة"))</f>
        <v/>
      </c>
      <c r="G181" s="30"/>
      <c r="H181" s="29"/>
      <c r="I181" s="29"/>
    </row>
    <row r="182" customFormat="false" ht="15" hidden="false" customHeight="false" outlineLevel="0" collapsed="false">
      <c r="A182" s="32"/>
      <c r="B182" s="29"/>
      <c r="C182" s="29"/>
      <c r="D182" s="28" t="str">
        <f aca="false">IF($C182="","",IFERROR(INDEX('المواد الخام'!$B$5:$B$104,MATCH($C182,'المواد الخام'!$A$5:$A$104,0)),IFERROR(INDEX(المنتجات!$C$5:$C$24,MATCH($C182,المنتجات!$A$5:$A$24,0)),"كود غير موجود")))</f>
        <v/>
      </c>
      <c r="E182" s="24"/>
      <c r="F182" s="28" t="str">
        <f aca="false">IF($C182="","",IFERROR(INDEX('المواد الخام'!$D$5:$D$104,MATCH($C182,'المواد الخام'!$A$5:$A$104,0)),"حبة"))</f>
        <v/>
      </c>
      <c r="G182" s="30"/>
      <c r="H182" s="29"/>
      <c r="I182" s="29"/>
    </row>
    <row r="183" customFormat="false" ht="15" hidden="false" customHeight="false" outlineLevel="0" collapsed="false">
      <c r="A183" s="32"/>
      <c r="B183" s="29"/>
      <c r="C183" s="29"/>
      <c r="D183" s="28" t="str">
        <f aca="false">IF($C183="","",IFERROR(INDEX('المواد الخام'!$B$5:$B$104,MATCH($C183,'المواد الخام'!$A$5:$A$104,0)),IFERROR(INDEX(المنتجات!$C$5:$C$24,MATCH($C183,المنتجات!$A$5:$A$24,0)),"كود غير موجود")))</f>
        <v/>
      </c>
      <c r="E183" s="24"/>
      <c r="F183" s="28" t="str">
        <f aca="false">IF($C183="","",IFERROR(INDEX('المواد الخام'!$D$5:$D$104,MATCH($C183,'المواد الخام'!$A$5:$A$104,0)),"حبة"))</f>
        <v/>
      </c>
      <c r="G183" s="30"/>
      <c r="H183" s="29"/>
      <c r="I183" s="29"/>
    </row>
    <row r="184" customFormat="false" ht="15" hidden="false" customHeight="false" outlineLevel="0" collapsed="false">
      <c r="A184" s="32"/>
      <c r="B184" s="29"/>
      <c r="C184" s="29"/>
      <c r="D184" s="28" t="str">
        <f aca="false">IF($C184="","",IFERROR(INDEX('المواد الخام'!$B$5:$B$104,MATCH($C184,'المواد الخام'!$A$5:$A$104,0)),IFERROR(INDEX(المنتجات!$C$5:$C$24,MATCH($C184,المنتجات!$A$5:$A$24,0)),"كود غير موجود")))</f>
        <v/>
      </c>
      <c r="E184" s="24"/>
      <c r="F184" s="28" t="str">
        <f aca="false">IF($C184="","",IFERROR(INDEX('المواد الخام'!$D$5:$D$104,MATCH($C184,'المواد الخام'!$A$5:$A$104,0)),"حبة"))</f>
        <v/>
      </c>
      <c r="G184" s="30"/>
      <c r="H184" s="29"/>
      <c r="I184" s="29"/>
    </row>
    <row r="185" customFormat="false" ht="15" hidden="false" customHeight="false" outlineLevel="0" collapsed="false">
      <c r="A185" s="32"/>
      <c r="B185" s="29"/>
      <c r="C185" s="29"/>
      <c r="D185" s="28" t="str">
        <f aca="false">IF($C185="","",IFERROR(INDEX('المواد الخام'!$B$5:$B$104,MATCH($C185,'المواد الخام'!$A$5:$A$104,0)),IFERROR(INDEX(المنتجات!$C$5:$C$24,MATCH($C185,المنتجات!$A$5:$A$24,0)),"كود غير موجود")))</f>
        <v/>
      </c>
      <c r="E185" s="24"/>
      <c r="F185" s="28" t="str">
        <f aca="false">IF($C185="","",IFERROR(INDEX('المواد الخام'!$D$5:$D$104,MATCH($C185,'المواد الخام'!$A$5:$A$104,0)),"حبة"))</f>
        <v/>
      </c>
      <c r="G185" s="30"/>
      <c r="H185" s="29"/>
      <c r="I185" s="29"/>
    </row>
    <row r="186" customFormat="false" ht="15" hidden="false" customHeight="false" outlineLevel="0" collapsed="false">
      <c r="A186" s="32"/>
      <c r="B186" s="29"/>
      <c r="C186" s="29"/>
      <c r="D186" s="28" t="str">
        <f aca="false">IF($C186="","",IFERROR(INDEX('المواد الخام'!$B$5:$B$104,MATCH($C186,'المواد الخام'!$A$5:$A$104,0)),IFERROR(INDEX(المنتجات!$C$5:$C$24,MATCH($C186,المنتجات!$A$5:$A$24,0)),"كود غير موجود")))</f>
        <v/>
      </c>
      <c r="E186" s="24"/>
      <c r="F186" s="28" t="str">
        <f aca="false">IF($C186="","",IFERROR(INDEX('المواد الخام'!$D$5:$D$104,MATCH($C186,'المواد الخام'!$A$5:$A$104,0)),"حبة"))</f>
        <v/>
      </c>
      <c r="G186" s="30"/>
      <c r="H186" s="29"/>
      <c r="I186" s="29"/>
    </row>
    <row r="187" customFormat="false" ht="15" hidden="false" customHeight="false" outlineLevel="0" collapsed="false">
      <c r="A187" s="32"/>
      <c r="B187" s="29"/>
      <c r="C187" s="29"/>
      <c r="D187" s="28" t="str">
        <f aca="false">IF($C187="","",IFERROR(INDEX('المواد الخام'!$B$5:$B$104,MATCH($C187,'المواد الخام'!$A$5:$A$104,0)),IFERROR(INDEX(المنتجات!$C$5:$C$24,MATCH($C187,المنتجات!$A$5:$A$24,0)),"كود غير موجود")))</f>
        <v/>
      </c>
      <c r="E187" s="24"/>
      <c r="F187" s="28" t="str">
        <f aca="false">IF($C187="","",IFERROR(INDEX('المواد الخام'!$D$5:$D$104,MATCH($C187,'المواد الخام'!$A$5:$A$104,0)),"حبة"))</f>
        <v/>
      </c>
      <c r="G187" s="30"/>
      <c r="H187" s="29"/>
      <c r="I187" s="29"/>
    </row>
    <row r="188" customFormat="false" ht="15" hidden="false" customHeight="false" outlineLevel="0" collapsed="false">
      <c r="A188" s="32"/>
      <c r="B188" s="29"/>
      <c r="C188" s="29"/>
      <c r="D188" s="28" t="str">
        <f aca="false">IF($C188="","",IFERROR(INDEX('المواد الخام'!$B$5:$B$104,MATCH($C188,'المواد الخام'!$A$5:$A$104,0)),IFERROR(INDEX(المنتجات!$C$5:$C$24,MATCH($C188,المنتجات!$A$5:$A$24,0)),"كود غير موجود")))</f>
        <v/>
      </c>
      <c r="E188" s="24"/>
      <c r="F188" s="28" t="str">
        <f aca="false">IF($C188="","",IFERROR(INDEX('المواد الخام'!$D$5:$D$104,MATCH($C188,'المواد الخام'!$A$5:$A$104,0)),"حبة"))</f>
        <v/>
      </c>
      <c r="G188" s="30"/>
      <c r="H188" s="29"/>
      <c r="I188" s="29"/>
    </row>
    <row r="189" customFormat="false" ht="15" hidden="false" customHeight="false" outlineLevel="0" collapsed="false">
      <c r="A189" s="32"/>
      <c r="B189" s="29"/>
      <c r="C189" s="29"/>
      <c r="D189" s="28" t="str">
        <f aca="false">IF($C189="","",IFERROR(INDEX('المواد الخام'!$B$5:$B$104,MATCH($C189,'المواد الخام'!$A$5:$A$104,0)),IFERROR(INDEX(المنتجات!$C$5:$C$24,MATCH($C189,المنتجات!$A$5:$A$24,0)),"كود غير موجود")))</f>
        <v/>
      </c>
      <c r="E189" s="24"/>
      <c r="F189" s="28" t="str">
        <f aca="false">IF($C189="","",IFERROR(INDEX('المواد الخام'!$D$5:$D$104,MATCH($C189,'المواد الخام'!$A$5:$A$104,0)),"حبة"))</f>
        <v/>
      </c>
      <c r="G189" s="30"/>
      <c r="H189" s="29"/>
      <c r="I189" s="29"/>
    </row>
    <row r="190" customFormat="false" ht="15" hidden="false" customHeight="false" outlineLevel="0" collapsed="false">
      <c r="A190" s="32"/>
      <c r="B190" s="29"/>
      <c r="C190" s="29"/>
      <c r="D190" s="28" t="str">
        <f aca="false">IF($C190="","",IFERROR(INDEX('المواد الخام'!$B$5:$B$104,MATCH($C190,'المواد الخام'!$A$5:$A$104,0)),IFERROR(INDEX(المنتجات!$C$5:$C$24,MATCH($C190,المنتجات!$A$5:$A$24,0)),"كود غير موجود")))</f>
        <v/>
      </c>
      <c r="E190" s="24"/>
      <c r="F190" s="28" t="str">
        <f aca="false">IF($C190="","",IFERROR(INDEX('المواد الخام'!$D$5:$D$104,MATCH($C190,'المواد الخام'!$A$5:$A$104,0)),"حبة"))</f>
        <v/>
      </c>
      <c r="G190" s="30"/>
      <c r="H190" s="29"/>
      <c r="I190" s="29"/>
    </row>
    <row r="191" customFormat="false" ht="15" hidden="false" customHeight="false" outlineLevel="0" collapsed="false">
      <c r="A191" s="32"/>
      <c r="B191" s="29"/>
      <c r="C191" s="29"/>
      <c r="D191" s="28" t="str">
        <f aca="false">IF($C191="","",IFERROR(INDEX('المواد الخام'!$B$5:$B$104,MATCH($C191,'المواد الخام'!$A$5:$A$104,0)),IFERROR(INDEX(المنتجات!$C$5:$C$24,MATCH($C191,المنتجات!$A$5:$A$24,0)),"كود غير موجود")))</f>
        <v/>
      </c>
      <c r="E191" s="24"/>
      <c r="F191" s="28" t="str">
        <f aca="false">IF($C191="","",IFERROR(INDEX('المواد الخام'!$D$5:$D$104,MATCH($C191,'المواد الخام'!$A$5:$A$104,0)),"حبة"))</f>
        <v/>
      </c>
      <c r="G191" s="30"/>
      <c r="H191" s="29"/>
      <c r="I191" s="29"/>
    </row>
    <row r="192" customFormat="false" ht="15" hidden="false" customHeight="false" outlineLevel="0" collapsed="false">
      <c r="A192" s="32"/>
      <c r="B192" s="29"/>
      <c r="C192" s="29"/>
      <c r="D192" s="28" t="str">
        <f aca="false">IF($C192="","",IFERROR(INDEX('المواد الخام'!$B$5:$B$104,MATCH($C192,'المواد الخام'!$A$5:$A$104,0)),IFERROR(INDEX(المنتجات!$C$5:$C$24,MATCH($C192,المنتجات!$A$5:$A$24,0)),"كود غير موجود")))</f>
        <v/>
      </c>
      <c r="E192" s="24"/>
      <c r="F192" s="28" t="str">
        <f aca="false">IF($C192="","",IFERROR(INDEX('المواد الخام'!$D$5:$D$104,MATCH($C192,'المواد الخام'!$A$5:$A$104,0)),"حبة"))</f>
        <v/>
      </c>
      <c r="G192" s="30"/>
      <c r="H192" s="29"/>
      <c r="I192" s="29"/>
    </row>
    <row r="193" customFormat="false" ht="15" hidden="false" customHeight="false" outlineLevel="0" collapsed="false">
      <c r="A193" s="32"/>
      <c r="B193" s="29"/>
      <c r="C193" s="29"/>
      <c r="D193" s="28" t="str">
        <f aca="false">IF($C193="","",IFERROR(INDEX('المواد الخام'!$B$5:$B$104,MATCH($C193,'المواد الخام'!$A$5:$A$104,0)),IFERROR(INDEX(المنتجات!$C$5:$C$24,MATCH($C193,المنتجات!$A$5:$A$24,0)),"كود غير موجود")))</f>
        <v/>
      </c>
      <c r="E193" s="24"/>
      <c r="F193" s="28" t="str">
        <f aca="false">IF($C193="","",IFERROR(INDEX('المواد الخام'!$D$5:$D$104,MATCH($C193,'المواد الخام'!$A$5:$A$104,0)),"حبة"))</f>
        <v/>
      </c>
      <c r="G193" s="30"/>
      <c r="H193" s="29"/>
      <c r="I193" s="29"/>
    </row>
    <row r="194" customFormat="false" ht="15" hidden="false" customHeight="false" outlineLevel="0" collapsed="false">
      <c r="A194" s="32"/>
      <c r="B194" s="29"/>
      <c r="C194" s="29"/>
      <c r="D194" s="28" t="str">
        <f aca="false">IF($C194="","",IFERROR(INDEX('المواد الخام'!$B$5:$B$104,MATCH($C194,'المواد الخام'!$A$5:$A$104,0)),IFERROR(INDEX(المنتجات!$C$5:$C$24,MATCH($C194,المنتجات!$A$5:$A$24,0)),"كود غير موجود")))</f>
        <v/>
      </c>
      <c r="E194" s="24"/>
      <c r="F194" s="28" t="str">
        <f aca="false">IF($C194="","",IFERROR(INDEX('المواد الخام'!$D$5:$D$104,MATCH($C194,'المواد الخام'!$A$5:$A$104,0)),"حبة"))</f>
        <v/>
      </c>
      <c r="G194" s="30"/>
      <c r="H194" s="29"/>
      <c r="I194" s="29"/>
    </row>
    <row r="195" customFormat="false" ht="15" hidden="false" customHeight="false" outlineLevel="0" collapsed="false">
      <c r="A195" s="32"/>
      <c r="B195" s="29"/>
      <c r="C195" s="29"/>
      <c r="D195" s="28" t="str">
        <f aca="false">IF($C195="","",IFERROR(INDEX('المواد الخام'!$B$5:$B$104,MATCH($C195,'المواد الخام'!$A$5:$A$104,0)),IFERROR(INDEX(المنتجات!$C$5:$C$24,MATCH($C195,المنتجات!$A$5:$A$24,0)),"كود غير موجود")))</f>
        <v/>
      </c>
      <c r="E195" s="24"/>
      <c r="F195" s="28" t="str">
        <f aca="false">IF($C195="","",IFERROR(INDEX('المواد الخام'!$D$5:$D$104,MATCH($C195,'المواد الخام'!$A$5:$A$104,0)),"حبة"))</f>
        <v/>
      </c>
      <c r="G195" s="30"/>
      <c r="H195" s="29"/>
      <c r="I195" s="29"/>
    </row>
    <row r="196" customFormat="false" ht="15" hidden="false" customHeight="false" outlineLevel="0" collapsed="false">
      <c r="A196" s="32"/>
      <c r="B196" s="29"/>
      <c r="C196" s="29"/>
      <c r="D196" s="28" t="str">
        <f aca="false">IF($C196="","",IFERROR(INDEX('المواد الخام'!$B$5:$B$104,MATCH($C196,'المواد الخام'!$A$5:$A$104,0)),IFERROR(INDEX(المنتجات!$C$5:$C$24,MATCH($C196,المنتجات!$A$5:$A$24,0)),"كود غير موجود")))</f>
        <v/>
      </c>
      <c r="E196" s="24"/>
      <c r="F196" s="28" t="str">
        <f aca="false">IF($C196="","",IFERROR(INDEX('المواد الخام'!$D$5:$D$104,MATCH($C196,'المواد الخام'!$A$5:$A$104,0)),"حبة"))</f>
        <v/>
      </c>
      <c r="G196" s="30"/>
      <c r="H196" s="29"/>
      <c r="I196" s="29"/>
    </row>
    <row r="197" customFormat="false" ht="15" hidden="false" customHeight="false" outlineLevel="0" collapsed="false">
      <c r="A197" s="32"/>
      <c r="B197" s="29"/>
      <c r="C197" s="29"/>
      <c r="D197" s="28" t="str">
        <f aca="false">IF($C197="","",IFERROR(INDEX('المواد الخام'!$B$5:$B$104,MATCH($C197,'المواد الخام'!$A$5:$A$104,0)),IFERROR(INDEX(المنتجات!$C$5:$C$24,MATCH($C197,المنتجات!$A$5:$A$24,0)),"كود غير موجود")))</f>
        <v/>
      </c>
      <c r="E197" s="24"/>
      <c r="F197" s="28" t="str">
        <f aca="false">IF($C197="","",IFERROR(INDEX('المواد الخام'!$D$5:$D$104,MATCH($C197,'المواد الخام'!$A$5:$A$104,0)),"حبة"))</f>
        <v/>
      </c>
      <c r="G197" s="30"/>
      <c r="H197" s="29"/>
      <c r="I197" s="29"/>
    </row>
    <row r="198" customFormat="false" ht="15" hidden="false" customHeight="false" outlineLevel="0" collapsed="false">
      <c r="A198" s="32"/>
      <c r="B198" s="29"/>
      <c r="C198" s="29"/>
      <c r="D198" s="28" t="str">
        <f aca="false">IF($C198="","",IFERROR(INDEX('المواد الخام'!$B$5:$B$104,MATCH($C198,'المواد الخام'!$A$5:$A$104,0)),IFERROR(INDEX(المنتجات!$C$5:$C$24,MATCH($C198,المنتجات!$A$5:$A$24,0)),"كود غير موجود")))</f>
        <v/>
      </c>
      <c r="E198" s="24"/>
      <c r="F198" s="28" t="str">
        <f aca="false">IF($C198="","",IFERROR(INDEX('المواد الخام'!$D$5:$D$104,MATCH($C198,'المواد الخام'!$A$5:$A$104,0)),"حبة"))</f>
        <v/>
      </c>
      <c r="G198" s="30"/>
      <c r="H198" s="29"/>
      <c r="I198" s="29"/>
    </row>
    <row r="199" customFormat="false" ht="15" hidden="false" customHeight="false" outlineLevel="0" collapsed="false">
      <c r="A199" s="32"/>
      <c r="B199" s="29"/>
      <c r="C199" s="29"/>
      <c r="D199" s="28" t="str">
        <f aca="false">IF($C199="","",IFERROR(INDEX('المواد الخام'!$B$5:$B$104,MATCH($C199,'المواد الخام'!$A$5:$A$104,0)),IFERROR(INDEX(المنتجات!$C$5:$C$24,MATCH($C199,المنتجات!$A$5:$A$24,0)),"كود غير موجود")))</f>
        <v/>
      </c>
      <c r="E199" s="24"/>
      <c r="F199" s="28" t="str">
        <f aca="false">IF($C199="","",IFERROR(INDEX('المواد الخام'!$D$5:$D$104,MATCH($C199,'المواد الخام'!$A$5:$A$104,0)),"حبة"))</f>
        <v/>
      </c>
      <c r="G199" s="30"/>
      <c r="H199" s="29"/>
      <c r="I199" s="29"/>
    </row>
    <row r="200" customFormat="false" ht="15" hidden="false" customHeight="false" outlineLevel="0" collapsed="false">
      <c r="A200" s="32"/>
      <c r="B200" s="29"/>
      <c r="C200" s="29"/>
      <c r="D200" s="28" t="str">
        <f aca="false">IF($C200="","",IFERROR(INDEX('المواد الخام'!$B$5:$B$104,MATCH($C200,'المواد الخام'!$A$5:$A$104,0)),IFERROR(INDEX(المنتجات!$C$5:$C$24,MATCH($C200,المنتجات!$A$5:$A$24,0)),"كود غير موجود")))</f>
        <v/>
      </c>
      <c r="E200" s="24"/>
      <c r="F200" s="28" t="str">
        <f aca="false">IF($C200="","",IFERROR(INDEX('المواد الخام'!$D$5:$D$104,MATCH($C200,'المواد الخام'!$A$5:$A$104,0)),"حبة"))</f>
        <v/>
      </c>
      <c r="G200" s="30"/>
      <c r="H200" s="29"/>
      <c r="I200" s="29"/>
    </row>
    <row r="201" customFormat="false" ht="15" hidden="false" customHeight="false" outlineLevel="0" collapsed="false">
      <c r="A201" s="32"/>
      <c r="B201" s="29"/>
      <c r="C201" s="29"/>
      <c r="D201" s="28" t="str">
        <f aca="false">IF($C201="","",IFERROR(INDEX('المواد الخام'!$B$5:$B$104,MATCH($C201,'المواد الخام'!$A$5:$A$104,0)),IFERROR(INDEX(المنتجات!$C$5:$C$24,MATCH($C201,المنتجات!$A$5:$A$24,0)),"كود غير موجود")))</f>
        <v/>
      </c>
      <c r="E201" s="24"/>
      <c r="F201" s="28" t="str">
        <f aca="false">IF($C201="","",IFERROR(INDEX('المواد الخام'!$D$5:$D$104,MATCH($C201,'المواد الخام'!$A$5:$A$104,0)),"حبة"))</f>
        <v/>
      </c>
      <c r="G201" s="30"/>
      <c r="H201" s="29"/>
      <c r="I201" s="29"/>
    </row>
    <row r="202" customFormat="false" ht="15" hidden="false" customHeight="false" outlineLevel="0" collapsed="false">
      <c r="A202" s="32"/>
      <c r="B202" s="29"/>
      <c r="C202" s="29"/>
      <c r="D202" s="28" t="str">
        <f aca="false">IF($C202="","",IFERROR(INDEX('المواد الخام'!$B$5:$B$104,MATCH($C202,'المواد الخام'!$A$5:$A$104,0)),IFERROR(INDEX(المنتجات!$C$5:$C$24,MATCH($C202,المنتجات!$A$5:$A$24,0)),"كود غير موجود")))</f>
        <v/>
      </c>
      <c r="E202" s="24"/>
      <c r="F202" s="28" t="str">
        <f aca="false">IF($C202="","",IFERROR(INDEX('المواد الخام'!$D$5:$D$104,MATCH($C202,'المواد الخام'!$A$5:$A$104,0)),"حبة"))</f>
        <v/>
      </c>
      <c r="G202" s="30"/>
      <c r="H202" s="29"/>
      <c r="I202" s="29"/>
    </row>
    <row r="203" customFormat="false" ht="15" hidden="false" customHeight="false" outlineLevel="0" collapsed="false">
      <c r="A203" s="32"/>
      <c r="B203" s="29"/>
      <c r="C203" s="29"/>
      <c r="D203" s="28" t="str">
        <f aca="false">IF($C203="","",IFERROR(INDEX('المواد الخام'!$B$5:$B$104,MATCH($C203,'المواد الخام'!$A$5:$A$104,0)),IFERROR(INDEX(المنتجات!$C$5:$C$24,MATCH($C203,المنتجات!$A$5:$A$24,0)),"كود غير موجود")))</f>
        <v/>
      </c>
      <c r="E203" s="24"/>
      <c r="F203" s="28" t="str">
        <f aca="false">IF($C203="","",IFERROR(INDEX('المواد الخام'!$D$5:$D$104,MATCH($C203,'المواد الخام'!$A$5:$A$104,0)),"حبة"))</f>
        <v/>
      </c>
      <c r="G203" s="30"/>
      <c r="H203" s="29"/>
      <c r="I203" s="29"/>
    </row>
    <row r="204" customFormat="false" ht="15" hidden="false" customHeight="false" outlineLevel="0" collapsed="false">
      <c r="A204" s="32"/>
      <c r="B204" s="29"/>
      <c r="C204" s="29"/>
      <c r="D204" s="28" t="str">
        <f aca="false">IF($C204="","",IFERROR(INDEX('المواد الخام'!$B$5:$B$104,MATCH($C204,'المواد الخام'!$A$5:$A$104,0)),IFERROR(INDEX(المنتجات!$C$5:$C$24,MATCH($C204,المنتجات!$A$5:$A$24,0)),"كود غير موجود")))</f>
        <v/>
      </c>
      <c r="E204" s="24"/>
      <c r="F204" s="28" t="str">
        <f aca="false">IF($C204="","",IFERROR(INDEX('المواد الخام'!$D$5:$D$104,MATCH($C204,'المواد الخام'!$A$5:$A$104,0)),"حبة"))</f>
        <v/>
      </c>
      <c r="G204" s="30"/>
      <c r="H204" s="29"/>
      <c r="I204" s="29"/>
    </row>
    <row r="205" customFormat="false" ht="15" hidden="false" customHeight="false" outlineLevel="0" collapsed="false">
      <c r="A205" s="32"/>
      <c r="B205" s="29"/>
      <c r="C205" s="29"/>
      <c r="D205" s="28" t="str">
        <f aca="false">IF($C205="","",IFERROR(INDEX('المواد الخام'!$B$5:$B$104,MATCH($C205,'المواد الخام'!$A$5:$A$104,0)),IFERROR(INDEX(المنتجات!$C$5:$C$24,MATCH($C205,المنتجات!$A$5:$A$24,0)),"كود غير موجود")))</f>
        <v/>
      </c>
      <c r="E205" s="24"/>
      <c r="F205" s="28" t="str">
        <f aca="false">IF($C205="","",IFERROR(INDEX('المواد الخام'!$D$5:$D$104,MATCH($C205,'المواد الخام'!$A$5:$A$104,0)),"حبة"))</f>
        <v/>
      </c>
      <c r="G205" s="30"/>
      <c r="H205" s="29"/>
      <c r="I205" s="29"/>
    </row>
    <row r="206" customFormat="false" ht="15" hidden="false" customHeight="false" outlineLevel="0" collapsed="false">
      <c r="A206" s="32"/>
      <c r="B206" s="29"/>
      <c r="C206" s="29"/>
      <c r="D206" s="28" t="str">
        <f aca="false">IF($C206="","",IFERROR(INDEX('المواد الخام'!$B$5:$B$104,MATCH($C206,'المواد الخام'!$A$5:$A$104,0)),IFERROR(INDEX(المنتجات!$C$5:$C$24,MATCH($C206,المنتجات!$A$5:$A$24,0)),"كود غير موجود")))</f>
        <v/>
      </c>
      <c r="E206" s="24"/>
      <c r="F206" s="28" t="str">
        <f aca="false">IF($C206="","",IFERROR(INDEX('المواد الخام'!$D$5:$D$104,MATCH($C206,'المواد الخام'!$A$5:$A$104,0)),"حبة"))</f>
        <v/>
      </c>
      <c r="G206" s="30"/>
      <c r="H206" s="29"/>
      <c r="I206" s="29"/>
    </row>
    <row r="207" customFormat="false" ht="15" hidden="false" customHeight="false" outlineLevel="0" collapsed="false">
      <c r="A207" s="32"/>
      <c r="B207" s="29"/>
      <c r="C207" s="29"/>
      <c r="D207" s="28" t="str">
        <f aca="false">IF($C207="","",IFERROR(INDEX('المواد الخام'!$B$5:$B$104,MATCH($C207,'المواد الخام'!$A$5:$A$104,0)),IFERROR(INDEX(المنتجات!$C$5:$C$24,MATCH($C207,المنتجات!$A$5:$A$24,0)),"كود غير موجود")))</f>
        <v/>
      </c>
      <c r="E207" s="24"/>
      <c r="F207" s="28" t="str">
        <f aca="false">IF($C207="","",IFERROR(INDEX('المواد الخام'!$D$5:$D$104,MATCH($C207,'المواد الخام'!$A$5:$A$104,0)),"حبة"))</f>
        <v/>
      </c>
      <c r="G207" s="30"/>
      <c r="H207" s="29"/>
      <c r="I207" s="29"/>
    </row>
    <row r="208" customFormat="false" ht="15" hidden="false" customHeight="false" outlineLevel="0" collapsed="false">
      <c r="A208" s="32"/>
      <c r="B208" s="29"/>
      <c r="C208" s="29"/>
      <c r="D208" s="28" t="str">
        <f aca="false">IF($C208="","",IFERROR(INDEX('المواد الخام'!$B$5:$B$104,MATCH($C208,'المواد الخام'!$A$5:$A$104,0)),IFERROR(INDEX(المنتجات!$C$5:$C$24,MATCH($C208,المنتجات!$A$5:$A$24,0)),"كود غير موجود")))</f>
        <v/>
      </c>
      <c r="E208" s="24"/>
      <c r="F208" s="28" t="str">
        <f aca="false">IF($C208="","",IFERROR(INDEX('المواد الخام'!$D$5:$D$104,MATCH($C208,'المواد الخام'!$A$5:$A$104,0)),"حبة"))</f>
        <v/>
      </c>
      <c r="G208" s="30"/>
      <c r="H208" s="29"/>
      <c r="I208" s="29"/>
    </row>
    <row r="209" customFormat="false" ht="15" hidden="false" customHeight="false" outlineLevel="0" collapsed="false">
      <c r="A209" s="32"/>
      <c r="B209" s="29"/>
      <c r="C209" s="29"/>
      <c r="D209" s="28" t="str">
        <f aca="false">IF($C209="","",IFERROR(INDEX('المواد الخام'!$B$5:$B$104,MATCH($C209,'المواد الخام'!$A$5:$A$104,0)),IFERROR(INDEX(المنتجات!$C$5:$C$24,MATCH($C209,المنتجات!$A$5:$A$24,0)),"كود غير موجود")))</f>
        <v/>
      </c>
      <c r="E209" s="24"/>
      <c r="F209" s="28" t="str">
        <f aca="false">IF($C209="","",IFERROR(INDEX('المواد الخام'!$D$5:$D$104,MATCH($C209,'المواد الخام'!$A$5:$A$104,0)),"حبة"))</f>
        <v/>
      </c>
      <c r="G209" s="30"/>
      <c r="H209" s="29"/>
      <c r="I209" s="29"/>
    </row>
    <row r="210" customFormat="false" ht="15" hidden="false" customHeight="false" outlineLevel="0" collapsed="false">
      <c r="A210" s="32"/>
      <c r="B210" s="29"/>
      <c r="C210" s="29"/>
      <c r="D210" s="28" t="str">
        <f aca="false">IF($C210="","",IFERROR(INDEX('المواد الخام'!$B$5:$B$104,MATCH($C210,'المواد الخام'!$A$5:$A$104,0)),IFERROR(INDEX(المنتجات!$C$5:$C$24,MATCH($C210,المنتجات!$A$5:$A$24,0)),"كود غير موجود")))</f>
        <v/>
      </c>
      <c r="E210" s="24"/>
      <c r="F210" s="28" t="str">
        <f aca="false">IF($C210="","",IFERROR(INDEX('المواد الخام'!$D$5:$D$104,MATCH($C210,'المواد الخام'!$A$5:$A$104,0)),"حبة"))</f>
        <v/>
      </c>
      <c r="G210" s="30"/>
      <c r="H210" s="29"/>
      <c r="I210" s="29"/>
    </row>
    <row r="211" customFormat="false" ht="15" hidden="false" customHeight="false" outlineLevel="0" collapsed="false">
      <c r="A211" s="32"/>
      <c r="B211" s="29"/>
      <c r="C211" s="29"/>
      <c r="D211" s="28" t="str">
        <f aca="false">IF($C211="","",IFERROR(INDEX('المواد الخام'!$B$5:$B$104,MATCH($C211,'المواد الخام'!$A$5:$A$104,0)),IFERROR(INDEX(المنتجات!$C$5:$C$24,MATCH($C211,المنتجات!$A$5:$A$24,0)),"كود غير موجود")))</f>
        <v/>
      </c>
      <c r="E211" s="24"/>
      <c r="F211" s="28" t="str">
        <f aca="false">IF($C211="","",IFERROR(INDEX('المواد الخام'!$D$5:$D$104,MATCH($C211,'المواد الخام'!$A$5:$A$104,0)),"حبة"))</f>
        <v/>
      </c>
      <c r="G211" s="30"/>
      <c r="H211" s="29"/>
      <c r="I211" s="29"/>
    </row>
    <row r="212" customFormat="false" ht="15" hidden="false" customHeight="false" outlineLevel="0" collapsed="false">
      <c r="A212" s="32"/>
      <c r="B212" s="29"/>
      <c r="C212" s="29"/>
      <c r="D212" s="28" t="str">
        <f aca="false">IF($C212="","",IFERROR(INDEX('المواد الخام'!$B$5:$B$104,MATCH($C212,'المواد الخام'!$A$5:$A$104,0)),IFERROR(INDEX(المنتجات!$C$5:$C$24,MATCH($C212,المنتجات!$A$5:$A$24,0)),"كود غير موجود")))</f>
        <v/>
      </c>
      <c r="E212" s="24"/>
      <c r="F212" s="28" t="str">
        <f aca="false">IF($C212="","",IFERROR(INDEX('المواد الخام'!$D$5:$D$104,MATCH($C212,'المواد الخام'!$A$5:$A$104,0)),"حبة"))</f>
        <v/>
      </c>
      <c r="G212" s="30"/>
      <c r="H212" s="29"/>
      <c r="I212" s="29"/>
    </row>
    <row r="213" customFormat="false" ht="15" hidden="false" customHeight="false" outlineLevel="0" collapsed="false">
      <c r="A213" s="32"/>
      <c r="B213" s="29"/>
      <c r="C213" s="29"/>
      <c r="D213" s="28" t="str">
        <f aca="false">IF($C213="","",IFERROR(INDEX('المواد الخام'!$B$5:$B$104,MATCH($C213,'المواد الخام'!$A$5:$A$104,0)),IFERROR(INDEX(المنتجات!$C$5:$C$24,MATCH($C213,المنتجات!$A$5:$A$24,0)),"كود غير موجود")))</f>
        <v/>
      </c>
      <c r="E213" s="24"/>
      <c r="F213" s="28" t="str">
        <f aca="false">IF($C213="","",IFERROR(INDEX('المواد الخام'!$D$5:$D$104,MATCH($C213,'المواد الخام'!$A$5:$A$104,0)),"حبة"))</f>
        <v/>
      </c>
      <c r="G213" s="30"/>
      <c r="H213" s="29"/>
      <c r="I213" s="29"/>
    </row>
    <row r="214" customFormat="false" ht="15" hidden="false" customHeight="false" outlineLevel="0" collapsed="false">
      <c r="A214" s="32"/>
      <c r="B214" s="29"/>
      <c r="C214" s="29"/>
      <c r="D214" s="28" t="str">
        <f aca="false">IF($C214="","",IFERROR(INDEX('المواد الخام'!$B$5:$B$104,MATCH($C214,'المواد الخام'!$A$5:$A$104,0)),IFERROR(INDEX(المنتجات!$C$5:$C$24,MATCH($C214,المنتجات!$A$5:$A$24,0)),"كود غير موجود")))</f>
        <v/>
      </c>
      <c r="E214" s="24"/>
      <c r="F214" s="28" t="str">
        <f aca="false">IF($C214="","",IFERROR(INDEX('المواد الخام'!$D$5:$D$104,MATCH($C214,'المواد الخام'!$A$5:$A$104,0)),"حبة"))</f>
        <v/>
      </c>
      <c r="G214" s="30"/>
      <c r="H214" s="29"/>
      <c r="I214" s="29"/>
    </row>
    <row r="215" customFormat="false" ht="15" hidden="false" customHeight="false" outlineLevel="0" collapsed="false">
      <c r="A215" s="32"/>
      <c r="B215" s="29"/>
      <c r="C215" s="29"/>
      <c r="D215" s="28" t="str">
        <f aca="false">IF($C215="","",IFERROR(INDEX('المواد الخام'!$B$5:$B$104,MATCH($C215,'المواد الخام'!$A$5:$A$104,0)),IFERROR(INDEX(المنتجات!$C$5:$C$24,MATCH($C215,المنتجات!$A$5:$A$24,0)),"كود غير موجود")))</f>
        <v/>
      </c>
      <c r="E215" s="24"/>
      <c r="F215" s="28" t="str">
        <f aca="false">IF($C215="","",IFERROR(INDEX('المواد الخام'!$D$5:$D$104,MATCH($C215,'المواد الخام'!$A$5:$A$104,0)),"حبة"))</f>
        <v/>
      </c>
      <c r="G215" s="30"/>
      <c r="H215" s="29"/>
      <c r="I215" s="29"/>
    </row>
    <row r="216" customFormat="false" ht="15" hidden="false" customHeight="false" outlineLevel="0" collapsed="false">
      <c r="A216" s="32"/>
      <c r="B216" s="29"/>
      <c r="C216" s="29"/>
      <c r="D216" s="28" t="str">
        <f aca="false">IF($C216="","",IFERROR(INDEX('المواد الخام'!$B$5:$B$104,MATCH($C216,'المواد الخام'!$A$5:$A$104,0)),IFERROR(INDEX(المنتجات!$C$5:$C$24,MATCH($C216,المنتجات!$A$5:$A$24,0)),"كود غير موجود")))</f>
        <v/>
      </c>
      <c r="E216" s="24"/>
      <c r="F216" s="28" t="str">
        <f aca="false">IF($C216="","",IFERROR(INDEX('المواد الخام'!$D$5:$D$104,MATCH($C216,'المواد الخام'!$A$5:$A$104,0)),"حبة"))</f>
        <v/>
      </c>
      <c r="G216" s="30"/>
      <c r="H216" s="29"/>
      <c r="I216" s="29"/>
    </row>
    <row r="217" customFormat="false" ht="15" hidden="false" customHeight="false" outlineLevel="0" collapsed="false">
      <c r="A217" s="32"/>
      <c r="B217" s="29"/>
      <c r="C217" s="29"/>
      <c r="D217" s="28" t="str">
        <f aca="false">IF($C217="","",IFERROR(INDEX('المواد الخام'!$B$5:$B$104,MATCH($C217,'المواد الخام'!$A$5:$A$104,0)),IFERROR(INDEX(المنتجات!$C$5:$C$24,MATCH($C217,المنتجات!$A$5:$A$24,0)),"كود غير موجود")))</f>
        <v/>
      </c>
      <c r="E217" s="24"/>
      <c r="F217" s="28" t="str">
        <f aca="false">IF($C217="","",IFERROR(INDEX('المواد الخام'!$D$5:$D$104,MATCH($C217,'المواد الخام'!$A$5:$A$104,0)),"حبة"))</f>
        <v/>
      </c>
      <c r="G217" s="30"/>
      <c r="H217" s="29"/>
      <c r="I217" s="29"/>
    </row>
    <row r="218" customFormat="false" ht="15" hidden="false" customHeight="false" outlineLevel="0" collapsed="false">
      <c r="A218" s="32"/>
      <c r="B218" s="29"/>
      <c r="C218" s="29"/>
      <c r="D218" s="28" t="str">
        <f aca="false">IF($C218="","",IFERROR(INDEX('المواد الخام'!$B$5:$B$104,MATCH($C218,'المواد الخام'!$A$5:$A$104,0)),IFERROR(INDEX(المنتجات!$C$5:$C$24,MATCH($C218,المنتجات!$A$5:$A$24,0)),"كود غير موجود")))</f>
        <v/>
      </c>
      <c r="E218" s="24"/>
      <c r="F218" s="28" t="str">
        <f aca="false">IF($C218="","",IFERROR(INDEX('المواد الخام'!$D$5:$D$104,MATCH($C218,'المواد الخام'!$A$5:$A$104,0)),"حبة"))</f>
        <v/>
      </c>
      <c r="G218" s="30"/>
      <c r="H218" s="29"/>
      <c r="I218" s="29"/>
    </row>
    <row r="219" customFormat="false" ht="15" hidden="false" customHeight="false" outlineLevel="0" collapsed="false">
      <c r="A219" s="32"/>
      <c r="B219" s="29"/>
      <c r="C219" s="29"/>
      <c r="D219" s="28" t="str">
        <f aca="false">IF($C219="","",IFERROR(INDEX('المواد الخام'!$B$5:$B$104,MATCH($C219,'المواد الخام'!$A$5:$A$104,0)),IFERROR(INDEX(المنتجات!$C$5:$C$24,MATCH($C219,المنتجات!$A$5:$A$24,0)),"كود غير موجود")))</f>
        <v/>
      </c>
      <c r="E219" s="24"/>
      <c r="F219" s="28" t="str">
        <f aca="false">IF($C219="","",IFERROR(INDEX('المواد الخام'!$D$5:$D$104,MATCH($C219,'المواد الخام'!$A$5:$A$104,0)),"حبة"))</f>
        <v/>
      </c>
      <c r="G219" s="30"/>
      <c r="H219" s="29"/>
      <c r="I219" s="29"/>
    </row>
    <row r="220" customFormat="false" ht="15" hidden="false" customHeight="false" outlineLevel="0" collapsed="false">
      <c r="A220" s="32"/>
      <c r="B220" s="29"/>
      <c r="C220" s="29"/>
      <c r="D220" s="28" t="str">
        <f aca="false">IF($C220="","",IFERROR(INDEX('المواد الخام'!$B$5:$B$104,MATCH($C220,'المواد الخام'!$A$5:$A$104,0)),IFERROR(INDEX(المنتجات!$C$5:$C$24,MATCH($C220,المنتجات!$A$5:$A$24,0)),"كود غير موجود")))</f>
        <v/>
      </c>
      <c r="E220" s="24"/>
      <c r="F220" s="28" t="str">
        <f aca="false">IF($C220="","",IFERROR(INDEX('المواد الخام'!$D$5:$D$104,MATCH($C220,'المواد الخام'!$A$5:$A$104,0)),"حبة"))</f>
        <v/>
      </c>
      <c r="G220" s="30"/>
      <c r="H220" s="29"/>
      <c r="I220" s="29"/>
    </row>
    <row r="221" customFormat="false" ht="15" hidden="false" customHeight="false" outlineLevel="0" collapsed="false">
      <c r="A221" s="32"/>
      <c r="B221" s="29"/>
      <c r="C221" s="29"/>
      <c r="D221" s="28" t="str">
        <f aca="false">IF($C221="","",IFERROR(INDEX('المواد الخام'!$B$5:$B$104,MATCH($C221,'المواد الخام'!$A$5:$A$104,0)),IFERROR(INDEX(المنتجات!$C$5:$C$24,MATCH($C221,المنتجات!$A$5:$A$24,0)),"كود غير موجود")))</f>
        <v/>
      </c>
      <c r="E221" s="24"/>
      <c r="F221" s="28" t="str">
        <f aca="false">IF($C221="","",IFERROR(INDEX('المواد الخام'!$D$5:$D$104,MATCH($C221,'المواد الخام'!$A$5:$A$104,0)),"حبة"))</f>
        <v/>
      </c>
      <c r="G221" s="30"/>
      <c r="H221" s="29"/>
      <c r="I221" s="29"/>
    </row>
    <row r="222" customFormat="false" ht="15" hidden="false" customHeight="false" outlineLevel="0" collapsed="false">
      <c r="A222" s="32"/>
      <c r="B222" s="29"/>
      <c r="C222" s="29"/>
      <c r="D222" s="28" t="str">
        <f aca="false">IF($C222="","",IFERROR(INDEX('المواد الخام'!$B$5:$B$104,MATCH($C222,'المواد الخام'!$A$5:$A$104,0)),IFERROR(INDEX(المنتجات!$C$5:$C$24,MATCH($C222,المنتجات!$A$5:$A$24,0)),"كود غير موجود")))</f>
        <v/>
      </c>
      <c r="E222" s="24"/>
      <c r="F222" s="28" t="str">
        <f aca="false">IF($C222="","",IFERROR(INDEX('المواد الخام'!$D$5:$D$104,MATCH($C222,'المواد الخام'!$A$5:$A$104,0)),"حبة"))</f>
        <v/>
      </c>
      <c r="G222" s="30"/>
      <c r="H222" s="29"/>
      <c r="I222" s="29"/>
    </row>
    <row r="223" customFormat="false" ht="15" hidden="false" customHeight="false" outlineLevel="0" collapsed="false">
      <c r="A223" s="32"/>
      <c r="B223" s="29"/>
      <c r="C223" s="29"/>
      <c r="D223" s="28" t="str">
        <f aca="false">IF($C223="","",IFERROR(INDEX('المواد الخام'!$B$5:$B$104,MATCH($C223,'المواد الخام'!$A$5:$A$104,0)),IFERROR(INDEX(المنتجات!$C$5:$C$24,MATCH($C223,المنتجات!$A$5:$A$24,0)),"كود غير موجود")))</f>
        <v/>
      </c>
      <c r="E223" s="24"/>
      <c r="F223" s="28" t="str">
        <f aca="false">IF($C223="","",IFERROR(INDEX('المواد الخام'!$D$5:$D$104,MATCH($C223,'المواد الخام'!$A$5:$A$104,0)),"حبة"))</f>
        <v/>
      </c>
      <c r="G223" s="30"/>
      <c r="H223" s="29"/>
      <c r="I223" s="29"/>
    </row>
    <row r="224" customFormat="false" ht="15" hidden="false" customHeight="false" outlineLevel="0" collapsed="false">
      <c r="A224" s="32"/>
      <c r="B224" s="29"/>
      <c r="C224" s="29"/>
      <c r="D224" s="28" t="str">
        <f aca="false">IF($C224="","",IFERROR(INDEX('المواد الخام'!$B$5:$B$104,MATCH($C224,'المواد الخام'!$A$5:$A$104,0)),IFERROR(INDEX(المنتجات!$C$5:$C$24,MATCH($C224,المنتجات!$A$5:$A$24,0)),"كود غير موجود")))</f>
        <v/>
      </c>
      <c r="E224" s="24"/>
      <c r="F224" s="28" t="str">
        <f aca="false">IF($C224="","",IFERROR(INDEX('المواد الخام'!$D$5:$D$104,MATCH($C224,'المواد الخام'!$A$5:$A$104,0)),"حبة"))</f>
        <v/>
      </c>
      <c r="G224" s="30"/>
      <c r="H224" s="29"/>
      <c r="I224" s="29"/>
    </row>
    <row r="225" customFormat="false" ht="15" hidden="false" customHeight="false" outlineLevel="0" collapsed="false">
      <c r="A225" s="32"/>
      <c r="B225" s="29"/>
      <c r="C225" s="29"/>
      <c r="D225" s="28" t="str">
        <f aca="false">IF($C225="","",IFERROR(INDEX('المواد الخام'!$B$5:$B$104,MATCH($C225,'المواد الخام'!$A$5:$A$104,0)),IFERROR(INDEX(المنتجات!$C$5:$C$24,MATCH($C225,المنتجات!$A$5:$A$24,0)),"كود غير موجود")))</f>
        <v/>
      </c>
      <c r="E225" s="24"/>
      <c r="F225" s="28" t="str">
        <f aca="false">IF($C225="","",IFERROR(INDEX('المواد الخام'!$D$5:$D$104,MATCH($C225,'المواد الخام'!$A$5:$A$104,0)),"حبة"))</f>
        <v/>
      </c>
      <c r="G225" s="30"/>
      <c r="H225" s="29"/>
      <c r="I225" s="29"/>
    </row>
    <row r="226" customFormat="false" ht="15" hidden="false" customHeight="false" outlineLevel="0" collapsed="false">
      <c r="A226" s="32"/>
      <c r="B226" s="29"/>
      <c r="C226" s="29"/>
      <c r="D226" s="28" t="str">
        <f aca="false">IF($C226="","",IFERROR(INDEX('المواد الخام'!$B$5:$B$104,MATCH($C226,'المواد الخام'!$A$5:$A$104,0)),IFERROR(INDEX(المنتجات!$C$5:$C$24,MATCH($C226,المنتجات!$A$5:$A$24,0)),"كود غير موجود")))</f>
        <v/>
      </c>
      <c r="E226" s="24"/>
      <c r="F226" s="28" t="str">
        <f aca="false">IF($C226="","",IFERROR(INDEX('المواد الخام'!$D$5:$D$104,MATCH($C226,'المواد الخام'!$A$5:$A$104,0)),"حبة"))</f>
        <v/>
      </c>
      <c r="G226" s="30"/>
      <c r="H226" s="29"/>
      <c r="I226" s="29"/>
    </row>
    <row r="227" customFormat="false" ht="15" hidden="false" customHeight="false" outlineLevel="0" collapsed="false">
      <c r="A227" s="32"/>
      <c r="B227" s="29"/>
      <c r="C227" s="29"/>
      <c r="D227" s="28" t="str">
        <f aca="false">IF($C227="","",IFERROR(INDEX('المواد الخام'!$B$5:$B$104,MATCH($C227,'المواد الخام'!$A$5:$A$104,0)),IFERROR(INDEX(المنتجات!$C$5:$C$24,MATCH($C227,المنتجات!$A$5:$A$24,0)),"كود غير موجود")))</f>
        <v/>
      </c>
      <c r="E227" s="24"/>
      <c r="F227" s="28" t="str">
        <f aca="false">IF($C227="","",IFERROR(INDEX('المواد الخام'!$D$5:$D$104,MATCH($C227,'المواد الخام'!$A$5:$A$104,0)),"حبة"))</f>
        <v/>
      </c>
      <c r="G227" s="30"/>
      <c r="H227" s="29"/>
      <c r="I227" s="29"/>
    </row>
    <row r="228" customFormat="false" ht="15" hidden="false" customHeight="false" outlineLevel="0" collapsed="false">
      <c r="A228" s="32"/>
      <c r="B228" s="29"/>
      <c r="C228" s="29"/>
      <c r="D228" s="28" t="str">
        <f aca="false">IF($C228="","",IFERROR(INDEX('المواد الخام'!$B$5:$B$104,MATCH($C228,'المواد الخام'!$A$5:$A$104,0)),IFERROR(INDEX(المنتجات!$C$5:$C$24,MATCH($C228,المنتجات!$A$5:$A$24,0)),"كود غير موجود")))</f>
        <v/>
      </c>
      <c r="E228" s="24"/>
      <c r="F228" s="28" t="str">
        <f aca="false">IF($C228="","",IFERROR(INDEX('المواد الخام'!$D$5:$D$104,MATCH($C228,'المواد الخام'!$A$5:$A$104,0)),"حبة"))</f>
        <v/>
      </c>
      <c r="G228" s="30"/>
      <c r="H228" s="29"/>
      <c r="I228" s="29"/>
    </row>
    <row r="229" customFormat="false" ht="15" hidden="false" customHeight="false" outlineLevel="0" collapsed="false">
      <c r="A229" s="32"/>
      <c r="B229" s="29"/>
      <c r="C229" s="29"/>
      <c r="D229" s="28" t="str">
        <f aca="false">IF($C229="","",IFERROR(INDEX('المواد الخام'!$B$5:$B$104,MATCH($C229,'المواد الخام'!$A$5:$A$104,0)),IFERROR(INDEX(المنتجات!$C$5:$C$24,MATCH($C229,المنتجات!$A$5:$A$24,0)),"كود غير موجود")))</f>
        <v/>
      </c>
      <c r="E229" s="24"/>
      <c r="F229" s="28" t="str">
        <f aca="false">IF($C229="","",IFERROR(INDEX('المواد الخام'!$D$5:$D$104,MATCH($C229,'المواد الخام'!$A$5:$A$104,0)),"حبة"))</f>
        <v/>
      </c>
      <c r="G229" s="30"/>
      <c r="H229" s="29"/>
      <c r="I229" s="29"/>
    </row>
    <row r="230" customFormat="false" ht="15" hidden="false" customHeight="false" outlineLevel="0" collapsed="false">
      <c r="A230" s="32"/>
      <c r="B230" s="29"/>
      <c r="C230" s="29"/>
      <c r="D230" s="28" t="str">
        <f aca="false">IF($C230="","",IFERROR(INDEX('المواد الخام'!$B$5:$B$104,MATCH($C230,'المواد الخام'!$A$5:$A$104,0)),IFERROR(INDEX(المنتجات!$C$5:$C$24,MATCH($C230,المنتجات!$A$5:$A$24,0)),"كود غير موجود")))</f>
        <v/>
      </c>
      <c r="E230" s="24"/>
      <c r="F230" s="28" t="str">
        <f aca="false">IF($C230="","",IFERROR(INDEX('المواد الخام'!$D$5:$D$104,MATCH($C230,'المواد الخام'!$A$5:$A$104,0)),"حبة"))</f>
        <v/>
      </c>
      <c r="G230" s="30"/>
      <c r="H230" s="29"/>
      <c r="I230" s="29"/>
    </row>
    <row r="231" customFormat="false" ht="15" hidden="false" customHeight="false" outlineLevel="0" collapsed="false">
      <c r="A231" s="32"/>
      <c r="B231" s="29"/>
      <c r="C231" s="29"/>
      <c r="D231" s="28" t="str">
        <f aca="false">IF($C231="","",IFERROR(INDEX('المواد الخام'!$B$5:$B$104,MATCH($C231,'المواد الخام'!$A$5:$A$104,0)),IFERROR(INDEX(المنتجات!$C$5:$C$24,MATCH($C231,المنتجات!$A$5:$A$24,0)),"كود غير موجود")))</f>
        <v/>
      </c>
      <c r="E231" s="24"/>
      <c r="F231" s="28" t="str">
        <f aca="false">IF($C231="","",IFERROR(INDEX('المواد الخام'!$D$5:$D$104,MATCH($C231,'المواد الخام'!$A$5:$A$104,0)),"حبة"))</f>
        <v/>
      </c>
      <c r="G231" s="30"/>
      <c r="H231" s="29"/>
      <c r="I231" s="29"/>
    </row>
    <row r="232" customFormat="false" ht="15" hidden="false" customHeight="false" outlineLevel="0" collapsed="false">
      <c r="A232" s="32"/>
      <c r="B232" s="29"/>
      <c r="C232" s="29"/>
      <c r="D232" s="28" t="str">
        <f aca="false">IF($C232="","",IFERROR(INDEX('المواد الخام'!$B$5:$B$104,MATCH($C232,'المواد الخام'!$A$5:$A$104,0)),IFERROR(INDEX(المنتجات!$C$5:$C$24,MATCH($C232,المنتجات!$A$5:$A$24,0)),"كود غير موجود")))</f>
        <v/>
      </c>
      <c r="E232" s="24"/>
      <c r="F232" s="28" t="str">
        <f aca="false">IF($C232="","",IFERROR(INDEX('المواد الخام'!$D$5:$D$104,MATCH($C232,'المواد الخام'!$A$5:$A$104,0)),"حبة"))</f>
        <v/>
      </c>
      <c r="G232" s="30"/>
      <c r="H232" s="29"/>
      <c r="I232" s="29"/>
    </row>
    <row r="233" customFormat="false" ht="15" hidden="false" customHeight="false" outlineLevel="0" collapsed="false">
      <c r="A233" s="32"/>
      <c r="B233" s="29"/>
      <c r="C233" s="29"/>
      <c r="D233" s="28" t="str">
        <f aca="false">IF($C233="","",IFERROR(INDEX('المواد الخام'!$B$5:$B$104,MATCH($C233,'المواد الخام'!$A$5:$A$104,0)),IFERROR(INDEX(المنتجات!$C$5:$C$24,MATCH($C233,المنتجات!$A$5:$A$24,0)),"كود غير موجود")))</f>
        <v/>
      </c>
      <c r="E233" s="24"/>
      <c r="F233" s="28" t="str">
        <f aca="false">IF($C233="","",IFERROR(INDEX('المواد الخام'!$D$5:$D$104,MATCH($C233,'المواد الخام'!$A$5:$A$104,0)),"حبة"))</f>
        <v/>
      </c>
      <c r="G233" s="30"/>
      <c r="H233" s="29"/>
      <c r="I233" s="29"/>
    </row>
    <row r="234" customFormat="false" ht="15" hidden="false" customHeight="false" outlineLevel="0" collapsed="false">
      <c r="A234" s="32"/>
      <c r="B234" s="29"/>
      <c r="C234" s="29"/>
      <c r="D234" s="28" t="str">
        <f aca="false">IF($C234="","",IFERROR(INDEX('المواد الخام'!$B$5:$B$104,MATCH($C234,'المواد الخام'!$A$5:$A$104,0)),IFERROR(INDEX(المنتجات!$C$5:$C$24,MATCH($C234,المنتجات!$A$5:$A$24,0)),"كود غير موجود")))</f>
        <v/>
      </c>
      <c r="E234" s="24"/>
      <c r="F234" s="28" t="str">
        <f aca="false">IF($C234="","",IFERROR(INDEX('المواد الخام'!$D$5:$D$104,MATCH($C234,'المواد الخام'!$A$5:$A$104,0)),"حبة"))</f>
        <v/>
      </c>
      <c r="G234" s="30"/>
      <c r="H234" s="29"/>
      <c r="I234" s="29"/>
    </row>
    <row r="235" customFormat="false" ht="15" hidden="false" customHeight="false" outlineLevel="0" collapsed="false">
      <c r="A235" s="32"/>
      <c r="B235" s="29"/>
      <c r="C235" s="29"/>
      <c r="D235" s="28" t="str">
        <f aca="false">IF($C235="","",IFERROR(INDEX('المواد الخام'!$B$5:$B$104,MATCH($C235,'المواد الخام'!$A$5:$A$104,0)),IFERROR(INDEX(المنتجات!$C$5:$C$24,MATCH($C235,المنتجات!$A$5:$A$24,0)),"كود غير موجود")))</f>
        <v/>
      </c>
      <c r="E235" s="24"/>
      <c r="F235" s="28" t="str">
        <f aca="false">IF($C235="","",IFERROR(INDEX('المواد الخام'!$D$5:$D$104,MATCH($C235,'المواد الخام'!$A$5:$A$104,0)),"حبة"))</f>
        <v/>
      </c>
      <c r="G235" s="30"/>
      <c r="H235" s="29"/>
      <c r="I235" s="29"/>
    </row>
    <row r="236" customFormat="false" ht="15" hidden="false" customHeight="false" outlineLevel="0" collapsed="false">
      <c r="A236" s="32"/>
      <c r="B236" s="29"/>
      <c r="C236" s="29"/>
      <c r="D236" s="28" t="str">
        <f aca="false">IF($C236="","",IFERROR(INDEX('المواد الخام'!$B$5:$B$104,MATCH($C236,'المواد الخام'!$A$5:$A$104,0)),IFERROR(INDEX(المنتجات!$C$5:$C$24,MATCH($C236,المنتجات!$A$5:$A$24,0)),"كود غير موجود")))</f>
        <v/>
      </c>
      <c r="E236" s="24"/>
      <c r="F236" s="28" t="str">
        <f aca="false">IF($C236="","",IFERROR(INDEX('المواد الخام'!$D$5:$D$104,MATCH($C236,'المواد الخام'!$A$5:$A$104,0)),"حبة"))</f>
        <v/>
      </c>
      <c r="G236" s="30"/>
      <c r="H236" s="29"/>
      <c r="I236" s="29"/>
    </row>
    <row r="237" customFormat="false" ht="15" hidden="false" customHeight="false" outlineLevel="0" collapsed="false">
      <c r="A237" s="32"/>
      <c r="B237" s="29"/>
      <c r="C237" s="29"/>
      <c r="D237" s="28" t="str">
        <f aca="false">IF($C237="","",IFERROR(INDEX('المواد الخام'!$B$5:$B$104,MATCH($C237,'المواد الخام'!$A$5:$A$104,0)),IFERROR(INDEX(المنتجات!$C$5:$C$24,MATCH($C237,المنتجات!$A$5:$A$24,0)),"كود غير موجود")))</f>
        <v/>
      </c>
      <c r="E237" s="24"/>
      <c r="F237" s="28" t="str">
        <f aca="false">IF($C237="","",IFERROR(INDEX('المواد الخام'!$D$5:$D$104,MATCH($C237,'المواد الخام'!$A$5:$A$104,0)),"حبة"))</f>
        <v/>
      </c>
      <c r="G237" s="30"/>
      <c r="H237" s="29"/>
      <c r="I237" s="29"/>
    </row>
    <row r="238" customFormat="false" ht="15" hidden="false" customHeight="false" outlineLevel="0" collapsed="false">
      <c r="A238" s="32"/>
      <c r="B238" s="29"/>
      <c r="C238" s="29"/>
      <c r="D238" s="28" t="str">
        <f aca="false">IF($C238="","",IFERROR(INDEX('المواد الخام'!$B$5:$B$104,MATCH($C238,'المواد الخام'!$A$5:$A$104,0)),IFERROR(INDEX(المنتجات!$C$5:$C$24,MATCH($C238,المنتجات!$A$5:$A$24,0)),"كود غير موجود")))</f>
        <v/>
      </c>
      <c r="E238" s="24"/>
      <c r="F238" s="28" t="str">
        <f aca="false">IF($C238="","",IFERROR(INDEX('المواد الخام'!$D$5:$D$104,MATCH($C238,'المواد الخام'!$A$5:$A$104,0)),"حبة"))</f>
        <v/>
      </c>
      <c r="G238" s="30"/>
      <c r="H238" s="29"/>
      <c r="I238" s="29"/>
    </row>
    <row r="239" customFormat="false" ht="15" hidden="false" customHeight="false" outlineLevel="0" collapsed="false">
      <c r="A239" s="32"/>
      <c r="B239" s="29"/>
      <c r="C239" s="29"/>
      <c r="D239" s="28" t="str">
        <f aca="false">IF($C239="","",IFERROR(INDEX('المواد الخام'!$B$5:$B$104,MATCH($C239,'المواد الخام'!$A$5:$A$104,0)),IFERROR(INDEX(المنتجات!$C$5:$C$24,MATCH($C239,المنتجات!$A$5:$A$24,0)),"كود غير موجود")))</f>
        <v/>
      </c>
      <c r="E239" s="24"/>
      <c r="F239" s="28" t="str">
        <f aca="false">IF($C239="","",IFERROR(INDEX('المواد الخام'!$D$5:$D$104,MATCH($C239,'المواد الخام'!$A$5:$A$104,0)),"حبة"))</f>
        <v/>
      </c>
      <c r="G239" s="30"/>
      <c r="H239" s="29"/>
      <c r="I239" s="29"/>
    </row>
    <row r="240" customFormat="false" ht="15" hidden="false" customHeight="false" outlineLevel="0" collapsed="false">
      <c r="A240" s="32"/>
      <c r="B240" s="29"/>
      <c r="C240" s="29"/>
      <c r="D240" s="28" t="str">
        <f aca="false">IF($C240="","",IFERROR(INDEX('المواد الخام'!$B$5:$B$104,MATCH($C240,'المواد الخام'!$A$5:$A$104,0)),IFERROR(INDEX(المنتجات!$C$5:$C$24,MATCH($C240,المنتجات!$A$5:$A$24,0)),"كود غير موجود")))</f>
        <v/>
      </c>
      <c r="E240" s="24"/>
      <c r="F240" s="28" t="str">
        <f aca="false">IF($C240="","",IFERROR(INDEX('المواد الخام'!$D$5:$D$104,MATCH($C240,'المواد الخام'!$A$5:$A$104,0)),"حبة"))</f>
        <v/>
      </c>
      <c r="G240" s="30"/>
      <c r="H240" s="29"/>
      <c r="I240" s="29"/>
    </row>
    <row r="241" customFormat="false" ht="15" hidden="false" customHeight="false" outlineLevel="0" collapsed="false">
      <c r="A241" s="32"/>
      <c r="B241" s="29"/>
      <c r="C241" s="29"/>
      <c r="D241" s="28" t="str">
        <f aca="false">IF($C241="","",IFERROR(INDEX('المواد الخام'!$B$5:$B$104,MATCH($C241,'المواد الخام'!$A$5:$A$104,0)),IFERROR(INDEX(المنتجات!$C$5:$C$24,MATCH($C241,المنتجات!$A$5:$A$24,0)),"كود غير موجود")))</f>
        <v/>
      </c>
      <c r="E241" s="24"/>
      <c r="F241" s="28" t="str">
        <f aca="false">IF($C241="","",IFERROR(INDEX('المواد الخام'!$D$5:$D$104,MATCH($C241,'المواد الخام'!$A$5:$A$104,0)),"حبة"))</f>
        <v/>
      </c>
      <c r="G241" s="30"/>
      <c r="H241" s="29"/>
      <c r="I241" s="29"/>
    </row>
    <row r="242" customFormat="false" ht="15" hidden="false" customHeight="false" outlineLevel="0" collapsed="false">
      <c r="A242" s="32"/>
      <c r="B242" s="29"/>
      <c r="C242" s="29"/>
      <c r="D242" s="28" t="str">
        <f aca="false">IF($C242="","",IFERROR(INDEX('المواد الخام'!$B$5:$B$104,MATCH($C242,'المواد الخام'!$A$5:$A$104,0)),IFERROR(INDEX(المنتجات!$C$5:$C$24,MATCH($C242,المنتجات!$A$5:$A$24,0)),"كود غير موجود")))</f>
        <v/>
      </c>
      <c r="E242" s="24"/>
      <c r="F242" s="28" t="str">
        <f aca="false">IF($C242="","",IFERROR(INDEX('المواد الخام'!$D$5:$D$104,MATCH($C242,'المواد الخام'!$A$5:$A$104,0)),"حبة"))</f>
        <v/>
      </c>
      <c r="G242" s="30"/>
      <c r="H242" s="29"/>
      <c r="I242" s="29"/>
    </row>
    <row r="243" customFormat="false" ht="15" hidden="false" customHeight="false" outlineLevel="0" collapsed="false">
      <c r="A243" s="32"/>
      <c r="B243" s="29"/>
      <c r="C243" s="29"/>
      <c r="D243" s="28" t="str">
        <f aca="false">IF($C243="","",IFERROR(INDEX('المواد الخام'!$B$5:$B$104,MATCH($C243,'المواد الخام'!$A$5:$A$104,0)),IFERROR(INDEX(المنتجات!$C$5:$C$24,MATCH($C243,المنتجات!$A$5:$A$24,0)),"كود غير موجود")))</f>
        <v/>
      </c>
      <c r="E243" s="24"/>
      <c r="F243" s="28" t="str">
        <f aca="false">IF($C243="","",IFERROR(INDEX('المواد الخام'!$D$5:$D$104,MATCH($C243,'المواد الخام'!$A$5:$A$104,0)),"حبة"))</f>
        <v/>
      </c>
      <c r="G243" s="30"/>
      <c r="H243" s="29"/>
      <c r="I243" s="29"/>
    </row>
    <row r="244" customFormat="false" ht="15" hidden="false" customHeight="false" outlineLevel="0" collapsed="false">
      <c r="A244" s="32"/>
      <c r="B244" s="29"/>
      <c r="C244" s="29"/>
      <c r="D244" s="28" t="str">
        <f aca="false">IF($C244="","",IFERROR(INDEX('المواد الخام'!$B$5:$B$104,MATCH($C244,'المواد الخام'!$A$5:$A$104,0)),IFERROR(INDEX(المنتجات!$C$5:$C$24,MATCH($C244,المنتجات!$A$5:$A$24,0)),"كود غير موجود")))</f>
        <v/>
      </c>
      <c r="E244" s="24"/>
      <c r="F244" s="28" t="str">
        <f aca="false">IF($C244="","",IFERROR(INDEX('المواد الخام'!$D$5:$D$104,MATCH($C244,'المواد الخام'!$A$5:$A$104,0)),"حبة"))</f>
        <v/>
      </c>
      <c r="G244" s="30"/>
      <c r="H244" s="29"/>
      <c r="I244" s="29"/>
    </row>
    <row r="245" customFormat="false" ht="15" hidden="false" customHeight="false" outlineLevel="0" collapsed="false">
      <c r="A245" s="32"/>
      <c r="B245" s="29"/>
      <c r="C245" s="29"/>
      <c r="D245" s="28" t="str">
        <f aca="false">IF($C245="","",IFERROR(INDEX('المواد الخام'!$B$5:$B$104,MATCH($C245,'المواد الخام'!$A$5:$A$104,0)),IFERROR(INDEX(المنتجات!$C$5:$C$24,MATCH($C245,المنتجات!$A$5:$A$24,0)),"كود غير موجود")))</f>
        <v/>
      </c>
      <c r="E245" s="24"/>
      <c r="F245" s="28" t="str">
        <f aca="false">IF($C245="","",IFERROR(INDEX('المواد الخام'!$D$5:$D$104,MATCH($C245,'المواد الخام'!$A$5:$A$104,0)),"حبة"))</f>
        <v/>
      </c>
      <c r="G245" s="30"/>
      <c r="H245" s="29"/>
      <c r="I245" s="29"/>
    </row>
    <row r="246" customFormat="false" ht="15" hidden="false" customHeight="false" outlineLevel="0" collapsed="false">
      <c r="A246" s="32"/>
      <c r="B246" s="29"/>
      <c r="C246" s="29"/>
      <c r="D246" s="28" t="str">
        <f aca="false">IF($C246="","",IFERROR(INDEX('المواد الخام'!$B$5:$B$104,MATCH($C246,'المواد الخام'!$A$5:$A$104,0)),IFERROR(INDEX(المنتجات!$C$5:$C$24,MATCH($C246,المنتجات!$A$5:$A$24,0)),"كود غير موجود")))</f>
        <v/>
      </c>
      <c r="E246" s="24"/>
      <c r="F246" s="28" t="str">
        <f aca="false">IF($C246="","",IFERROR(INDEX('المواد الخام'!$D$5:$D$104,MATCH($C246,'المواد الخام'!$A$5:$A$104,0)),"حبة"))</f>
        <v/>
      </c>
      <c r="G246" s="30"/>
      <c r="H246" s="29"/>
      <c r="I246" s="29"/>
    </row>
    <row r="247" customFormat="false" ht="15" hidden="false" customHeight="false" outlineLevel="0" collapsed="false">
      <c r="A247" s="32"/>
      <c r="B247" s="29"/>
      <c r="C247" s="29"/>
      <c r="D247" s="28" t="str">
        <f aca="false">IF($C247="","",IFERROR(INDEX('المواد الخام'!$B$5:$B$104,MATCH($C247,'المواد الخام'!$A$5:$A$104,0)),IFERROR(INDEX(المنتجات!$C$5:$C$24,MATCH($C247,المنتجات!$A$5:$A$24,0)),"كود غير موجود")))</f>
        <v/>
      </c>
      <c r="E247" s="24"/>
      <c r="F247" s="28" t="str">
        <f aca="false">IF($C247="","",IFERROR(INDEX('المواد الخام'!$D$5:$D$104,MATCH($C247,'المواد الخام'!$A$5:$A$104,0)),"حبة"))</f>
        <v/>
      </c>
      <c r="G247" s="30"/>
      <c r="H247" s="29"/>
      <c r="I247" s="29"/>
    </row>
    <row r="248" customFormat="false" ht="15" hidden="false" customHeight="false" outlineLevel="0" collapsed="false">
      <c r="A248" s="32"/>
      <c r="B248" s="29"/>
      <c r="C248" s="29"/>
      <c r="D248" s="28" t="str">
        <f aca="false">IF($C248="","",IFERROR(INDEX('المواد الخام'!$B$5:$B$104,MATCH($C248,'المواد الخام'!$A$5:$A$104,0)),IFERROR(INDEX(المنتجات!$C$5:$C$24,MATCH($C248,المنتجات!$A$5:$A$24,0)),"كود غير موجود")))</f>
        <v/>
      </c>
      <c r="E248" s="24"/>
      <c r="F248" s="28" t="str">
        <f aca="false">IF($C248="","",IFERROR(INDEX('المواد الخام'!$D$5:$D$104,MATCH($C248,'المواد الخام'!$A$5:$A$104,0)),"حبة"))</f>
        <v/>
      </c>
      <c r="G248" s="30"/>
      <c r="H248" s="29"/>
      <c r="I248" s="29"/>
    </row>
    <row r="249" customFormat="false" ht="15" hidden="false" customHeight="false" outlineLevel="0" collapsed="false">
      <c r="A249" s="32"/>
      <c r="B249" s="29"/>
      <c r="C249" s="29"/>
      <c r="D249" s="28" t="str">
        <f aca="false">IF($C249="","",IFERROR(INDEX('المواد الخام'!$B$5:$B$104,MATCH($C249,'المواد الخام'!$A$5:$A$104,0)),IFERROR(INDEX(المنتجات!$C$5:$C$24,MATCH($C249,المنتجات!$A$5:$A$24,0)),"كود غير موجود")))</f>
        <v/>
      </c>
      <c r="E249" s="24"/>
      <c r="F249" s="28" t="str">
        <f aca="false">IF($C249="","",IFERROR(INDEX('المواد الخام'!$D$5:$D$104,MATCH($C249,'المواد الخام'!$A$5:$A$104,0)),"حبة"))</f>
        <v/>
      </c>
      <c r="G249" s="30"/>
      <c r="H249" s="29"/>
      <c r="I249" s="29"/>
    </row>
    <row r="250" customFormat="false" ht="15" hidden="false" customHeight="false" outlineLevel="0" collapsed="false">
      <c r="A250" s="32"/>
      <c r="B250" s="29"/>
      <c r="C250" s="29"/>
      <c r="D250" s="28" t="str">
        <f aca="false">IF($C250="","",IFERROR(INDEX('المواد الخام'!$B$5:$B$104,MATCH($C250,'المواد الخام'!$A$5:$A$104,0)),IFERROR(INDEX(المنتجات!$C$5:$C$24,MATCH($C250,المنتجات!$A$5:$A$24,0)),"كود غير موجود")))</f>
        <v/>
      </c>
      <c r="E250" s="24"/>
      <c r="F250" s="28" t="str">
        <f aca="false">IF($C250="","",IFERROR(INDEX('المواد الخام'!$D$5:$D$104,MATCH($C250,'المواد الخام'!$A$5:$A$104,0)),"حبة"))</f>
        <v/>
      </c>
      <c r="G250" s="30"/>
      <c r="H250" s="29"/>
      <c r="I250" s="29"/>
    </row>
    <row r="251" customFormat="false" ht="15" hidden="false" customHeight="false" outlineLevel="0" collapsed="false">
      <c r="A251" s="32"/>
      <c r="B251" s="29"/>
      <c r="C251" s="29"/>
      <c r="D251" s="28" t="str">
        <f aca="false">IF($C251="","",IFERROR(INDEX('المواد الخام'!$B$5:$B$104,MATCH($C251,'المواد الخام'!$A$5:$A$104,0)),IFERROR(INDEX(المنتجات!$C$5:$C$24,MATCH($C251,المنتجات!$A$5:$A$24,0)),"كود غير موجود")))</f>
        <v/>
      </c>
      <c r="E251" s="24"/>
      <c r="F251" s="28" t="str">
        <f aca="false">IF($C251="","",IFERROR(INDEX('المواد الخام'!$D$5:$D$104,MATCH($C251,'المواد الخام'!$A$5:$A$104,0)),"حبة"))</f>
        <v/>
      </c>
      <c r="G251" s="30"/>
      <c r="H251" s="29"/>
      <c r="I251" s="29"/>
    </row>
    <row r="252" customFormat="false" ht="15" hidden="false" customHeight="false" outlineLevel="0" collapsed="false">
      <c r="A252" s="32"/>
      <c r="B252" s="29"/>
      <c r="C252" s="29"/>
      <c r="D252" s="28" t="str">
        <f aca="false">IF($C252="","",IFERROR(INDEX('المواد الخام'!$B$5:$B$104,MATCH($C252,'المواد الخام'!$A$5:$A$104,0)),IFERROR(INDEX(المنتجات!$C$5:$C$24,MATCH($C252,المنتجات!$A$5:$A$24,0)),"كود غير موجود")))</f>
        <v/>
      </c>
      <c r="E252" s="24"/>
      <c r="F252" s="28" t="str">
        <f aca="false">IF($C252="","",IFERROR(INDEX('المواد الخام'!$D$5:$D$104,MATCH($C252,'المواد الخام'!$A$5:$A$104,0)),"حبة"))</f>
        <v/>
      </c>
      <c r="G252" s="30"/>
      <c r="H252" s="29"/>
      <c r="I252" s="29"/>
    </row>
    <row r="253" customFormat="false" ht="15" hidden="false" customHeight="false" outlineLevel="0" collapsed="false">
      <c r="A253" s="32"/>
      <c r="B253" s="29"/>
      <c r="C253" s="29"/>
      <c r="D253" s="28" t="str">
        <f aca="false">IF($C253="","",IFERROR(INDEX('المواد الخام'!$B$5:$B$104,MATCH($C253,'المواد الخام'!$A$5:$A$104,0)),IFERROR(INDEX(المنتجات!$C$5:$C$24,MATCH($C253,المنتجات!$A$5:$A$24,0)),"كود غير موجود")))</f>
        <v/>
      </c>
      <c r="E253" s="24"/>
      <c r="F253" s="28" t="str">
        <f aca="false">IF($C253="","",IFERROR(INDEX('المواد الخام'!$D$5:$D$104,MATCH($C253,'المواد الخام'!$A$5:$A$104,0)),"حبة"))</f>
        <v/>
      </c>
      <c r="G253" s="30"/>
      <c r="H253" s="29"/>
      <c r="I253" s="29"/>
    </row>
    <row r="254" customFormat="false" ht="15" hidden="false" customHeight="false" outlineLevel="0" collapsed="false">
      <c r="A254" s="32"/>
      <c r="B254" s="29"/>
      <c r="C254" s="29"/>
      <c r="D254" s="28" t="str">
        <f aca="false">IF($C254="","",IFERROR(INDEX('المواد الخام'!$B$5:$B$104,MATCH($C254,'المواد الخام'!$A$5:$A$104,0)),IFERROR(INDEX(المنتجات!$C$5:$C$24,MATCH($C254,المنتجات!$A$5:$A$24,0)),"كود غير موجود")))</f>
        <v/>
      </c>
      <c r="E254" s="24"/>
      <c r="F254" s="28" t="str">
        <f aca="false">IF($C254="","",IFERROR(INDEX('المواد الخام'!$D$5:$D$104,MATCH($C254,'المواد الخام'!$A$5:$A$104,0)),"حبة"))</f>
        <v/>
      </c>
      <c r="G254" s="30"/>
      <c r="H254" s="29"/>
      <c r="I254" s="29"/>
    </row>
    <row r="255" customFormat="false" ht="15" hidden="false" customHeight="false" outlineLevel="0" collapsed="false">
      <c r="A255" s="32"/>
      <c r="B255" s="29"/>
      <c r="C255" s="29"/>
      <c r="D255" s="28" t="str">
        <f aca="false">IF($C255="","",IFERROR(INDEX('المواد الخام'!$B$5:$B$104,MATCH($C255,'المواد الخام'!$A$5:$A$104,0)),IFERROR(INDEX(المنتجات!$C$5:$C$24,MATCH($C255,المنتجات!$A$5:$A$24,0)),"كود غير موجود")))</f>
        <v/>
      </c>
      <c r="E255" s="24"/>
      <c r="F255" s="28" t="str">
        <f aca="false">IF($C255="","",IFERROR(INDEX('المواد الخام'!$D$5:$D$104,MATCH($C255,'المواد الخام'!$A$5:$A$104,0)),"حبة"))</f>
        <v/>
      </c>
      <c r="G255" s="30"/>
      <c r="H255" s="29"/>
      <c r="I255" s="29"/>
    </row>
    <row r="256" customFormat="false" ht="15" hidden="false" customHeight="false" outlineLevel="0" collapsed="false">
      <c r="A256" s="32"/>
      <c r="B256" s="29"/>
      <c r="C256" s="29"/>
      <c r="D256" s="28" t="str">
        <f aca="false">IF($C256="","",IFERROR(INDEX('المواد الخام'!$B$5:$B$104,MATCH($C256,'المواد الخام'!$A$5:$A$104,0)),IFERROR(INDEX(المنتجات!$C$5:$C$24,MATCH($C256,المنتجات!$A$5:$A$24,0)),"كود غير موجود")))</f>
        <v/>
      </c>
      <c r="E256" s="24"/>
      <c r="F256" s="28" t="str">
        <f aca="false">IF($C256="","",IFERROR(INDEX('المواد الخام'!$D$5:$D$104,MATCH($C256,'المواد الخام'!$A$5:$A$104,0)),"حبة"))</f>
        <v/>
      </c>
      <c r="G256" s="30"/>
      <c r="H256" s="29"/>
      <c r="I256" s="29"/>
    </row>
    <row r="257" customFormat="false" ht="15" hidden="false" customHeight="false" outlineLevel="0" collapsed="false">
      <c r="A257" s="32"/>
      <c r="B257" s="29"/>
      <c r="C257" s="29"/>
      <c r="D257" s="28" t="str">
        <f aca="false">IF($C257="","",IFERROR(INDEX('المواد الخام'!$B$5:$B$104,MATCH($C257,'المواد الخام'!$A$5:$A$104,0)),IFERROR(INDEX(المنتجات!$C$5:$C$24,MATCH($C257,المنتجات!$A$5:$A$24,0)),"كود غير موجود")))</f>
        <v/>
      </c>
      <c r="E257" s="24"/>
      <c r="F257" s="28" t="str">
        <f aca="false">IF($C257="","",IFERROR(INDEX('المواد الخام'!$D$5:$D$104,MATCH($C257,'المواد الخام'!$A$5:$A$104,0)),"حبة"))</f>
        <v/>
      </c>
      <c r="G257" s="30"/>
      <c r="H257" s="29"/>
      <c r="I257" s="29"/>
    </row>
    <row r="258" customFormat="false" ht="15" hidden="false" customHeight="false" outlineLevel="0" collapsed="false">
      <c r="A258" s="32"/>
      <c r="B258" s="29"/>
      <c r="C258" s="29"/>
      <c r="D258" s="28" t="str">
        <f aca="false">IF($C258="","",IFERROR(INDEX('المواد الخام'!$B$5:$B$104,MATCH($C258,'المواد الخام'!$A$5:$A$104,0)),IFERROR(INDEX(المنتجات!$C$5:$C$24,MATCH($C258,المنتجات!$A$5:$A$24,0)),"كود غير موجود")))</f>
        <v/>
      </c>
      <c r="E258" s="24"/>
      <c r="F258" s="28" t="str">
        <f aca="false">IF($C258="","",IFERROR(INDEX('المواد الخام'!$D$5:$D$104,MATCH($C258,'المواد الخام'!$A$5:$A$104,0)),"حبة"))</f>
        <v/>
      </c>
      <c r="G258" s="30"/>
      <c r="H258" s="29"/>
      <c r="I258" s="29"/>
    </row>
    <row r="259" customFormat="false" ht="15" hidden="false" customHeight="false" outlineLevel="0" collapsed="false">
      <c r="A259" s="32"/>
      <c r="B259" s="29"/>
      <c r="C259" s="29"/>
      <c r="D259" s="28" t="str">
        <f aca="false">IF($C259="","",IFERROR(INDEX('المواد الخام'!$B$5:$B$104,MATCH($C259,'المواد الخام'!$A$5:$A$104,0)),IFERROR(INDEX(المنتجات!$C$5:$C$24,MATCH($C259,المنتجات!$A$5:$A$24,0)),"كود غير موجود")))</f>
        <v/>
      </c>
      <c r="E259" s="24"/>
      <c r="F259" s="28" t="str">
        <f aca="false">IF($C259="","",IFERROR(INDEX('المواد الخام'!$D$5:$D$104,MATCH($C259,'المواد الخام'!$A$5:$A$104,0)),"حبة"))</f>
        <v/>
      </c>
      <c r="G259" s="30"/>
      <c r="H259" s="29"/>
      <c r="I259" s="29"/>
    </row>
    <row r="260" customFormat="false" ht="15" hidden="false" customHeight="false" outlineLevel="0" collapsed="false">
      <c r="A260" s="32"/>
      <c r="B260" s="29"/>
      <c r="C260" s="29"/>
      <c r="D260" s="28" t="str">
        <f aca="false">IF($C260="","",IFERROR(INDEX('المواد الخام'!$B$5:$B$104,MATCH($C260,'المواد الخام'!$A$5:$A$104,0)),IFERROR(INDEX(المنتجات!$C$5:$C$24,MATCH($C260,المنتجات!$A$5:$A$24,0)),"كود غير موجود")))</f>
        <v/>
      </c>
      <c r="E260" s="24"/>
      <c r="F260" s="28" t="str">
        <f aca="false">IF($C260="","",IFERROR(INDEX('المواد الخام'!$D$5:$D$104,MATCH($C260,'المواد الخام'!$A$5:$A$104,0)),"حبة"))</f>
        <v/>
      </c>
      <c r="G260" s="30"/>
      <c r="H260" s="29"/>
      <c r="I260" s="29"/>
    </row>
    <row r="261" customFormat="false" ht="15" hidden="false" customHeight="false" outlineLevel="0" collapsed="false">
      <c r="A261" s="32"/>
      <c r="B261" s="29"/>
      <c r="C261" s="29"/>
      <c r="D261" s="28" t="str">
        <f aca="false">IF($C261="","",IFERROR(INDEX('المواد الخام'!$B$5:$B$104,MATCH($C261,'المواد الخام'!$A$5:$A$104,0)),IFERROR(INDEX(المنتجات!$C$5:$C$24,MATCH($C261,المنتجات!$A$5:$A$24,0)),"كود غير موجود")))</f>
        <v/>
      </c>
      <c r="E261" s="24"/>
      <c r="F261" s="28" t="str">
        <f aca="false">IF($C261="","",IFERROR(INDEX('المواد الخام'!$D$5:$D$104,MATCH($C261,'المواد الخام'!$A$5:$A$104,0)),"حبة"))</f>
        <v/>
      </c>
      <c r="G261" s="30"/>
      <c r="H261" s="29"/>
      <c r="I261" s="29"/>
    </row>
    <row r="262" customFormat="false" ht="15" hidden="false" customHeight="false" outlineLevel="0" collapsed="false">
      <c r="A262" s="32"/>
      <c r="B262" s="29"/>
      <c r="C262" s="29"/>
      <c r="D262" s="28" t="str">
        <f aca="false">IF($C262="","",IFERROR(INDEX('المواد الخام'!$B$5:$B$104,MATCH($C262,'المواد الخام'!$A$5:$A$104,0)),IFERROR(INDEX(المنتجات!$C$5:$C$24,MATCH($C262,المنتجات!$A$5:$A$24,0)),"كود غير موجود")))</f>
        <v/>
      </c>
      <c r="E262" s="24"/>
      <c r="F262" s="28" t="str">
        <f aca="false">IF($C262="","",IFERROR(INDEX('المواد الخام'!$D$5:$D$104,MATCH($C262,'المواد الخام'!$A$5:$A$104,0)),"حبة"))</f>
        <v/>
      </c>
      <c r="G262" s="30"/>
      <c r="H262" s="29"/>
      <c r="I262" s="29"/>
    </row>
    <row r="263" customFormat="false" ht="15" hidden="false" customHeight="false" outlineLevel="0" collapsed="false">
      <c r="A263" s="32"/>
      <c r="B263" s="29"/>
      <c r="C263" s="29"/>
      <c r="D263" s="28" t="str">
        <f aca="false">IF($C263="","",IFERROR(INDEX('المواد الخام'!$B$5:$B$104,MATCH($C263,'المواد الخام'!$A$5:$A$104,0)),IFERROR(INDEX(المنتجات!$C$5:$C$24,MATCH($C263,المنتجات!$A$5:$A$24,0)),"كود غير موجود")))</f>
        <v/>
      </c>
      <c r="E263" s="24"/>
      <c r="F263" s="28" t="str">
        <f aca="false">IF($C263="","",IFERROR(INDEX('المواد الخام'!$D$5:$D$104,MATCH($C263,'المواد الخام'!$A$5:$A$104,0)),"حبة"))</f>
        <v/>
      </c>
      <c r="G263" s="30"/>
      <c r="H263" s="29"/>
      <c r="I263" s="29"/>
    </row>
    <row r="264" customFormat="false" ht="15" hidden="false" customHeight="false" outlineLevel="0" collapsed="false">
      <c r="A264" s="32"/>
      <c r="B264" s="29"/>
      <c r="C264" s="29"/>
      <c r="D264" s="28" t="str">
        <f aca="false">IF($C264="","",IFERROR(INDEX('المواد الخام'!$B$5:$B$104,MATCH($C264,'المواد الخام'!$A$5:$A$104,0)),IFERROR(INDEX(المنتجات!$C$5:$C$24,MATCH($C264,المنتجات!$A$5:$A$24,0)),"كود غير موجود")))</f>
        <v/>
      </c>
      <c r="E264" s="24"/>
      <c r="F264" s="28" t="str">
        <f aca="false">IF($C264="","",IFERROR(INDEX('المواد الخام'!$D$5:$D$104,MATCH($C264,'المواد الخام'!$A$5:$A$104,0)),"حبة"))</f>
        <v/>
      </c>
      <c r="G264" s="30"/>
      <c r="H264" s="29"/>
      <c r="I264" s="29"/>
    </row>
    <row r="265" customFormat="false" ht="15" hidden="false" customHeight="false" outlineLevel="0" collapsed="false">
      <c r="A265" s="32"/>
      <c r="B265" s="29"/>
      <c r="C265" s="29"/>
      <c r="D265" s="28" t="str">
        <f aca="false">IF($C265="","",IFERROR(INDEX('المواد الخام'!$B$5:$B$104,MATCH($C265,'المواد الخام'!$A$5:$A$104,0)),IFERROR(INDEX(المنتجات!$C$5:$C$24,MATCH($C265,المنتجات!$A$5:$A$24,0)),"كود غير موجود")))</f>
        <v/>
      </c>
      <c r="E265" s="24"/>
      <c r="F265" s="28" t="str">
        <f aca="false">IF($C265="","",IFERROR(INDEX('المواد الخام'!$D$5:$D$104,MATCH($C265,'المواد الخام'!$A$5:$A$104,0)),"حبة"))</f>
        <v/>
      </c>
      <c r="G265" s="30"/>
      <c r="H265" s="29"/>
      <c r="I265" s="29"/>
    </row>
    <row r="266" customFormat="false" ht="15" hidden="false" customHeight="false" outlineLevel="0" collapsed="false">
      <c r="A266" s="32"/>
      <c r="B266" s="29"/>
      <c r="C266" s="29"/>
      <c r="D266" s="28" t="str">
        <f aca="false">IF($C266="","",IFERROR(INDEX('المواد الخام'!$B$5:$B$104,MATCH($C266,'المواد الخام'!$A$5:$A$104,0)),IFERROR(INDEX(المنتجات!$C$5:$C$24,MATCH($C266,المنتجات!$A$5:$A$24,0)),"كود غير موجود")))</f>
        <v/>
      </c>
      <c r="E266" s="24"/>
      <c r="F266" s="28" t="str">
        <f aca="false">IF($C266="","",IFERROR(INDEX('المواد الخام'!$D$5:$D$104,MATCH($C266,'المواد الخام'!$A$5:$A$104,0)),"حبة"))</f>
        <v/>
      </c>
      <c r="G266" s="30"/>
      <c r="H266" s="29"/>
      <c r="I266" s="29"/>
    </row>
    <row r="267" customFormat="false" ht="15" hidden="false" customHeight="false" outlineLevel="0" collapsed="false">
      <c r="A267" s="32"/>
      <c r="B267" s="29"/>
      <c r="C267" s="29"/>
      <c r="D267" s="28" t="str">
        <f aca="false">IF($C267="","",IFERROR(INDEX('المواد الخام'!$B$5:$B$104,MATCH($C267,'المواد الخام'!$A$5:$A$104,0)),IFERROR(INDEX(المنتجات!$C$5:$C$24,MATCH($C267,المنتجات!$A$5:$A$24,0)),"كود غير موجود")))</f>
        <v/>
      </c>
      <c r="E267" s="24"/>
      <c r="F267" s="28" t="str">
        <f aca="false">IF($C267="","",IFERROR(INDEX('المواد الخام'!$D$5:$D$104,MATCH($C267,'المواد الخام'!$A$5:$A$104,0)),"حبة"))</f>
        <v/>
      </c>
      <c r="G267" s="30"/>
      <c r="H267" s="29"/>
      <c r="I267" s="29"/>
    </row>
    <row r="268" customFormat="false" ht="15" hidden="false" customHeight="false" outlineLevel="0" collapsed="false">
      <c r="A268" s="32"/>
      <c r="B268" s="29"/>
      <c r="C268" s="29"/>
      <c r="D268" s="28" t="str">
        <f aca="false">IF($C268="","",IFERROR(INDEX('المواد الخام'!$B$5:$B$104,MATCH($C268,'المواد الخام'!$A$5:$A$104,0)),IFERROR(INDEX(المنتجات!$C$5:$C$24,MATCH($C268,المنتجات!$A$5:$A$24,0)),"كود غير موجود")))</f>
        <v/>
      </c>
      <c r="E268" s="24"/>
      <c r="F268" s="28" t="str">
        <f aca="false">IF($C268="","",IFERROR(INDEX('المواد الخام'!$D$5:$D$104,MATCH($C268,'المواد الخام'!$A$5:$A$104,0)),"حبة"))</f>
        <v/>
      </c>
      <c r="G268" s="30"/>
      <c r="H268" s="29"/>
      <c r="I268" s="29"/>
    </row>
    <row r="269" customFormat="false" ht="15" hidden="false" customHeight="false" outlineLevel="0" collapsed="false">
      <c r="A269" s="32"/>
      <c r="B269" s="29"/>
      <c r="C269" s="29"/>
      <c r="D269" s="28" t="str">
        <f aca="false">IF($C269="","",IFERROR(INDEX('المواد الخام'!$B$5:$B$104,MATCH($C269,'المواد الخام'!$A$5:$A$104,0)),IFERROR(INDEX(المنتجات!$C$5:$C$24,MATCH($C269,المنتجات!$A$5:$A$24,0)),"كود غير موجود")))</f>
        <v/>
      </c>
      <c r="E269" s="24"/>
      <c r="F269" s="28" t="str">
        <f aca="false">IF($C269="","",IFERROR(INDEX('المواد الخام'!$D$5:$D$104,MATCH($C269,'المواد الخام'!$A$5:$A$104,0)),"حبة"))</f>
        <v/>
      </c>
      <c r="G269" s="30"/>
      <c r="H269" s="29"/>
      <c r="I269" s="29"/>
    </row>
    <row r="270" customFormat="false" ht="15" hidden="false" customHeight="false" outlineLevel="0" collapsed="false">
      <c r="A270" s="32"/>
      <c r="B270" s="29"/>
      <c r="C270" s="29"/>
      <c r="D270" s="28" t="str">
        <f aca="false">IF($C270="","",IFERROR(INDEX('المواد الخام'!$B$5:$B$104,MATCH($C270,'المواد الخام'!$A$5:$A$104,0)),IFERROR(INDEX(المنتجات!$C$5:$C$24,MATCH($C270,المنتجات!$A$5:$A$24,0)),"كود غير موجود")))</f>
        <v/>
      </c>
      <c r="E270" s="24"/>
      <c r="F270" s="28" t="str">
        <f aca="false">IF($C270="","",IFERROR(INDEX('المواد الخام'!$D$5:$D$104,MATCH($C270,'المواد الخام'!$A$5:$A$104,0)),"حبة"))</f>
        <v/>
      </c>
      <c r="G270" s="30"/>
      <c r="H270" s="29"/>
      <c r="I270" s="29"/>
    </row>
    <row r="271" customFormat="false" ht="15" hidden="false" customHeight="false" outlineLevel="0" collapsed="false">
      <c r="A271" s="32"/>
      <c r="B271" s="29"/>
      <c r="C271" s="29"/>
      <c r="D271" s="28" t="str">
        <f aca="false">IF($C271="","",IFERROR(INDEX('المواد الخام'!$B$5:$B$104,MATCH($C271,'المواد الخام'!$A$5:$A$104,0)),IFERROR(INDEX(المنتجات!$C$5:$C$24,MATCH($C271,المنتجات!$A$5:$A$24,0)),"كود غير موجود")))</f>
        <v/>
      </c>
      <c r="E271" s="24"/>
      <c r="F271" s="28" t="str">
        <f aca="false">IF($C271="","",IFERROR(INDEX('المواد الخام'!$D$5:$D$104,MATCH($C271,'المواد الخام'!$A$5:$A$104,0)),"حبة"))</f>
        <v/>
      </c>
      <c r="G271" s="30"/>
      <c r="H271" s="29"/>
      <c r="I271" s="29"/>
    </row>
    <row r="272" customFormat="false" ht="15" hidden="false" customHeight="false" outlineLevel="0" collapsed="false">
      <c r="A272" s="32"/>
      <c r="B272" s="29"/>
      <c r="C272" s="29"/>
      <c r="D272" s="28" t="str">
        <f aca="false">IF($C272="","",IFERROR(INDEX('المواد الخام'!$B$5:$B$104,MATCH($C272,'المواد الخام'!$A$5:$A$104,0)),IFERROR(INDEX(المنتجات!$C$5:$C$24,MATCH($C272,المنتجات!$A$5:$A$24,0)),"كود غير موجود")))</f>
        <v/>
      </c>
      <c r="E272" s="24"/>
      <c r="F272" s="28" t="str">
        <f aca="false">IF($C272="","",IFERROR(INDEX('المواد الخام'!$D$5:$D$104,MATCH($C272,'المواد الخام'!$A$5:$A$104,0)),"حبة"))</f>
        <v/>
      </c>
      <c r="G272" s="30"/>
      <c r="H272" s="29"/>
      <c r="I272" s="29"/>
    </row>
    <row r="273" customFormat="false" ht="15" hidden="false" customHeight="false" outlineLevel="0" collapsed="false">
      <c r="A273" s="32"/>
      <c r="B273" s="29"/>
      <c r="C273" s="29"/>
      <c r="D273" s="28" t="str">
        <f aca="false">IF($C273="","",IFERROR(INDEX('المواد الخام'!$B$5:$B$104,MATCH($C273,'المواد الخام'!$A$5:$A$104,0)),IFERROR(INDEX(المنتجات!$C$5:$C$24,MATCH($C273,المنتجات!$A$5:$A$24,0)),"كود غير موجود")))</f>
        <v/>
      </c>
      <c r="E273" s="24"/>
      <c r="F273" s="28" t="str">
        <f aca="false">IF($C273="","",IFERROR(INDEX('المواد الخام'!$D$5:$D$104,MATCH($C273,'المواد الخام'!$A$5:$A$104,0)),"حبة"))</f>
        <v/>
      </c>
      <c r="G273" s="30"/>
      <c r="H273" s="29"/>
      <c r="I273" s="29"/>
    </row>
    <row r="274" customFormat="false" ht="15" hidden="false" customHeight="false" outlineLevel="0" collapsed="false">
      <c r="A274" s="32"/>
      <c r="B274" s="29"/>
      <c r="C274" s="29"/>
      <c r="D274" s="28" t="str">
        <f aca="false">IF($C274="","",IFERROR(INDEX('المواد الخام'!$B$5:$B$104,MATCH($C274,'المواد الخام'!$A$5:$A$104,0)),IFERROR(INDEX(المنتجات!$C$5:$C$24,MATCH($C274,المنتجات!$A$5:$A$24,0)),"كود غير موجود")))</f>
        <v/>
      </c>
      <c r="E274" s="24"/>
      <c r="F274" s="28" t="str">
        <f aca="false">IF($C274="","",IFERROR(INDEX('المواد الخام'!$D$5:$D$104,MATCH($C274,'المواد الخام'!$A$5:$A$104,0)),"حبة"))</f>
        <v/>
      </c>
      <c r="G274" s="30"/>
      <c r="H274" s="29"/>
      <c r="I274" s="29"/>
    </row>
    <row r="275" customFormat="false" ht="15" hidden="false" customHeight="false" outlineLevel="0" collapsed="false">
      <c r="A275" s="32"/>
      <c r="B275" s="29"/>
      <c r="C275" s="29"/>
      <c r="D275" s="28" t="str">
        <f aca="false">IF($C275="","",IFERROR(INDEX('المواد الخام'!$B$5:$B$104,MATCH($C275,'المواد الخام'!$A$5:$A$104,0)),IFERROR(INDEX(المنتجات!$C$5:$C$24,MATCH($C275,المنتجات!$A$5:$A$24,0)),"كود غير موجود")))</f>
        <v/>
      </c>
      <c r="E275" s="24"/>
      <c r="F275" s="28" t="str">
        <f aca="false">IF($C275="","",IFERROR(INDEX('المواد الخام'!$D$5:$D$104,MATCH($C275,'المواد الخام'!$A$5:$A$104,0)),"حبة"))</f>
        <v/>
      </c>
      <c r="G275" s="30"/>
      <c r="H275" s="29"/>
      <c r="I275" s="29"/>
    </row>
    <row r="276" customFormat="false" ht="15" hidden="false" customHeight="false" outlineLevel="0" collapsed="false">
      <c r="A276" s="32"/>
      <c r="B276" s="29"/>
      <c r="C276" s="29"/>
      <c r="D276" s="28" t="str">
        <f aca="false">IF($C276="","",IFERROR(INDEX('المواد الخام'!$B$5:$B$104,MATCH($C276,'المواد الخام'!$A$5:$A$104,0)),IFERROR(INDEX(المنتجات!$C$5:$C$24,MATCH($C276,المنتجات!$A$5:$A$24,0)),"كود غير موجود")))</f>
        <v/>
      </c>
      <c r="E276" s="24"/>
      <c r="F276" s="28" t="str">
        <f aca="false">IF($C276="","",IFERROR(INDEX('المواد الخام'!$D$5:$D$104,MATCH($C276,'المواد الخام'!$A$5:$A$104,0)),"حبة"))</f>
        <v/>
      </c>
      <c r="G276" s="30"/>
      <c r="H276" s="29"/>
      <c r="I276" s="29"/>
    </row>
    <row r="277" customFormat="false" ht="15" hidden="false" customHeight="false" outlineLevel="0" collapsed="false">
      <c r="A277" s="32"/>
      <c r="B277" s="29"/>
      <c r="C277" s="29"/>
      <c r="D277" s="28" t="str">
        <f aca="false">IF($C277="","",IFERROR(INDEX('المواد الخام'!$B$5:$B$104,MATCH($C277,'المواد الخام'!$A$5:$A$104,0)),IFERROR(INDEX(المنتجات!$C$5:$C$24,MATCH($C277,المنتجات!$A$5:$A$24,0)),"كود غير موجود")))</f>
        <v/>
      </c>
      <c r="E277" s="24"/>
      <c r="F277" s="28" t="str">
        <f aca="false">IF($C277="","",IFERROR(INDEX('المواد الخام'!$D$5:$D$104,MATCH($C277,'المواد الخام'!$A$5:$A$104,0)),"حبة"))</f>
        <v/>
      </c>
      <c r="G277" s="30"/>
      <c r="H277" s="29"/>
      <c r="I277" s="29"/>
    </row>
    <row r="278" customFormat="false" ht="15" hidden="false" customHeight="false" outlineLevel="0" collapsed="false">
      <c r="A278" s="32"/>
      <c r="B278" s="29"/>
      <c r="C278" s="29"/>
      <c r="D278" s="28" t="str">
        <f aca="false">IF($C278="","",IFERROR(INDEX('المواد الخام'!$B$5:$B$104,MATCH($C278,'المواد الخام'!$A$5:$A$104,0)),IFERROR(INDEX(المنتجات!$C$5:$C$24,MATCH($C278,المنتجات!$A$5:$A$24,0)),"كود غير موجود")))</f>
        <v/>
      </c>
      <c r="E278" s="24"/>
      <c r="F278" s="28" t="str">
        <f aca="false">IF($C278="","",IFERROR(INDEX('المواد الخام'!$D$5:$D$104,MATCH($C278,'المواد الخام'!$A$5:$A$104,0)),"حبة"))</f>
        <v/>
      </c>
      <c r="G278" s="30"/>
      <c r="H278" s="29"/>
      <c r="I278" s="29"/>
    </row>
    <row r="279" customFormat="false" ht="15" hidden="false" customHeight="false" outlineLevel="0" collapsed="false">
      <c r="A279" s="32"/>
      <c r="B279" s="29"/>
      <c r="C279" s="29"/>
      <c r="D279" s="28" t="str">
        <f aca="false">IF($C279="","",IFERROR(INDEX('المواد الخام'!$B$5:$B$104,MATCH($C279,'المواد الخام'!$A$5:$A$104,0)),IFERROR(INDEX(المنتجات!$C$5:$C$24,MATCH($C279,المنتجات!$A$5:$A$24,0)),"كود غير موجود")))</f>
        <v/>
      </c>
      <c r="E279" s="24"/>
      <c r="F279" s="28" t="str">
        <f aca="false">IF($C279="","",IFERROR(INDEX('المواد الخام'!$D$5:$D$104,MATCH($C279,'المواد الخام'!$A$5:$A$104,0)),"حبة"))</f>
        <v/>
      </c>
      <c r="G279" s="30"/>
      <c r="H279" s="29"/>
      <c r="I279" s="29"/>
    </row>
    <row r="280" customFormat="false" ht="15" hidden="false" customHeight="false" outlineLevel="0" collapsed="false">
      <c r="A280" s="32"/>
      <c r="B280" s="29"/>
      <c r="C280" s="29"/>
      <c r="D280" s="28" t="str">
        <f aca="false">IF($C280="","",IFERROR(INDEX('المواد الخام'!$B$5:$B$104,MATCH($C280,'المواد الخام'!$A$5:$A$104,0)),IFERROR(INDEX(المنتجات!$C$5:$C$24,MATCH($C280,المنتجات!$A$5:$A$24,0)),"كود غير موجود")))</f>
        <v/>
      </c>
      <c r="E280" s="24"/>
      <c r="F280" s="28" t="str">
        <f aca="false">IF($C280="","",IFERROR(INDEX('المواد الخام'!$D$5:$D$104,MATCH($C280,'المواد الخام'!$A$5:$A$104,0)),"حبة"))</f>
        <v/>
      </c>
      <c r="G280" s="30"/>
      <c r="H280" s="29"/>
      <c r="I280" s="29"/>
    </row>
    <row r="281" customFormat="false" ht="15" hidden="false" customHeight="false" outlineLevel="0" collapsed="false">
      <c r="A281" s="32"/>
      <c r="B281" s="29"/>
      <c r="C281" s="29"/>
      <c r="D281" s="28" t="str">
        <f aca="false">IF($C281="","",IFERROR(INDEX('المواد الخام'!$B$5:$B$104,MATCH($C281,'المواد الخام'!$A$5:$A$104,0)),IFERROR(INDEX(المنتجات!$C$5:$C$24,MATCH($C281,المنتجات!$A$5:$A$24,0)),"كود غير موجود")))</f>
        <v/>
      </c>
      <c r="E281" s="24"/>
      <c r="F281" s="28" t="str">
        <f aca="false">IF($C281="","",IFERROR(INDEX('المواد الخام'!$D$5:$D$104,MATCH($C281,'المواد الخام'!$A$5:$A$104,0)),"حبة"))</f>
        <v/>
      </c>
      <c r="G281" s="30"/>
      <c r="H281" s="29"/>
      <c r="I281" s="29"/>
    </row>
    <row r="282" customFormat="false" ht="15" hidden="false" customHeight="false" outlineLevel="0" collapsed="false">
      <c r="A282" s="32"/>
      <c r="B282" s="29"/>
      <c r="C282" s="29"/>
      <c r="D282" s="28" t="str">
        <f aca="false">IF($C282="","",IFERROR(INDEX('المواد الخام'!$B$5:$B$104,MATCH($C282,'المواد الخام'!$A$5:$A$104,0)),IFERROR(INDEX(المنتجات!$C$5:$C$24,MATCH($C282,المنتجات!$A$5:$A$24,0)),"كود غير موجود")))</f>
        <v/>
      </c>
      <c r="E282" s="24"/>
      <c r="F282" s="28" t="str">
        <f aca="false">IF($C282="","",IFERROR(INDEX('المواد الخام'!$D$5:$D$104,MATCH($C282,'المواد الخام'!$A$5:$A$104,0)),"حبة"))</f>
        <v/>
      </c>
      <c r="G282" s="30"/>
      <c r="H282" s="29"/>
      <c r="I282" s="29"/>
    </row>
    <row r="283" customFormat="false" ht="15" hidden="false" customHeight="false" outlineLevel="0" collapsed="false">
      <c r="A283" s="32"/>
      <c r="B283" s="29"/>
      <c r="C283" s="29"/>
      <c r="D283" s="28" t="str">
        <f aca="false">IF($C283="","",IFERROR(INDEX('المواد الخام'!$B$5:$B$104,MATCH($C283,'المواد الخام'!$A$5:$A$104,0)),IFERROR(INDEX(المنتجات!$C$5:$C$24,MATCH($C283,المنتجات!$A$5:$A$24,0)),"كود غير موجود")))</f>
        <v/>
      </c>
      <c r="E283" s="24"/>
      <c r="F283" s="28" t="str">
        <f aca="false">IF($C283="","",IFERROR(INDEX('المواد الخام'!$D$5:$D$104,MATCH($C283,'المواد الخام'!$A$5:$A$104,0)),"حبة"))</f>
        <v/>
      </c>
      <c r="G283" s="30"/>
      <c r="H283" s="29"/>
      <c r="I283" s="29"/>
    </row>
    <row r="284" customFormat="false" ht="15" hidden="false" customHeight="false" outlineLevel="0" collapsed="false">
      <c r="A284" s="32"/>
      <c r="B284" s="29"/>
      <c r="C284" s="29"/>
      <c r="D284" s="28" t="str">
        <f aca="false">IF($C284="","",IFERROR(INDEX('المواد الخام'!$B$5:$B$104,MATCH($C284,'المواد الخام'!$A$5:$A$104,0)),IFERROR(INDEX(المنتجات!$C$5:$C$24,MATCH($C284,المنتجات!$A$5:$A$24,0)),"كود غير موجود")))</f>
        <v/>
      </c>
      <c r="E284" s="24"/>
      <c r="F284" s="28" t="str">
        <f aca="false">IF($C284="","",IFERROR(INDEX('المواد الخام'!$D$5:$D$104,MATCH($C284,'المواد الخام'!$A$5:$A$104,0)),"حبة"))</f>
        <v/>
      </c>
      <c r="G284" s="30"/>
      <c r="H284" s="29"/>
      <c r="I284" s="29"/>
    </row>
    <row r="285" customFormat="false" ht="15" hidden="false" customHeight="false" outlineLevel="0" collapsed="false">
      <c r="A285" s="32"/>
      <c r="B285" s="29"/>
      <c r="C285" s="29"/>
      <c r="D285" s="28" t="str">
        <f aca="false">IF($C285="","",IFERROR(INDEX('المواد الخام'!$B$5:$B$104,MATCH($C285,'المواد الخام'!$A$5:$A$104,0)),IFERROR(INDEX(المنتجات!$C$5:$C$24,MATCH($C285,المنتجات!$A$5:$A$24,0)),"كود غير موجود")))</f>
        <v/>
      </c>
      <c r="E285" s="24"/>
      <c r="F285" s="28" t="str">
        <f aca="false">IF($C285="","",IFERROR(INDEX('المواد الخام'!$D$5:$D$104,MATCH($C285,'المواد الخام'!$A$5:$A$104,0)),"حبة"))</f>
        <v/>
      </c>
      <c r="G285" s="30"/>
      <c r="H285" s="29"/>
      <c r="I285" s="29"/>
    </row>
    <row r="286" customFormat="false" ht="15" hidden="false" customHeight="false" outlineLevel="0" collapsed="false">
      <c r="A286" s="32"/>
      <c r="B286" s="29"/>
      <c r="C286" s="29"/>
      <c r="D286" s="28" t="str">
        <f aca="false">IF($C286="","",IFERROR(INDEX('المواد الخام'!$B$5:$B$104,MATCH($C286,'المواد الخام'!$A$5:$A$104,0)),IFERROR(INDEX(المنتجات!$C$5:$C$24,MATCH($C286,المنتجات!$A$5:$A$24,0)),"كود غير موجود")))</f>
        <v/>
      </c>
      <c r="E286" s="24"/>
      <c r="F286" s="28" t="str">
        <f aca="false">IF($C286="","",IFERROR(INDEX('المواد الخام'!$D$5:$D$104,MATCH($C286,'المواد الخام'!$A$5:$A$104,0)),"حبة"))</f>
        <v/>
      </c>
      <c r="G286" s="30"/>
      <c r="H286" s="29"/>
      <c r="I286" s="29"/>
    </row>
    <row r="287" customFormat="false" ht="15" hidden="false" customHeight="false" outlineLevel="0" collapsed="false">
      <c r="A287" s="32"/>
      <c r="B287" s="29"/>
      <c r="C287" s="29"/>
      <c r="D287" s="28" t="str">
        <f aca="false">IF($C287="","",IFERROR(INDEX('المواد الخام'!$B$5:$B$104,MATCH($C287,'المواد الخام'!$A$5:$A$104,0)),IFERROR(INDEX(المنتجات!$C$5:$C$24,MATCH($C287,المنتجات!$A$5:$A$24,0)),"كود غير موجود")))</f>
        <v/>
      </c>
      <c r="E287" s="24"/>
      <c r="F287" s="28" t="str">
        <f aca="false">IF($C287="","",IFERROR(INDEX('المواد الخام'!$D$5:$D$104,MATCH($C287,'المواد الخام'!$A$5:$A$104,0)),"حبة"))</f>
        <v/>
      </c>
      <c r="G287" s="30"/>
      <c r="H287" s="29"/>
      <c r="I287" s="29"/>
    </row>
    <row r="288" customFormat="false" ht="15" hidden="false" customHeight="false" outlineLevel="0" collapsed="false">
      <c r="A288" s="32"/>
      <c r="B288" s="29"/>
      <c r="C288" s="29"/>
      <c r="D288" s="28" t="str">
        <f aca="false">IF($C288="","",IFERROR(INDEX('المواد الخام'!$B$5:$B$104,MATCH($C288,'المواد الخام'!$A$5:$A$104,0)),IFERROR(INDEX(المنتجات!$C$5:$C$24,MATCH($C288,المنتجات!$A$5:$A$24,0)),"كود غير موجود")))</f>
        <v/>
      </c>
      <c r="E288" s="24"/>
      <c r="F288" s="28" t="str">
        <f aca="false">IF($C288="","",IFERROR(INDEX('المواد الخام'!$D$5:$D$104,MATCH($C288,'المواد الخام'!$A$5:$A$104,0)),"حبة"))</f>
        <v/>
      </c>
      <c r="G288" s="30"/>
      <c r="H288" s="29"/>
      <c r="I288" s="29"/>
    </row>
    <row r="289" customFormat="false" ht="15" hidden="false" customHeight="false" outlineLevel="0" collapsed="false">
      <c r="A289" s="32"/>
      <c r="B289" s="29"/>
      <c r="C289" s="29"/>
      <c r="D289" s="28" t="str">
        <f aca="false">IF($C289="","",IFERROR(INDEX('المواد الخام'!$B$5:$B$104,MATCH($C289,'المواد الخام'!$A$5:$A$104,0)),IFERROR(INDEX(المنتجات!$C$5:$C$24,MATCH($C289,المنتجات!$A$5:$A$24,0)),"كود غير موجود")))</f>
        <v/>
      </c>
      <c r="E289" s="24"/>
      <c r="F289" s="28" t="str">
        <f aca="false">IF($C289="","",IFERROR(INDEX('المواد الخام'!$D$5:$D$104,MATCH($C289,'المواد الخام'!$A$5:$A$104,0)),"حبة"))</f>
        <v/>
      </c>
      <c r="G289" s="30"/>
      <c r="H289" s="29"/>
      <c r="I289" s="29"/>
    </row>
    <row r="290" customFormat="false" ht="15" hidden="false" customHeight="false" outlineLevel="0" collapsed="false">
      <c r="A290" s="32"/>
      <c r="B290" s="29"/>
      <c r="C290" s="29"/>
      <c r="D290" s="28" t="str">
        <f aca="false">IF($C290="","",IFERROR(INDEX('المواد الخام'!$B$5:$B$104,MATCH($C290,'المواد الخام'!$A$5:$A$104,0)),IFERROR(INDEX(المنتجات!$C$5:$C$24,MATCH($C290,المنتجات!$A$5:$A$24,0)),"كود غير موجود")))</f>
        <v/>
      </c>
      <c r="E290" s="24"/>
      <c r="F290" s="28" t="str">
        <f aca="false">IF($C290="","",IFERROR(INDEX('المواد الخام'!$D$5:$D$104,MATCH($C290,'المواد الخام'!$A$5:$A$104,0)),"حبة"))</f>
        <v/>
      </c>
      <c r="G290" s="30"/>
      <c r="H290" s="29"/>
      <c r="I290" s="29"/>
    </row>
    <row r="291" customFormat="false" ht="15" hidden="false" customHeight="false" outlineLevel="0" collapsed="false">
      <c r="A291" s="32"/>
      <c r="B291" s="29"/>
      <c r="C291" s="29"/>
      <c r="D291" s="28" t="str">
        <f aca="false">IF($C291="","",IFERROR(INDEX('المواد الخام'!$B$5:$B$104,MATCH($C291,'المواد الخام'!$A$5:$A$104,0)),IFERROR(INDEX(المنتجات!$C$5:$C$24,MATCH($C291,المنتجات!$A$5:$A$24,0)),"كود غير موجود")))</f>
        <v/>
      </c>
      <c r="E291" s="24"/>
      <c r="F291" s="28" t="str">
        <f aca="false">IF($C291="","",IFERROR(INDEX('المواد الخام'!$D$5:$D$104,MATCH($C291,'المواد الخام'!$A$5:$A$104,0)),"حبة"))</f>
        <v/>
      </c>
      <c r="G291" s="30"/>
      <c r="H291" s="29"/>
      <c r="I291" s="29"/>
    </row>
    <row r="292" customFormat="false" ht="15" hidden="false" customHeight="false" outlineLevel="0" collapsed="false">
      <c r="A292" s="32"/>
      <c r="B292" s="29"/>
      <c r="C292" s="29"/>
      <c r="D292" s="28" t="str">
        <f aca="false">IF($C292="","",IFERROR(INDEX('المواد الخام'!$B$5:$B$104,MATCH($C292,'المواد الخام'!$A$5:$A$104,0)),IFERROR(INDEX(المنتجات!$C$5:$C$24,MATCH($C292,المنتجات!$A$5:$A$24,0)),"كود غير موجود")))</f>
        <v/>
      </c>
      <c r="E292" s="24"/>
      <c r="F292" s="28" t="str">
        <f aca="false">IF($C292="","",IFERROR(INDEX('المواد الخام'!$D$5:$D$104,MATCH($C292,'المواد الخام'!$A$5:$A$104,0)),"حبة"))</f>
        <v/>
      </c>
      <c r="G292" s="30"/>
      <c r="H292" s="29"/>
      <c r="I292" s="29"/>
    </row>
    <row r="293" customFormat="false" ht="15" hidden="false" customHeight="false" outlineLevel="0" collapsed="false">
      <c r="A293" s="32"/>
      <c r="B293" s="29"/>
      <c r="C293" s="29"/>
      <c r="D293" s="28" t="str">
        <f aca="false">IF($C293="","",IFERROR(INDEX('المواد الخام'!$B$5:$B$104,MATCH($C293,'المواد الخام'!$A$5:$A$104,0)),IFERROR(INDEX(المنتجات!$C$5:$C$24,MATCH($C293,المنتجات!$A$5:$A$24,0)),"كود غير موجود")))</f>
        <v/>
      </c>
      <c r="E293" s="24"/>
      <c r="F293" s="28" t="str">
        <f aca="false">IF($C293="","",IFERROR(INDEX('المواد الخام'!$D$5:$D$104,MATCH($C293,'المواد الخام'!$A$5:$A$104,0)),"حبة"))</f>
        <v/>
      </c>
      <c r="G293" s="30"/>
      <c r="H293" s="29"/>
      <c r="I293" s="29"/>
    </row>
    <row r="294" customFormat="false" ht="15" hidden="false" customHeight="false" outlineLevel="0" collapsed="false">
      <c r="A294" s="32"/>
      <c r="B294" s="29"/>
      <c r="C294" s="29"/>
      <c r="D294" s="28" t="str">
        <f aca="false">IF($C294="","",IFERROR(INDEX('المواد الخام'!$B$5:$B$104,MATCH($C294,'المواد الخام'!$A$5:$A$104,0)),IFERROR(INDEX(المنتجات!$C$5:$C$24,MATCH($C294,المنتجات!$A$5:$A$24,0)),"كود غير موجود")))</f>
        <v/>
      </c>
      <c r="E294" s="24"/>
      <c r="F294" s="28" t="str">
        <f aca="false">IF($C294="","",IFERROR(INDEX('المواد الخام'!$D$5:$D$104,MATCH($C294,'المواد الخام'!$A$5:$A$104,0)),"حبة"))</f>
        <v/>
      </c>
      <c r="G294" s="30"/>
      <c r="H294" s="29"/>
      <c r="I294" s="29"/>
    </row>
    <row r="295" customFormat="false" ht="15" hidden="false" customHeight="false" outlineLevel="0" collapsed="false">
      <c r="A295" s="32"/>
      <c r="B295" s="29"/>
      <c r="C295" s="29"/>
      <c r="D295" s="28" t="str">
        <f aca="false">IF($C295="","",IFERROR(INDEX('المواد الخام'!$B$5:$B$104,MATCH($C295,'المواد الخام'!$A$5:$A$104,0)),IFERROR(INDEX(المنتجات!$C$5:$C$24,MATCH($C295,المنتجات!$A$5:$A$24,0)),"كود غير موجود")))</f>
        <v/>
      </c>
      <c r="E295" s="24"/>
      <c r="F295" s="28" t="str">
        <f aca="false">IF($C295="","",IFERROR(INDEX('المواد الخام'!$D$5:$D$104,MATCH($C295,'المواد الخام'!$A$5:$A$104,0)),"حبة"))</f>
        <v/>
      </c>
      <c r="G295" s="30"/>
      <c r="H295" s="29"/>
      <c r="I295" s="29"/>
    </row>
    <row r="296" customFormat="false" ht="15" hidden="false" customHeight="false" outlineLevel="0" collapsed="false">
      <c r="A296" s="32"/>
      <c r="B296" s="29"/>
      <c r="C296" s="29"/>
      <c r="D296" s="28" t="str">
        <f aca="false">IF($C296="","",IFERROR(INDEX('المواد الخام'!$B$5:$B$104,MATCH($C296,'المواد الخام'!$A$5:$A$104,0)),IFERROR(INDEX(المنتجات!$C$5:$C$24,MATCH($C296,المنتجات!$A$5:$A$24,0)),"كود غير موجود")))</f>
        <v/>
      </c>
      <c r="E296" s="24"/>
      <c r="F296" s="28" t="str">
        <f aca="false">IF($C296="","",IFERROR(INDEX('المواد الخام'!$D$5:$D$104,MATCH($C296,'المواد الخام'!$A$5:$A$104,0)),"حبة"))</f>
        <v/>
      </c>
      <c r="G296" s="30"/>
      <c r="H296" s="29"/>
      <c r="I296" s="29"/>
    </row>
    <row r="297" customFormat="false" ht="15" hidden="false" customHeight="false" outlineLevel="0" collapsed="false">
      <c r="A297" s="32"/>
      <c r="B297" s="29"/>
      <c r="C297" s="29"/>
      <c r="D297" s="28" t="str">
        <f aca="false">IF($C297="","",IFERROR(INDEX('المواد الخام'!$B$5:$B$104,MATCH($C297,'المواد الخام'!$A$5:$A$104,0)),IFERROR(INDEX(المنتجات!$C$5:$C$24,MATCH($C297,المنتجات!$A$5:$A$24,0)),"كود غير موجود")))</f>
        <v/>
      </c>
      <c r="E297" s="24"/>
      <c r="F297" s="28" t="str">
        <f aca="false">IF($C297="","",IFERROR(INDEX('المواد الخام'!$D$5:$D$104,MATCH($C297,'المواد الخام'!$A$5:$A$104,0)),"حبة"))</f>
        <v/>
      </c>
      <c r="G297" s="30"/>
      <c r="H297" s="29"/>
      <c r="I297" s="29"/>
    </row>
    <row r="298" customFormat="false" ht="15" hidden="false" customHeight="false" outlineLevel="0" collapsed="false">
      <c r="A298" s="32"/>
      <c r="B298" s="29"/>
      <c r="C298" s="29"/>
      <c r="D298" s="28" t="str">
        <f aca="false">IF($C298="","",IFERROR(INDEX('المواد الخام'!$B$5:$B$104,MATCH($C298,'المواد الخام'!$A$5:$A$104,0)),IFERROR(INDEX(المنتجات!$C$5:$C$24,MATCH($C298,المنتجات!$A$5:$A$24,0)),"كود غير موجود")))</f>
        <v/>
      </c>
      <c r="E298" s="24"/>
      <c r="F298" s="28" t="str">
        <f aca="false">IF($C298="","",IFERROR(INDEX('المواد الخام'!$D$5:$D$104,MATCH($C298,'المواد الخام'!$A$5:$A$104,0)),"حبة"))</f>
        <v/>
      </c>
      <c r="G298" s="30"/>
      <c r="H298" s="29"/>
      <c r="I298" s="29"/>
    </row>
    <row r="299" customFormat="false" ht="15" hidden="false" customHeight="false" outlineLevel="0" collapsed="false">
      <c r="A299" s="32"/>
      <c r="B299" s="29"/>
      <c r="C299" s="29"/>
      <c r="D299" s="28" t="str">
        <f aca="false">IF($C299="","",IFERROR(INDEX('المواد الخام'!$B$5:$B$104,MATCH($C299,'المواد الخام'!$A$5:$A$104,0)),IFERROR(INDEX(المنتجات!$C$5:$C$24,MATCH($C299,المنتجات!$A$5:$A$24,0)),"كود غير موجود")))</f>
        <v/>
      </c>
      <c r="E299" s="24"/>
      <c r="F299" s="28" t="str">
        <f aca="false">IF($C299="","",IFERROR(INDEX('المواد الخام'!$D$5:$D$104,MATCH($C299,'المواد الخام'!$A$5:$A$104,0)),"حبة"))</f>
        <v/>
      </c>
      <c r="G299" s="30"/>
      <c r="H299" s="29"/>
      <c r="I299" s="29"/>
    </row>
    <row r="300" customFormat="false" ht="15" hidden="false" customHeight="false" outlineLevel="0" collapsed="false">
      <c r="A300" s="32"/>
      <c r="B300" s="29"/>
      <c r="C300" s="29"/>
      <c r="D300" s="28" t="str">
        <f aca="false">IF($C300="","",IFERROR(INDEX('المواد الخام'!$B$5:$B$104,MATCH($C300,'المواد الخام'!$A$5:$A$104,0)),IFERROR(INDEX(المنتجات!$C$5:$C$24,MATCH($C300,المنتجات!$A$5:$A$24,0)),"كود غير موجود")))</f>
        <v/>
      </c>
      <c r="E300" s="24"/>
      <c r="F300" s="28" t="str">
        <f aca="false">IF($C300="","",IFERROR(INDEX('المواد الخام'!$D$5:$D$104,MATCH($C300,'المواد الخام'!$A$5:$A$104,0)),"حبة"))</f>
        <v/>
      </c>
      <c r="G300" s="30"/>
      <c r="H300" s="29"/>
      <c r="I300" s="29"/>
    </row>
    <row r="301" customFormat="false" ht="15" hidden="false" customHeight="false" outlineLevel="0" collapsed="false">
      <c r="A301" s="32"/>
      <c r="B301" s="29"/>
      <c r="C301" s="29"/>
      <c r="D301" s="28" t="str">
        <f aca="false">IF($C301="","",IFERROR(INDEX('المواد الخام'!$B$5:$B$104,MATCH($C301,'المواد الخام'!$A$5:$A$104,0)),IFERROR(INDEX(المنتجات!$C$5:$C$24,MATCH($C301,المنتجات!$A$5:$A$24,0)),"كود غير موجود")))</f>
        <v/>
      </c>
      <c r="E301" s="24"/>
      <c r="F301" s="28" t="str">
        <f aca="false">IF($C301="","",IFERROR(INDEX('المواد الخام'!$D$5:$D$104,MATCH($C301,'المواد الخام'!$A$5:$A$104,0)),"حبة"))</f>
        <v/>
      </c>
      <c r="G301" s="30"/>
      <c r="H301" s="29"/>
      <c r="I301" s="29"/>
    </row>
    <row r="302" customFormat="false" ht="15" hidden="false" customHeight="false" outlineLevel="0" collapsed="false">
      <c r="A302" s="32"/>
      <c r="B302" s="29"/>
      <c r="C302" s="29"/>
      <c r="D302" s="28" t="str">
        <f aca="false">IF($C302="","",IFERROR(INDEX('المواد الخام'!$B$5:$B$104,MATCH($C302,'المواد الخام'!$A$5:$A$104,0)),IFERROR(INDEX(المنتجات!$C$5:$C$24,MATCH($C302,المنتجات!$A$5:$A$24,0)),"كود غير موجود")))</f>
        <v/>
      </c>
      <c r="E302" s="24"/>
      <c r="F302" s="28" t="str">
        <f aca="false">IF($C302="","",IFERROR(INDEX('المواد الخام'!$D$5:$D$104,MATCH($C302,'المواد الخام'!$A$5:$A$104,0)),"حبة"))</f>
        <v/>
      </c>
      <c r="G302" s="30"/>
      <c r="H302" s="29"/>
      <c r="I302" s="29"/>
    </row>
    <row r="303" customFormat="false" ht="15" hidden="false" customHeight="false" outlineLevel="0" collapsed="false">
      <c r="A303" s="32"/>
      <c r="B303" s="29"/>
      <c r="C303" s="29"/>
      <c r="D303" s="28" t="str">
        <f aca="false">IF($C303="","",IFERROR(INDEX('المواد الخام'!$B$5:$B$104,MATCH($C303,'المواد الخام'!$A$5:$A$104,0)),IFERROR(INDEX(المنتجات!$C$5:$C$24,MATCH($C303,المنتجات!$A$5:$A$24,0)),"كود غير موجود")))</f>
        <v/>
      </c>
      <c r="E303" s="24"/>
      <c r="F303" s="28" t="str">
        <f aca="false">IF($C303="","",IFERROR(INDEX('المواد الخام'!$D$5:$D$104,MATCH($C303,'المواد الخام'!$A$5:$A$104,0)),"حبة"))</f>
        <v/>
      </c>
      <c r="G303" s="30"/>
      <c r="H303" s="29"/>
      <c r="I303" s="29"/>
    </row>
    <row r="304" customFormat="false" ht="15" hidden="false" customHeight="false" outlineLevel="0" collapsed="false">
      <c r="A304" s="32"/>
      <c r="B304" s="29"/>
      <c r="C304" s="29"/>
      <c r="D304" s="28" t="str">
        <f aca="false">IF($C304="","",IFERROR(INDEX('المواد الخام'!$B$5:$B$104,MATCH($C304,'المواد الخام'!$A$5:$A$104,0)),IFERROR(INDEX(المنتجات!$C$5:$C$24,MATCH($C304,المنتجات!$A$5:$A$24,0)),"كود غير موجود")))</f>
        <v/>
      </c>
      <c r="E304" s="24"/>
      <c r="F304" s="28" t="str">
        <f aca="false">IF($C304="","",IFERROR(INDEX('المواد الخام'!$D$5:$D$104,MATCH($C304,'المواد الخام'!$A$5:$A$104,0)),"حبة"))</f>
        <v/>
      </c>
      <c r="G304" s="30"/>
      <c r="H304" s="29"/>
      <c r="I304" s="29"/>
    </row>
    <row r="305" customFormat="false" ht="15" hidden="false" customHeight="false" outlineLevel="0" collapsed="false">
      <c r="A305" s="32"/>
      <c r="B305" s="29"/>
      <c r="C305" s="29"/>
      <c r="D305" s="28" t="str">
        <f aca="false">IF($C305="","",IFERROR(INDEX('المواد الخام'!$B$5:$B$104,MATCH($C305,'المواد الخام'!$A$5:$A$104,0)),IFERROR(INDEX(المنتجات!$C$5:$C$24,MATCH($C305,المنتجات!$A$5:$A$24,0)),"كود غير موجود")))</f>
        <v/>
      </c>
      <c r="E305" s="24"/>
      <c r="F305" s="28" t="str">
        <f aca="false">IF($C305="","",IFERROR(INDEX('المواد الخام'!$D$5:$D$104,MATCH($C305,'المواد الخام'!$A$5:$A$104,0)),"حبة"))</f>
        <v/>
      </c>
      <c r="G305" s="30"/>
      <c r="H305" s="29"/>
      <c r="I305" s="29"/>
    </row>
    <row r="306" customFormat="false" ht="15" hidden="false" customHeight="false" outlineLevel="0" collapsed="false">
      <c r="A306" s="32"/>
      <c r="B306" s="29"/>
      <c r="C306" s="29"/>
      <c r="D306" s="28" t="str">
        <f aca="false">IF($C306="","",IFERROR(INDEX('المواد الخام'!$B$5:$B$104,MATCH($C306,'المواد الخام'!$A$5:$A$104,0)),IFERROR(INDEX(المنتجات!$C$5:$C$24,MATCH($C306,المنتجات!$A$5:$A$24,0)),"كود غير موجود")))</f>
        <v/>
      </c>
      <c r="E306" s="24"/>
      <c r="F306" s="28" t="str">
        <f aca="false">IF($C306="","",IFERROR(INDEX('المواد الخام'!$D$5:$D$104,MATCH($C306,'المواد الخام'!$A$5:$A$104,0)),"حبة"))</f>
        <v/>
      </c>
      <c r="G306" s="30"/>
      <c r="H306" s="29"/>
      <c r="I306" s="29"/>
    </row>
    <row r="307" customFormat="false" ht="15" hidden="false" customHeight="false" outlineLevel="0" collapsed="false">
      <c r="A307" s="32"/>
      <c r="B307" s="29"/>
      <c r="C307" s="29"/>
      <c r="D307" s="28" t="str">
        <f aca="false">IF($C307="","",IFERROR(INDEX('المواد الخام'!$B$5:$B$104,MATCH($C307,'المواد الخام'!$A$5:$A$104,0)),IFERROR(INDEX(المنتجات!$C$5:$C$24,MATCH($C307,المنتجات!$A$5:$A$24,0)),"كود غير موجود")))</f>
        <v/>
      </c>
      <c r="E307" s="24"/>
      <c r="F307" s="28" t="str">
        <f aca="false">IF($C307="","",IFERROR(INDEX('المواد الخام'!$D$5:$D$104,MATCH($C307,'المواد الخام'!$A$5:$A$104,0)),"حبة"))</f>
        <v/>
      </c>
      <c r="G307" s="30"/>
      <c r="H307" s="29"/>
      <c r="I307" s="29"/>
    </row>
    <row r="308" customFormat="false" ht="15" hidden="false" customHeight="false" outlineLevel="0" collapsed="false">
      <c r="A308" s="32"/>
      <c r="B308" s="29"/>
      <c r="C308" s="29"/>
      <c r="D308" s="28" t="str">
        <f aca="false">IF($C308="","",IFERROR(INDEX('المواد الخام'!$B$5:$B$104,MATCH($C308,'المواد الخام'!$A$5:$A$104,0)),IFERROR(INDEX(المنتجات!$C$5:$C$24,MATCH($C308,المنتجات!$A$5:$A$24,0)),"كود غير موجود")))</f>
        <v/>
      </c>
      <c r="E308" s="24"/>
      <c r="F308" s="28" t="str">
        <f aca="false">IF($C308="","",IFERROR(INDEX('المواد الخام'!$D$5:$D$104,MATCH($C308,'المواد الخام'!$A$5:$A$104,0)),"حبة"))</f>
        <v/>
      </c>
      <c r="G308" s="30"/>
      <c r="H308" s="29"/>
      <c r="I308" s="29"/>
    </row>
    <row r="309" customFormat="false" ht="15" hidden="false" customHeight="false" outlineLevel="0" collapsed="false">
      <c r="A309" s="32"/>
      <c r="B309" s="29"/>
      <c r="C309" s="29"/>
      <c r="D309" s="28" t="str">
        <f aca="false">IF($C309="","",IFERROR(INDEX('المواد الخام'!$B$5:$B$104,MATCH($C309,'المواد الخام'!$A$5:$A$104,0)),IFERROR(INDEX(المنتجات!$C$5:$C$24,MATCH($C309,المنتجات!$A$5:$A$24,0)),"كود غير موجود")))</f>
        <v/>
      </c>
      <c r="E309" s="24"/>
      <c r="F309" s="28" t="str">
        <f aca="false">IF($C309="","",IFERROR(INDEX('المواد الخام'!$D$5:$D$104,MATCH($C309,'المواد الخام'!$A$5:$A$104,0)),"حبة"))</f>
        <v/>
      </c>
      <c r="G309" s="30"/>
      <c r="H309" s="29"/>
      <c r="I309" s="29"/>
    </row>
    <row r="310" customFormat="false" ht="15" hidden="false" customHeight="false" outlineLevel="0" collapsed="false">
      <c r="A310" s="32"/>
      <c r="B310" s="29"/>
      <c r="C310" s="29"/>
      <c r="D310" s="28" t="str">
        <f aca="false">IF($C310="","",IFERROR(INDEX('المواد الخام'!$B$5:$B$104,MATCH($C310,'المواد الخام'!$A$5:$A$104,0)),IFERROR(INDEX(المنتجات!$C$5:$C$24,MATCH($C310,المنتجات!$A$5:$A$24,0)),"كود غير موجود")))</f>
        <v/>
      </c>
      <c r="E310" s="24"/>
      <c r="F310" s="28" t="str">
        <f aca="false">IF($C310="","",IFERROR(INDEX('المواد الخام'!$D$5:$D$104,MATCH($C310,'المواد الخام'!$A$5:$A$104,0)),"حبة"))</f>
        <v/>
      </c>
      <c r="G310" s="30"/>
      <c r="H310" s="29"/>
      <c r="I310" s="29"/>
    </row>
    <row r="311" customFormat="false" ht="15" hidden="false" customHeight="false" outlineLevel="0" collapsed="false">
      <c r="A311" s="32"/>
      <c r="B311" s="29"/>
      <c r="C311" s="29"/>
      <c r="D311" s="28" t="str">
        <f aca="false">IF($C311="","",IFERROR(INDEX('المواد الخام'!$B$5:$B$104,MATCH($C311,'المواد الخام'!$A$5:$A$104,0)),IFERROR(INDEX(المنتجات!$C$5:$C$24,MATCH($C311,المنتجات!$A$5:$A$24,0)),"كود غير موجود")))</f>
        <v/>
      </c>
      <c r="E311" s="24"/>
      <c r="F311" s="28" t="str">
        <f aca="false">IF($C311="","",IFERROR(INDEX('المواد الخام'!$D$5:$D$104,MATCH($C311,'المواد الخام'!$A$5:$A$104,0)),"حبة"))</f>
        <v/>
      </c>
      <c r="G311" s="30"/>
      <c r="H311" s="29"/>
      <c r="I311" s="29"/>
    </row>
    <row r="312" customFormat="false" ht="15" hidden="false" customHeight="false" outlineLevel="0" collapsed="false">
      <c r="A312" s="32"/>
      <c r="B312" s="29"/>
      <c r="C312" s="29"/>
      <c r="D312" s="28" t="str">
        <f aca="false">IF($C312="","",IFERROR(INDEX('المواد الخام'!$B$5:$B$104,MATCH($C312,'المواد الخام'!$A$5:$A$104,0)),IFERROR(INDEX(المنتجات!$C$5:$C$24,MATCH($C312,المنتجات!$A$5:$A$24,0)),"كود غير موجود")))</f>
        <v/>
      </c>
      <c r="E312" s="24"/>
      <c r="F312" s="28" t="str">
        <f aca="false">IF($C312="","",IFERROR(INDEX('المواد الخام'!$D$5:$D$104,MATCH($C312,'المواد الخام'!$A$5:$A$104,0)),"حبة"))</f>
        <v/>
      </c>
      <c r="G312" s="30"/>
      <c r="H312" s="29"/>
      <c r="I312" s="29"/>
    </row>
    <row r="313" customFormat="false" ht="15" hidden="false" customHeight="false" outlineLevel="0" collapsed="false">
      <c r="A313" s="32"/>
      <c r="B313" s="29"/>
      <c r="C313" s="29"/>
      <c r="D313" s="28" t="str">
        <f aca="false">IF($C313="","",IFERROR(INDEX('المواد الخام'!$B$5:$B$104,MATCH($C313,'المواد الخام'!$A$5:$A$104,0)),IFERROR(INDEX(المنتجات!$C$5:$C$24,MATCH($C313,المنتجات!$A$5:$A$24,0)),"كود غير موجود")))</f>
        <v/>
      </c>
      <c r="E313" s="24"/>
      <c r="F313" s="28" t="str">
        <f aca="false">IF($C313="","",IFERROR(INDEX('المواد الخام'!$D$5:$D$104,MATCH($C313,'المواد الخام'!$A$5:$A$104,0)),"حبة"))</f>
        <v/>
      </c>
      <c r="G313" s="30"/>
      <c r="H313" s="29"/>
      <c r="I313" s="29"/>
    </row>
    <row r="314" customFormat="false" ht="15" hidden="false" customHeight="false" outlineLevel="0" collapsed="false">
      <c r="A314" s="32"/>
      <c r="B314" s="29"/>
      <c r="C314" s="29"/>
      <c r="D314" s="28" t="str">
        <f aca="false">IF($C314="","",IFERROR(INDEX('المواد الخام'!$B$5:$B$104,MATCH($C314,'المواد الخام'!$A$5:$A$104,0)),IFERROR(INDEX(المنتجات!$C$5:$C$24,MATCH($C314,المنتجات!$A$5:$A$24,0)),"كود غير موجود")))</f>
        <v/>
      </c>
      <c r="E314" s="24"/>
      <c r="F314" s="28" t="str">
        <f aca="false">IF($C314="","",IFERROR(INDEX('المواد الخام'!$D$5:$D$104,MATCH($C314,'المواد الخام'!$A$5:$A$104,0)),"حبة"))</f>
        <v/>
      </c>
      <c r="G314" s="30"/>
      <c r="H314" s="29"/>
      <c r="I314" s="29"/>
    </row>
    <row r="315" customFormat="false" ht="15" hidden="false" customHeight="false" outlineLevel="0" collapsed="false">
      <c r="A315" s="32"/>
      <c r="B315" s="29"/>
      <c r="C315" s="29"/>
      <c r="D315" s="28" t="str">
        <f aca="false">IF($C315="","",IFERROR(INDEX('المواد الخام'!$B$5:$B$104,MATCH($C315,'المواد الخام'!$A$5:$A$104,0)),IFERROR(INDEX(المنتجات!$C$5:$C$24,MATCH($C315,المنتجات!$A$5:$A$24,0)),"كود غير موجود")))</f>
        <v/>
      </c>
      <c r="E315" s="24"/>
      <c r="F315" s="28" t="str">
        <f aca="false">IF($C315="","",IFERROR(INDEX('المواد الخام'!$D$5:$D$104,MATCH($C315,'المواد الخام'!$A$5:$A$104,0)),"حبة"))</f>
        <v/>
      </c>
      <c r="G315" s="30"/>
      <c r="H315" s="29"/>
      <c r="I315" s="29"/>
    </row>
    <row r="316" customFormat="false" ht="15" hidden="false" customHeight="false" outlineLevel="0" collapsed="false">
      <c r="A316" s="32"/>
      <c r="B316" s="29"/>
      <c r="C316" s="29"/>
      <c r="D316" s="28" t="str">
        <f aca="false">IF($C316="","",IFERROR(INDEX('المواد الخام'!$B$5:$B$104,MATCH($C316,'المواد الخام'!$A$5:$A$104,0)),IFERROR(INDEX(المنتجات!$C$5:$C$24,MATCH($C316,المنتجات!$A$5:$A$24,0)),"كود غير موجود")))</f>
        <v/>
      </c>
      <c r="E316" s="24"/>
      <c r="F316" s="28" t="str">
        <f aca="false">IF($C316="","",IFERROR(INDEX('المواد الخام'!$D$5:$D$104,MATCH($C316,'المواد الخام'!$A$5:$A$104,0)),"حبة"))</f>
        <v/>
      </c>
      <c r="G316" s="30"/>
      <c r="H316" s="29"/>
      <c r="I316" s="29"/>
    </row>
    <row r="317" customFormat="false" ht="15" hidden="false" customHeight="false" outlineLevel="0" collapsed="false">
      <c r="A317" s="32"/>
      <c r="B317" s="29"/>
      <c r="C317" s="29"/>
      <c r="D317" s="28" t="str">
        <f aca="false">IF($C317="","",IFERROR(INDEX('المواد الخام'!$B$5:$B$104,MATCH($C317,'المواد الخام'!$A$5:$A$104,0)),IFERROR(INDEX(المنتجات!$C$5:$C$24,MATCH($C317,المنتجات!$A$5:$A$24,0)),"كود غير موجود")))</f>
        <v/>
      </c>
      <c r="E317" s="24"/>
      <c r="F317" s="28" t="str">
        <f aca="false">IF($C317="","",IFERROR(INDEX('المواد الخام'!$D$5:$D$104,MATCH($C317,'المواد الخام'!$A$5:$A$104,0)),"حبة"))</f>
        <v/>
      </c>
      <c r="G317" s="30"/>
      <c r="H317" s="29"/>
      <c r="I317" s="29"/>
    </row>
    <row r="318" customFormat="false" ht="15" hidden="false" customHeight="false" outlineLevel="0" collapsed="false">
      <c r="A318" s="32"/>
      <c r="B318" s="29"/>
      <c r="C318" s="29"/>
      <c r="D318" s="28" t="str">
        <f aca="false">IF($C318="","",IFERROR(INDEX('المواد الخام'!$B$5:$B$104,MATCH($C318,'المواد الخام'!$A$5:$A$104,0)),IFERROR(INDEX(المنتجات!$C$5:$C$24,MATCH($C318,المنتجات!$A$5:$A$24,0)),"كود غير موجود")))</f>
        <v/>
      </c>
      <c r="E318" s="24"/>
      <c r="F318" s="28" t="str">
        <f aca="false">IF($C318="","",IFERROR(INDEX('المواد الخام'!$D$5:$D$104,MATCH($C318,'المواد الخام'!$A$5:$A$104,0)),"حبة"))</f>
        <v/>
      </c>
      <c r="G318" s="30"/>
      <c r="H318" s="29"/>
      <c r="I318" s="29"/>
    </row>
    <row r="319" customFormat="false" ht="15" hidden="false" customHeight="false" outlineLevel="0" collapsed="false">
      <c r="A319" s="32"/>
      <c r="B319" s="29"/>
      <c r="C319" s="29"/>
      <c r="D319" s="28" t="str">
        <f aca="false">IF($C319="","",IFERROR(INDEX('المواد الخام'!$B$5:$B$104,MATCH($C319,'المواد الخام'!$A$5:$A$104,0)),IFERROR(INDEX(المنتجات!$C$5:$C$24,MATCH($C319,المنتجات!$A$5:$A$24,0)),"كود غير موجود")))</f>
        <v/>
      </c>
      <c r="E319" s="24"/>
      <c r="F319" s="28" t="str">
        <f aca="false">IF($C319="","",IFERROR(INDEX('المواد الخام'!$D$5:$D$104,MATCH($C319,'المواد الخام'!$A$5:$A$104,0)),"حبة"))</f>
        <v/>
      </c>
      <c r="G319" s="30"/>
      <c r="H319" s="29"/>
      <c r="I319" s="29"/>
    </row>
    <row r="320" customFormat="false" ht="15" hidden="false" customHeight="false" outlineLevel="0" collapsed="false">
      <c r="A320" s="32"/>
      <c r="B320" s="29"/>
      <c r="C320" s="29"/>
      <c r="D320" s="28" t="str">
        <f aca="false">IF($C320="","",IFERROR(INDEX('المواد الخام'!$B$5:$B$104,MATCH($C320,'المواد الخام'!$A$5:$A$104,0)),IFERROR(INDEX(المنتجات!$C$5:$C$24,MATCH($C320,المنتجات!$A$5:$A$24,0)),"كود غير موجود")))</f>
        <v/>
      </c>
      <c r="E320" s="24"/>
      <c r="F320" s="28" t="str">
        <f aca="false">IF($C320="","",IFERROR(INDEX('المواد الخام'!$D$5:$D$104,MATCH($C320,'المواد الخام'!$A$5:$A$104,0)),"حبة"))</f>
        <v/>
      </c>
      <c r="G320" s="30"/>
      <c r="H320" s="29"/>
      <c r="I320" s="29"/>
    </row>
    <row r="321" customFormat="false" ht="15" hidden="false" customHeight="false" outlineLevel="0" collapsed="false">
      <c r="A321" s="32"/>
      <c r="B321" s="29"/>
      <c r="C321" s="29"/>
      <c r="D321" s="28" t="str">
        <f aca="false">IF($C321="","",IFERROR(INDEX('المواد الخام'!$B$5:$B$104,MATCH($C321,'المواد الخام'!$A$5:$A$104,0)),IFERROR(INDEX(المنتجات!$C$5:$C$24,MATCH($C321,المنتجات!$A$5:$A$24,0)),"كود غير موجود")))</f>
        <v/>
      </c>
      <c r="E321" s="24"/>
      <c r="F321" s="28" t="str">
        <f aca="false">IF($C321="","",IFERROR(INDEX('المواد الخام'!$D$5:$D$104,MATCH($C321,'المواد الخام'!$A$5:$A$104,0)),"حبة"))</f>
        <v/>
      </c>
      <c r="G321" s="30"/>
      <c r="H321" s="29"/>
      <c r="I321" s="29"/>
    </row>
    <row r="322" customFormat="false" ht="15" hidden="false" customHeight="false" outlineLevel="0" collapsed="false">
      <c r="A322" s="32"/>
      <c r="B322" s="29"/>
      <c r="C322" s="29"/>
      <c r="D322" s="28" t="str">
        <f aca="false">IF($C322="","",IFERROR(INDEX('المواد الخام'!$B$5:$B$104,MATCH($C322,'المواد الخام'!$A$5:$A$104,0)),IFERROR(INDEX(المنتجات!$C$5:$C$24,MATCH($C322,المنتجات!$A$5:$A$24,0)),"كود غير موجود")))</f>
        <v/>
      </c>
      <c r="E322" s="24"/>
      <c r="F322" s="28" t="str">
        <f aca="false">IF($C322="","",IFERROR(INDEX('المواد الخام'!$D$5:$D$104,MATCH($C322,'المواد الخام'!$A$5:$A$104,0)),"حبة"))</f>
        <v/>
      </c>
      <c r="G322" s="30"/>
      <c r="H322" s="29"/>
      <c r="I322" s="29"/>
    </row>
    <row r="323" customFormat="false" ht="15" hidden="false" customHeight="false" outlineLevel="0" collapsed="false">
      <c r="A323" s="32"/>
      <c r="B323" s="29"/>
      <c r="C323" s="29"/>
      <c r="D323" s="28" t="str">
        <f aca="false">IF($C323="","",IFERROR(INDEX('المواد الخام'!$B$5:$B$104,MATCH($C323,'المواد الخام'!$A$5:$A$104,0)),IFERROR(INDEX(المنتجات!$C$5:$C$24,MATCH($C323,المنتجات!$A$5:$A$24,0)),"كود غير موجود")))</f>
        <v/>
      </c>
      <c r="E323" s="24"/>
      <c r="F323" s="28" t="str">
        <f aca="false">IF($C323="","",IFERROR(INDEX('المواد الخام'!$D$5:$D$104,MATCH($C323,'المواد الخام'!$A$5:$A$104,0)),"حبة"))</f>
        <v/>
      </c>
      <c r="G323" s="30"/>
      <c r="H323" s="29"/>
      <c r="I323" s="29"/>
    </row>
    <row r="324" customFormat="false" ht="15" hidden="false" customHeight="false" outlineLevel="0" collapsed="false">
      <c r="A324" s="32"/>
      <c r="B324" s="29"/>
      <c r="C324" s="29"/>
      <c r="D324" s="28" t="str">
        <f aca="false">IF($C324="","",IFERROR(INDEX('المواد الخام'!$B$5:$B$104,MATCH($C324,'المواد الخام'!$A$5:$A$104,0)),IFERROR(INDEX(المنتجات!$C$5:$C$24,MATCH($C324,المنتجات!$A$5:$A$24,0)),"كود غير موجود")))</f>
        <v/>
      </c>
      <c r="E324" s="24"/>
      <c r="F324" s="28" t="str">
        <f aca="false">IF($C324="","",IFERROR(INDEX('المواد الخام'!$D$5:$D$104,MATCH($C324,'المواد الخام'!$A$5:$A$104,0)),"حبة"))</f>
        <v/>
      </c>
      <c r="G324" s="30"/>
      <c r="H324" s="29"/>
      <c r="I324" s="29"/>
    </row>
    <row r="325" customFormat="false" ht="15" hidden="false" customHeight="false" outlineLevel="0" collapsed="false">
      <c r="A325" s="32"/>
      <c r="B325" s="29"/>
      <c r="C325" s="29"/>
      <c r="D325" s="28" t="str">
        <f aca="false">IF($C325="","",IFERROR(INDEX('المواد الخام'!$B$5:$B$104,MATCH($C325,'المواد الخام'!$A$5:$A$104,0)),IFERROR(INDEX(المنتجات!$C$5:$C$24,MATCH($C325,المنتجات!$A$5:$A$24,0)),"كود غير موجود")))</f>
        <v/>
      </c>
      <c r="E325" s="24"/>
      <c r="F325" s="28" t="str">
        <f aca="false">IF($C325="","",IFERROR(INDEX('المواد الخام'!$D$5:$D$104,MATCH($C325,'المواد الخام'!$A$5:$A$104,0)),"حبة"))</f>
        <v/>
      </c>
      <c r="G325" s="30"/>
      <c r="H325" s="29"/>
      <c r="I325" s="29"/>
    </row>
    <row r="326" customFormat="false" ht="15" hidden="false" customHeight="false" outlineLevel="0" collapsed="false">
      <c r="A326" s="32"/>
      <c r="B326" s="29"/>
      <c r="C326" s="29"/>
      <c r="D326" s="28" t="str">
        <f aca="false">IF($C326="","",IFERROR(INDEX('المواد الخام'!$B$5:$B$104,MATCH($C326,'المواد الخام'!$A$5:$A$104,0)),IFERROR(INDEX(المنتجات!$C$5:$C$24,MATCH($C326,المنتجات!$A$5:$A$24,0)),"كود غير موجود")))</f>
        <v/>
      </c>
      <c r="E326" s="24"/>
      <c r="F326" s="28" t="str">
        <f aca="false">IF($C326="","",IFERROR(INDEX('المواد الخام'!$D$5:$D$104,MATCH($C326,'المواد الخام'!$A$5:$A$104,0)),"حبة"))</f>
        <v/>
      </c>
      <c r="G326" s="30"/>
      <c r="H326" s="29"/>
      <c r="I326" s="29"/>
    </row>
    <row r="327" customFormat="false" ht="15" hidden="false" customHeight="false" outlineLevel="0" collapsed="false">
      <c r="A327" s="32"/>
      <c r="B327" s="29"/>
      <c r="C327" s="29"/>
      <c r="D327" s="28" t="str">
        <f aca="false">IF($C327="","",IFERROR(INDEX('المواد الخام'!$B$5:$B$104,MATCH($C327,'المواد الخام'!$A$5:$A$104,0)),IFERROR(INDEX(المنتجات!$C$5:$C$24,MATCH($C327,المنتجات!$A$5:$A$24,0)),"كود غير موجود")))</f>
        <v/>
      </c>
      <c r="E327" s="24"/>
      <c r="F327" s="28" t="str">
        <f aca="false">IF($C327="","",IFERROR(INDEX('المواد الخام'!$D$5:$D$104,MATCH($C327,'المواد الخام'!$A$5:$A$104,0)),"حبة"))</f>
        <v/>
      </c>
      <c r="G327" s="30"/>
      <c r="H327" s="29"/>
      <c r="I327" s="29"/>
    </row>
    <row r="328" customFormat="false" ht="15" hidden="false" customHeight="false" outlineLevel="0" collapsed="false">
      <c r="A328" s="32"/>
      <c r="B328" s="29"/>
      <c r="C328" s="29"/>
      <c r="D328" s="28" t="str">
        <f aca="false">IF($C328="","",IFERROR(INDEX('المواد الخام'!$B$5:$B$104,MATCH($C328,'المواد الخام'!$A$5:$A$104,0)),IFERROR(INDEX(المنتجات!$C$5:$C$24,MATCH($C328,المنتجات!$A$5:$A$24,0)),"كود غير موجود")))</f>
        <v/>
      </c>
      <c r="E328" s="24"/>
      <c r="F328" s="28" t="str">
        <f aca="false">IF($C328="","",IFERROR(INDEX('المواد الخام'!$D$5:$D$104,MATCH($C328,'المواد الخام'!$A$5:$A$104,0)),"حبة"))</f>
        <v/>
      </c>
      <c r="G328" s="30"/>
      <c r="H328" s="29"/>
      <c r="I328" s="29"/>
    </row>
    <row r="329" customFormat="false" ht="15" hidden="false" customHeight="false" outlineLevel="0" collapsed="false">
      <c r="A329" s="32"/>
      <c r="B329" s="29"/>
      <c r="C329" s="29"/>
      <c r="D329" s="28" t="str">
        <f aca="false">IF($C329="","",IFERROR(INDEX('المواد الخام'!$B$5:$B$104,MATCH($C329,'المواد الخام'!$A$5:$A$104,0)),IFERROR(INDEX(المنتجات!$C$5:$C$24,MATCH($C329,المنتجات!$A$5:$A$24,0)),"كود غير موجود")))</f>
        <v/>
      </c>
      <c r="E329" s="24"/>
      <c r="F329" s="28" t="str">
        <f aca="false">IF($C329="","",IFERROR(INDEX('المواد الخام'!$D$5:$D$104,MATCH($C329,'المواد الخام'!$A$5:$A$104,0)),"حبة"))</f>
        <v/>
      </c>
      <c r="G329" s="30"/>
      <c r="H329" s="29"/>
      <c r="I329" s="29"/>
    </row>
    <row r="330" customFormat="false" ht="15" hidden="false" customHeight="false" outlineLevel="0" collapsed="false">
      <c r="A330" s="32"/>
      <c r="B330" s="29"/>
      <c r="C330" s="29"/>
      <c r="D330" s="28" t="str">
        <f aca="false">IF($C330="","",IFERROR(INDEX('المواد الخام'!$B$5:$B$104,MATCH($C330,'المواد الخام'!$A$5:$A$104,0)),IFERROR(INDEX(المنتجات!$C$5:$C$24,MATCH($C330,المنتجات!$A$5:$A$24,0)),"كود غير موجود")))</f>
        <v/>
      </c>
      <c r="E330" s="24"/>
      <c r="F330" s="28" t="str">
        <f aca="false">IF($C330="","",IFERROR(INDEX('المواد الخام'!$D$5:$D$104,MATCH($C330,'المواد الخام'!$A$5:$A$104,0)),"حبة"))</f>
        <v/>
      </c>
      <c r="G330" s="30"/>
      <c r="H330" s="29"/>
      <c r="I330" s="29"/>
    </row>
    <row r="331" customFormat="false" ht="15" hidden="false" customHeight="false" outlineLevel="0" collapsed="false">
      <c r="A331" s="32"/>
      <c r="B331" s="29"/>
      <c r="C331" s="29"/>
      <c r="D331" s="28" t="str">
        <f aca="false">IF($C331="","",IFERROR(INDEX('المواد الخام'!$B$5:$B$104,MATCH($C331,'المواد الخام'!$A$5:$A$104,0)),IFERROR(INDEX(المنتجات!$C$5:$C$24,MATCH($C331,المنتجات!$A$5:$A$24,0)),"كود غير موجود")))</f>
        <v/>
      </c>
      <c r="E331" s="24"/>
      <c r="F331" s="28" t="str">
        <f aca="false">IF($C331="","",IFERROR(INDEX('المواد الخام'!$D$5:$D$104,MATCH($C331,'المواد الخام'!$A$5:$A$104,0)),"حبة"))</f>
        <v/>
      </c>
      <c r="G331" s="30"/>
      <c r="H331" s="29"/>
      <c r="I331" s="29"/>
    </row>
    <row r="332" customFormat="false" ht="15" hidden="false" customHeight="false" outlineLevel="0" collapsed="false">
      <c r="A332" s="32"/>
      <c r="B332" s="29"/>
      <c r="C332" s="29"/>
      <c r="D332" s="28" t="str">
        <f aca="false">IF($C332="","",IFERROR(INDEX('المواد الخام'!$B$5:$B$104,MATCH($C332,'المواد الخام'!$A$5:$A$104,0)),IFERROR(INDEX(المنتجات!$C$5:$C$24,MATCH($C332,المنتجات!$A$5:$A$24,0)),"كود غير موجود")))</f>
        <v/>
      </c>
      <c r="E332" s="24"/>
      <c r="F332" s="28" t="str">
        <f aca="false">IF($C332="","",IFERROR(INDEX('المواد الخام'!$D$5:$D$104,MATCH($C332,'المواد الخام'!$A$5:$A$104,0)),"حبة"))</f>
        <v/>
      </c>
      <c r="G332" s="30"/>
      <c r="H332" s="29"/>
      <c r="I332" s="29"/>
    </row>
    <row r="333" customFormat="false" ht="15" hidden="false" customHeight="false" outlineLevel="0" collapsed="false">
      <c r="A333" s="32"/>
      <c r="B333" s="29"/>
      <c r="C333" s="29"/>
      <c r="D333" s="28" t="str">
        <f aca="false">IF($C333="","",IFERROR(INDEX('المواد الخام'!$B$5:$B$104,MATCH($C333,'المواد الخام'!$A$5:$A$104,0)),IFERROR(INDEX(المنتجات!$C$5:$C$24,MATCH($C333,المنتجات!$A$5:$A$24,0)),"كود غير موجود")))</f>
        <v/>
      </c>
      <c r="E333" s="24"/>
      <c r="F333" s="28" t="str">
        <f aca="false">IF($C333="","",IFERROR(INDEX('المواد الخام'!$D$5:$D$104,MATCH($C333,'المواد الخام'!$A$5:$A$104,0)),"حبة"))</f>
        <v/>
      </c>
      <c r="G333" s="30"/>
      <c r="H333" s="29"/>
      <c r="I333" s="29"/>
    </row>
    <row r="334" customFormat="false" ht="15" hidden="false" customHeight="false" outlineLevel="0" collapsed="false">
      <c r="A334" s="32"/>
      <c r="B334" s="29"/>
      <c r="C334" s="29"/>
      <c r="D334" s="28" t="str">
        <f aca="false">IF($C334="","",IFERROR(INDEX('المواد الخام'!$B$5:$B$104,MATCH($C334,'المواد الخام'!$A$5:$A$104,0)),IFERROR(INDEX(المنتجات!$C$5:$C$24,MATCH($C334,المنتجات!$A$5:$A$24,0)),"كود غير موجود")))</f>
        <v/>
      </c>
      <c r="E334" s="24"/>
      <c r="F334" s="28" t="str">
        <f aca="false">IF($C334="","",IFERROR(INDEX('المواد الخام'!$D$5:$D$104,MATCH($C334,'المواد الخام'!$A$5:$A$104,0)),"حبة"))</f>
        <v/>
      </c>
      <c r="G334" s="30"/>
      <c r="H334" s="29"/>
      <c r="I334" s="29"/>
    </row>
    <row r="335" customFormat="false" ht="15" hidden="false" customHeight="false" outlineLevel="0" collapsed="false">
      <c r="A335" s="32"/>
      <c r="B335" s="29"/>
      <c r="C335" s="29"/>
      <c r="D335" s="28" t="str">
        <f aca="false">IF($C335="","",IFERROR(INDEX('المواد الخام'!$B$5:$B$104,MATCH($C335,'المواد الخام'!$A$5:$A$104,0)),IFERROR(INDEX(المنتجات!$C$5:$C$24,MATCH($C335,المنتجات!$A$5:$A$24,0)),"كود غير موجود")))</f>
        <v/>
      </c>
      <c r="E335" s="24"/>
      <c r="F335" s="28" t="str">
        <f aca="false">IF($C335="","",IFERROR(INDEX('المواد الخام'!$D$5:$D$104,MATCH($C335,'المواد الخام'!$A$5:$A$104,0)),"حبة"))</f>
        <v/>
      </c>
      <c r="G335" s="30"/>
      <c r="H335" s="29"/>
      <c r="I335" s="29"/>
    </row>
    <row r="336" customFormat="false" ht="15" hidden="false" customHeight="false" outlineLevel="0" collapsed="false">
      <c r="A336" s="32"/>
      <c r="B336" s="29"/>
      <c r="C336" s="29"/>
      <c r="D336" s="28" t="str">
        <f aca="false">IF($C336="","",IFERROR(INDEX('المواد الخام'!$B$5:$B$104,MATCH($C336,'المواد الخام'!$A$5:$A$104,0)),IFERROR(INDEX(المنتجات!$C$5:$C$24,MATCH($C336,المنتجات!$A$5:$A$24,0)),"كود غير موجود")))</f>
        <v/>
      </c>
      <c r="E336" s="24"/>
      <c r="F336" s="28" t="str">
        <f aca="false">IF($C336="","",IFERROR(INDEX('المواد الخام'!$D$5:$D$104,MATCH($C336,'المواد الخام'!$A$5:$A$104,0)),"حبة"))</f>
        <v/>
      </c>
      <c r="G336" s="30"/>
      <c r="H336" s="29"/>
      <c r="I336" s="29"/>
    </row>
    <row r="337" customFormat="false" ht="15" hidden="false" customHeight="false" outlineLevel="0" collapsed="false">
      <c r="A337" s="32"/>
      <c r="B337" s="29"/>
      <c r="C337" s="29"/>
      <c r="D337" s="28" t="str">
        <f aca="false">IF($C337="","",IFERROR(INDEX('المواد الخام'!$B$5:$B$104,MATCH($C337,'المواد الخام'!$A$5:$A$104,0)),IFERROR(INDEX(المنتجات!$C$5:$C$24,MATCH($C337,المنتجات!$A$5:$A$24,0)),"كود غير موجود")))</f>
        <v/>
      </c>
      <c r="E337" s="24"/>
      <c r="F337" s="28" t="str">
        <f aca="false">IF($C337="","",IFERROR(INDEX('المواد الخام'!$D$5:$D$104,MATCH($C337,'المواد الخام'!$A$5:$A$104,0)),"حبة"))</f>
        <v/>
      </c>
      <c r="G337" s="30"/>
      <c r="H337" s="29"/>
      <c r="I337" s="29"/>
    </row>
    <row r="338" customFormat="false" ht="15" hidden="false" customHeight="false" outlineLevel="0" collapsed="false">
      <c r="A338" s="32"/>
      <c r="B338" s="29"/>
      <c r="C338" s="29"/>
      <c r="D338" s="28" t="str">
        <f aca="false">IF($C338="","",IFERROR(INDEX('المواد الخام'!$B$5:$B$104,MATCH($C338,'المواد الخام'!$A$5:$A$104,0)),IFERROR(INDEX(المنتجات!$C$5:$C$24,MATCH($C338,المنتجات!$A$5:$A$24,0)),"كود غير موجود")))</f>
        <v/>
      </c>
      <c r="E338" s="24"/>
      <c r="F338" s="28" t="str">
        <f aca="false">IF($C338="","",IFERROR(INDEX('المواد الخام'!$D$5:$D$104,MATCH($C338,'المواد الخام'!$A$5:$A$104,0)),"حبة"))</f>
        <v/>
      </c>
      <c r="G338" s="30"/>
      <c r="H338" s="29"/>
      <c r="I338" s="29"/>
    </row>
    <row r="339" customFormat="false" ht="15" hidden="false" customHeight="false" outlineLevel="0" collapsed="false">
      <c r="A339" s="32"/>
      <c r="B339" s="29"/>
      <c r="C339" s="29"/>
      <c r="D339" s="28" t="str">
        <f aca="false">IF($C339="","",IFERROR(INDEX('المواد الخام'!$B$5:$B$104,MATCH($C339,'المواد الخام'!$A$5:$A$104,0)),IFERROR(INDEX(المنتجات!$C$5:$C$24,MATCH($C339,المنتجات!$A$5:$A$24,0)),"كود غير موجود")))</f>
        <v/>
      </c>
      <c r="E339" s="24"/>
      <c r="F339" s="28" t="str">
        <f aca="false">IF($C339="","",IFERROR(INDEX('المواد الخام'!$D$5:$D$104,MATCH($C339,'المواد الخام'!$A$5:$A$104,0)),"حبة"))</f>
        <v/>
      </c>
      <c r="G339" s="30"/>
      <c r="H339" s="29"/>
      <c r="I339" s="29"/>
    </row>
    <row r="340" customFormat="false" ht="15" hidden="false" customHeight="false" outlineLevel="0" collapsed="false">
      <c r="A340" s="32"/>
      <c r="B340" s="29"/>
      <c r="C340" s="29"/>
      <c r="D340" s="28" t="str">
        <f aca="false">IF($C340="","",IFERROR(INDEX('المواد الخام'!$B$5:$B$104,MATCH($C340,'المواد الخام'!$A$5:$A$104,0)),IFERROR(INDEX(المنتجات!$C$5:$C$24,MATCH($C340,المنتجات!$A$5:$A$24,0)),"كود غير موجود")))</f>
        <v/>
      </c>
      <c r="E340" s="24"/>
      <c r="F340" s="28" t="str">
        <f aca="false">IF($C340="","",IFERROR(INDEX('المواد الخام'!$D$5:$D$104,MATCH($C340,'المواد الخام'!$A$5:$A$104,0)),"حبة"))</f>
        <v/>
      </c>
      <c r="G340" s="30"/>
      <c r="H340" s="29"/>
      <c r="I340" s="29"/>
    </row>
    <row r="341" customFormat="false" ht="15" hidden="false" customHeight="false" outlineLevel="0" collapsed="false">
      <c r="A341" s="32"/>
      <c r="B341" s="29"/>
      <c r="C341" s="29"/>
      <c r="D341" s="28" t="str">
        <f aca="false">IF($C341="","",IFERROR(INDEX('المواد الخام'!$B$5:$B$104,MATCH($C341,'المواد الخام'!$A$5:$A$104,0)),IFERROR(INDEX(المنتجات!$C$5:$C$24,MATCH($C341,المنتجات!$A$5:$A$24,0)),"كود غير موجود")))</f>
        <v/>
      </c>
      <c r="E341" s="24"/>
      <c r="F341" s="28" t="str">
        <f aca="false">IF($C341="","",IFERROR(INDEX('المواد الخام'!$D$5:$D$104,MATCH($C341,'المواد الخام'!$A$5:$A$104,0)),"حبة"))</f>
        <v/>
      </c>
      <c r="G341" s="30"/>
      <c r="H341" s="29"/>
      <c r="I341" s="29"/>
    </row>
    <row r="342" customFormat="false" ht="15" hidden="false" customHeight="false" outlineLevel="0" collapsed="false">
      <c r="A342" s="32"/>
      <c r="B342" s="29"/>
      <c r="C342" s="29"/>
      <c r="D342" s="28" t="str">
        <f aca="false">IF($C342="","",IFERROR(INDEX('المواد الخام'!$B$5:$B$104,MATCH($C342,'المواد الخام'!$A$5:$A$104,0)),IFERROR(INDEX(المنتجات!$C$5:$C$24,MATCH($C342,المنتجات!$A$5:$A$24,0)),"كود غير موجود")))</f>
        <v/>
      </c>
      <c r="E342" s="24"/>
      <c r="F342" s="28" t="str">
        <f aca="false">IF($C342="","",IFERROR(INDEX('المواد الخام'!$D$5:$D$104,MATCH($C342,'المواد الخام'!$A$5:$A$104,0)),"حبة"))</f>
        <v/>
      </c>
      <c r="G342" s="30"/>
      <c r="H342" s="29"/>
      <c r="I342" s="29"/>
    </row>
    <row r="343" customFormat="false" ht="15" hidden="false" customHeight="false" outlineLevel="0" collapsed="false">
      <c r="A343" s="32"/>
      <c r="B343" s="29"/>
      <c r="C343" s="29"/>
      <c r="D343" s="28" t="str">
        <f aca="false">IF($C343="","",IFERROR(INDEX('المواد الخام'!$B$5:$B$104,MATCH($C343,'المواد الخام'!$A$5:$A$104,0)),IFERROR(INDEX(المنتجات!$C$5:$C$24,MATCH($C343,المنتجات!$A$5:$A$24,0)),"كود غير موجود")))</f>
        <v/>
      </c>
      <c r="E343" s="24"/>
      <c r="F343" s="28" t="str">
        <f aca="false">IF($C343="","",IFERROR(INDEX('المواد الخام'!$D$5:$D$104,MATCH($C343,'المواد الخام'!$A$5:$A$104,0)),"حبة"))</f>
        <v/>
      </c>
      <c r="G343" s="30"/>
      <c r="H343" s="29"/>
      <c r="I343" s="29"/>
    </row>
    <row r="344" customFormat="false" ht="15" hidden="false" customHeight="false" outlineLevel="0" collapsed="false">
      <c r="A344" s="32"/>
      <c r="B344" s="29"/>
      <c r="C344" s="29"/>
      <c r="D344" s="28" t="str">
        <f aca="false">IF($C344="","",IFERROR(INDEX('المواد الخام'!$B$5:$B$104,MATCH($C344,'المواد الخام'!$A$5:$A$104,0)),IFERROR(INDEX(المنتجات!$C$5:$C$24,MATCH($C344,المنتجات!$A$5:$A$24,0)),"كود غير موجود")))</f>
        <v/>
      </c>
      <c r="E344" s="24"/>
      <c r="F344" s="28" t="str">
        <f aca="false">IF($C344="","",IFERROR(INDEX('المواد الخام'!$D$5:$D$104,MATCH($C344,'المواد الخام'!$A$5:$A$104,0)),"حبة"))</f>
        <v/>
      </c>
      <c r="G344" s="30"/>
      <c r="H344" s="29"/>
      <c r="I344" s="29"/>
    </row>
    <row r="345" customFormat="false" ht="15" hidden="false" customHeight="false" outlineLevel="0" collapsed="false">
      <c r="A345" s="32"/>
      <c r="B345" s="29"/>
      <c r="C345" s="29"/>
      <c r="D345" s="28" t="str">
        <f aca="false">IF($C345="","",IFERROR(INDEX('المواد الخام'!$B$5:$B$104,MATCH($C345,'المواد الخام'!$A$5:$A$104,0)),IFERROR(INDEX(المنتجات!$C$5:$C$24,MATCH($C345,المنتجات!$A$5:$A$24,0)),"كود غير موجود")))</f>
        <v/>
      </c>
      <c r="E345" s="24"/>
      <c r="F345" s="28" t="str">
        <f aca="false">IF($C345="","",IFERROR(INDEX('المواد الخام'!$D$5:$D$104,MATCH($C345,'المواد الخام'!$A$5:$A$104,0)),"حبة"))</f>
        <v/>
      </c>
      <c r="G345" s="30"/>
      <c r="H345" s="29"/>
      <c r="I345" s="29"/>
    </row>
    <row r="346" customFormat="false" ht="15" hidden="false" customHeight="false" outlineLevel="0" collapsed="false">
      <c r="A346" s="32"/>
      <c r="B346" s="29"/>
      <c r="C346" s="29"/>
      <c r="D346" s="28" t="str">
        <f aca="false">IF($C346="","",IFERROR(INDEX('المواد الخام'!$B$5:$B$104,MATCH($C346,'المواد الخام'!$A$5:$A$104,0)),IFERROR(INDEX(المنتجات!$C$5:$C$24,MATCH($C346,المنتجات!$A$5:$A$24,0)),"كود غير موجود")))</f>
        <v/>
      </c>
      <c r="E346" s="24"/>
      <c r="F346" s="28" t="str">
        <f aca="false">IF($C346="","",IFERROR(INDEX('المواد الخام'!$D$5:$D$104,MATCH($C346,'المواد الخام'!$A$5:$A$104,0)),"حبة"))</f>
        <v/>
      </c>
      <c r="G346" s="30"/>
      <c r="H346" s="29"/>
      <c r="I346" s="29"/>
    </row>
    <row r="347" customFormat="false" ht="15" hidden="false" customHeight="false" outlineLevel="0" collapsed="false">
      <c r="A347" s="32"/>
      <c r="B347" s="29"/>
      <c r="C347" s="29"/>
      <c r="D347" s="28" t="str">
        <f aca="false">IF($C347="","",IFERROR(INDEX('المواد الخام'!$B$5:$B$104,MATCH($C347,'المواد الخام'!$A$5:$A$104,0)),IFERROR(INDEX(المنتجات!$C$5:$C$24,MATCH($C347,المنتجات!$A$5:$A$24,0)),"كود غير موجود")))</f>
        <v/>
      </c>
      <c r="E347" s="24"/>
      <c r="F347" s="28" t="str">
        <f aca="false">IF($C347="","",IFERROR(INDEX('المواد الخام'!$D$5:$D$104,MATCH($C347,'المواد الخام'!$A$5:$A$104,0)),"حبة"))</f>
        <v/>
      </c>
      <c r="G347" s="30"/>
      <c r="H347" s="29"/>
      <c r="I347" s="29"/>
    </row>
    <row r="348" customFormat="false" ht="15" hidden="false" customHeight="false" outlineLevel="0" collapsed="false">
      <c r="A348" s="32"/>
      <c r="B348" s="29"/>
      <c r="C348" s="29"/>
      <c r="D348" s="28" t="str">
        <f aca="false">IF($C348="","",IFERROR(INDEX('المواد الخام'!$B$5:$B$104,MATCH($C348,'المواد الخام'!$A$5:$A$104,0)),IFERROR(INDEX(المنتجات!$C$5:$C$24,MATCH($C348,المنتجات!$A$5:$A$24,0)),"كود غير موجود")))</f>
        <v/>
      </c>
      <c r="E348" s="24"/>
      <c r="F348" s="28" t="str">
        <f aca="false">IF($C348="","",IFERROR(INDEX('المواد الخام'!$D$5:$D$104,MATCH($C348,'المواد الخام'!$A$5:$A$104,0)),"حبة"))</f>
        <v/>
      </c>
      <c r="G348" s="30"/>
      <c r="H348" s="29"/>
      <c r="I348" s="29"/>
    </row>
    <row r="349" customFormat="false" ht="15" hidden="false" customHeight="false" outlineLevel="0" collapsed="false">
      <c r="A349" s="32"/>
      <c r="B349" s="29"/>
      <c r="C349" s="29"/>
      <c r="D349" s="28" t="str">
        <f aca="false">IF($C349="","",IFERROR(INDEX('المواد الخام'!$B$5:$B$104,MATCH($C349,'المواد الخام'!$A$5:$A$104,0)),IFERROR(INDEX(المنتجات!$C$5:$C$24,MATCH($C349,المنتجات!$A$5:$A$24,0)),"كود غير موجود")))</f>
        <v/>
      </c>
      <c r="E349" s="24"/>
      <c r="F349" s="28" t="str">
        <f aca="false">IF($C349="","",IFERROR(INDEX('المواد الخام'!$D$5:$D$104,MATCH($C349,'المواد الخام'!$A$5:$A$104,0)),"حبة"))</f>
        <v/>
      </c>
      <c r="G349" s="30"/>
      <c r="H349" s="29"/>
      <c r="I349" s="29"/>
    </row>
    <row r="350" customFormat="false" ht="15" hidden="false" customHeight="false" outlineLevel="0" collapsed="false">
      <c r="A350" s="32"/>
      <c r="B350" s="29"/>
      <c r="C350" s="29"/>
      <c r="D350" s="28" t="str">
        <f aca="false">IF($C350="","",IFERROR(INDEX('المواد الخام'!$B$5:$B$104,MATCH($C350,'المواد الخام'!$A$5:$A$104,0)),IFERROR(INDEX(المنتجات!$C$5:$C$24,MATCH($C350,المنتجات!$A$5:$A$24,0)),"كود غير موجود")))</f>
        <v/>
      </c>
      <c r="E350" s="24"/>
      <c r="F350" s="28" t="str">
        <f aca="false">IF($C350="","",IFERROR(INDEX('المواد الخام'!$D$5:$D$104,MATCH($C350,'المواد الخام'!$A$5:$A$104,0)),"حبة"))</f>
        <v/>
      </c>
      <c r="G350" s="30"/>
      <c r="H350" s="29"/>
      <c r="I350" s="29"/>
    </row>
    <row r="351" customFormat="false" ht="15" hidden="false" customHeight="false" outlineLevel="0" collapsed="false">
      <c r="A351" s="32"/>
      <c r="B351" s="29"/>
      <c r="C351" s="29"/>
      <c r="D351" s="28" t="str">
        <f aca="false">IF($C351="","",IFERROR(INDEX('المواد الخام'!$B$5:$B$104,MATCH($C351,'المواد الخام'!$A$5:$A$104,0)),IFERROR(INDEX(المنتجات!$C$5:$C$24,MATCH($C351,المنتجات!$A$5:$A$24,0)),"كود غير موجود")))</f>
        <v/>
      </c>
      <c r="E351" s="24"/>
      <c r="F351" s="28" t="str">
        <f aca="false">IF($C351="","",IFERROR(INDEX('المواد الخام'!$D$5:$D$104,MATCH($C351,'المواد الخام'!$A$5:$A$104,0)),"حبة"))</f>
        <v/>
      </c>
      <c r="G351" s="30"/>
      <c r="H351" s="29"/>
      <c r="I351" s="29"/>
    </row>
    <row r="352" customFormat="false" ht="15" hidden="false" customHeight="false" outlineLevel="0" collapsed="false">
      <c r="A352" s="32"/>
      <c r="B352" s="29"/>
      <c r="C352" s="29"/>
      <c r="D352" s="28" t="str">
        <f aca="false">IF($C352="","",IFERROR(INDEX('المواد الخام'!$B$5:$B$104,MATCH($C352,'المواد الخام'!$A$5:$A$104,0)),IFERROR(INDEX(المنتجات!$C$5:$C$24,MATCH($C352,المنتجات!$A$5:$A$24,0)),"كود غير موجود")))</f>
        <v/>
      </c>
      <c r="E352" s="24"/>
      <c r="F352" s="28" t="str">
        <f aca="false">IF($C352="","",IFERROR(INDEX('المواد الخام'!$D$5:$D$104,MATCH($C352,'المواد الخام'!$A$5:$A$104,0)),"حبة"))</f>
        <v/>
      </c>
      <c r="G352" s="30"/>
      <c r="H352" s="29"/>
      <c r="I352" s="29"/>
    </row>
    <row r="353" customFormat="false" ht="15" hidden="false" customHeight="false" outlineLevel="0" collapsed="false">
      <c r="A353" s="32"/>
      <c r="B353" s="29"/>
      <c r="C353" s="29"/>
      <c r="D353" s="28" t="str">
        <f aca="false">IF($C353="","",IFERROR(INDEX('المواد الخام'!$B$5:$B$104,MATCH($C353,'المواد الخام'!$A$5:$A$104,0)),IFERROR(INDEX(المنتجات!$C$5:$C$24,MATCH($C353,المنتجات!$A$5:$A$24,0)),"كود غير موجود")))</f>
        <v/>
      </c>
      <c r="E353" s="24"/>
      <c r="F353" s="28" t="str">
        <f aca="false">IF($C353="","",IFERROR(INDEX('المواد الخام'!$D$5:$D$104,MATCH($C353,'المواد الخام'!$A$5:$A$104,0)),"حبة"))</f>
        <v/>
      </c>
      <c r="G353" s="30"/>
      <c r="H353" s="29"/>
      <c r="I353" s="29"/>
    </row>
    <row r="354" customFormat="false" ht="15" hidden="false" customHeight="false" outlineLevel="0" collapsed="false">
      <c r="A354" s="32"/>
      <c r="B354" s="29"/>
      <c r="C354" s="29"/>
      <c r="D354" s="28" t="str">
        <f aca="false">IF($C354="","",IFERROR(INDEX('المواد الخام'!$B$5:$B$104,MATCH($C354,'المواد الخام'!$A$5:$A$104,0)),IFERROR(INDEX(المنتجات!$C$5:$C$24,MATCH($C354,المنتجات!$A$5:$A$24,0)),"كود غير موجود")))</f>
        <v/>
      </c>
      <c r="E354" s="24"/>
      <c r="F354" s="28" t="str">
        <f aca="false">IF($C354="","",IFERROR(INDEX('المواد الخام'!$D$5:$D$104,MATCH($C354,'المواد الخام'!$A$5:$A$104,0)),"حبة"))</f>
        <v/>
      </c>
      <c r="G354" s="30"/>
      <c r="H354" s="29"/>
      <c r="I354" s="29"/>
    </row>
    <row r="355" customFormat="false" ht="15" hidden="false" customHeight="false" outlineLevel="0" collapsed="false">
      <c r="A355" s="32"/>
      <c r="B355" s="29"/>
      <c r="C355" s="29"/>
      <c r="D355" s="28" t="str">
        <f aca="false">IF($C355="","",IFERROR(INDEX('المواد الخام'!$B$5:$B$104,MATCH($C355,'المواد الخام'!$A$5:$A$104,0)),IFERROR(INDEX(المنتجات!$C$5:$C$24,MATCH($C355,المنتجات!$A$5:$A$24,0)),"كود غير موجود")))</f>
        <v/>
      </c>
      <c r="E355" s="24"/>
      <c r="F355" s="28" t="str">
        <f aca="false">IF($C355="","",IFERROR(INDEX('المواد الخام'!$D$5:$D$104,MATCH($C355,'المواد الخام'!$A$5:$A$104,0)),"حبة"))</f>
        <v/>
      </c>
      <c r="G355" s="30"/>
      <c r="H355" s="29"/>
      <c r="I355" s="29"/>
    </row>
    <row r="356" customFormat="false" ht="15" hidden="false" customHeight="false" outlineLevel="0" collapsed="false">
      <c r="A356" s="32"/>
      <c r="B356" s="29"/>
      <c r="C356" s="29"/>
      <c r="D356" s="28" t="str">
        <f aca="false">IF($C356="","",IFERROR(INDEX('المواد الخام'!$B$5:$B$104,MATCH($C356,'المواد الخام'!$A$5:$A$104,0)),IFERROR(INDEX(المنتجات!$C$5:$C$24,MATCH($C356,المنتجات!$A$5:$A$24,0)),"كود غير موجود")))</f>
        <v/>
      </c>
      <c r="E356" s="24"/>
      <c r="F356" s="28" t="str">
        <f aca="false">IF($C356="","",IFERROR(INDEX('المواد الخام'!$D$5:$D$104,MATCH($C356,'المواد الخام'!$A$5:$A$104,0)),"حبة"))</f>
        <v/>
      </c>
      <c r="G356" s="30"/>
      <c r="H356" s="29"/>
      <c r="I356" s="29"/>
    </row>
    <row r="357" customFormat="false" ht="15" hidden="false" customHeight="false" outlineLevel="0" collapsed="false">
      <c r="A357" s="32"/>
      <c r="B357" s="29"/>
      <c r="C357" s="29"/>
      <c r="D357" s="28" t="str">
        <f aca="false">IF($C357="","",IFERROR(INDEX('المواد الخام'!$B$5:$B$104,MATCH($C357,'المواد الخام'!$A$5:$A$104,0)),IFERROR(INDEX(المنتجات!$C$5:$C$24,MATCH($C357,المنتجات!$A$5:$A$24,0)),"كود غير موجود")))</f>
        <v/>
      </c>
      <c r="E357" s="24"/>
      <c r="F357" s="28" t="str">
        <f aca="false">IF($C357="","",IFERROR(INDEX('المواد الخام'!$D$5:$D$104,MATCH($C357,'المواد الخام'!$A$5:$A$104,0)),"حبة"))</f>
        <v/>
      </c>
      <c r="G357" s="30"/>
      <c r="H357" s="29"/>
      <c r="I357" s="29"/>
    </row>
    <row r="358" customFormat="false" ht="15" hidden="false" customHeight="false" outlineLevel="0" collapsed="false">
      <c r="A358" s="32"/>
      <c r="B358" s="29"/>
      <c r="C358" s="29"/>
      <c r="D358" s="28" t="str">
        <f aca="false">IF($C358="","",IFERROR(INDEX('المواد الخام'!$B$5:$B$104,MATCH($C358,'المواد الخام'!$A$5:$A$104,0)),IFERROR(INDEX(المنتجات!$C$5:$C$24,MATCH($C358,المنتجات!$A$5:$A$24,0)),"كود غير موجود")))</f>
        <v/>
      </c>
      <c r="E358" s="24"/>
      <c r="F358" s="28" t="str">
        <f aca="false">IF($C358="","",IFERROR(INDEX('المواد الخام'!$D$5:$D$104,MATCH($C358,'المواد الخام'!$A$5:$A$104,0)),"حبة"))</f>
        <v/>
      </c>
      <c r="G358" s="30"/>
      <c r="H358" s="29"/>
      <c r="I358" s="29"/>
    </row>
    <row r="359" customFormat="false" ht="15" hidden="false" customHeight="false" outlineLevel="0" collapsed="false">
      <c r="A359" s="32"/>
      <c r="B359" s="29"/>
      <c r="C359" s="29"/>
      <c r="D359" s="28" t="str">
        <f aca="false">IF($C359="","",IFERROR(INDEX('المواد الخام'!$B$5:$B$104,MATCH($C359,'المواد الخام'!$A$5:$A$104,0)),IFERROR(INDEX(المنتجات!$C$5:$C$24,MATCH($C359,المنتجات!$A$5:$A$24,0)),"كود غير موجود")))</f>
        <v/>
      </c>
      <c r="E359" s="24"/>
      <c r="F359" s="28" t="str">
        <f aca="false">IF($C359="","",IFERROR(INDEX('المواد الخام'!$D$5:$D$104,MATCH($C359,'المواد الخام'!$A$5:$A$104,0)),"حبة"))</f>
        <v/>
      </c>
      <c r="G359" s="30"/>
      <c r="H359" s="29"/>
      <c r="I359" s="29"/>
    </row>
    <row r="360" customFormat="false" ht="15" hidden="false" customHeight="false" outlineLevel="0" collapsed="false">
      <c r="A360" s="32"/>
      <c r="B360" s="29"/>
      <c r="C360" s="29"/>
      <c r="D360" s="28" t="str">
        <f aca="false">IF($C360="","",IFERROR(INDEX('المواد الخام'!$B$5:$B$104,MATCH($C360,'المواد الخام'!$A$5:$A$104,0)),IFERROR(INDEX(المنتجات!$C$5:$C$24,MATCH($C360,المنتجات!$A$5:$A$24,0)),"كود غير موجود")))</f>
        <v/>
      </c>
      <c r="E360" s="24"/>
      <c r="F360" s="28" t="str">
        <f aca="false">IF($C360="","",IFERROR(INDEX('المواد الخام'!$D$5:$D$104,MATCH($C360,'المواد الخام'!$A$5:$A$104,0)),"حبة"))</f>
        <v/>
      </c>
      <c r="G360" s="30"/>
      <c r="H360" s="29"/>
      <c r="I360" s="29"/>
    </row>
    <row r="361" customFormat="false" ht="15" hidden="false" customHeight="false" outlineLevel="0" collapsed="false">
      <c r="A361" s="32"/>
      <c r="B361" s="29"/>
      <c r="C361" s="29"/>
      <c r="D361" s="28" t="str">
        <f aca="false">IF($C361="","",IFERROR(INDEX('المواد الخام'!$B$5:$B$104,MATCH($C361,'المواد الخام'!$A$5:$A$104,0)),IFERROR(INDEX(المنتجات!$C$5:$C$24,MATCH($C361,المنتجات!$A$5:$A$24,0)),"كود غير موجود")))</f>
        <v/>
      </c>
      <c r="E361" s="24"/>
      <c r="F361" s="28" t="str">
        <f aca="false">IF($C361="","",IFERROR(INDEX('المواد الخام'!$D$5:$D$104,MATCH($C361,'المواد الخام'!$A$5:$A$104,0)),"حبة"))</f>
        <v/>
      </c>
      <c r="G361" s="30"/>
      <c r="H361" s="29"/>
      <c r="I361" s="29"/>
    </row>
    <row r="362" customFormat="false" ht="15" hidden="false" customHeight="false" outlineLevel="0" collapsed="false">
      <c r="A362" s="32"/>
      <c r="B362" s="29"/>
      <c r="C362" s="29"/>
      <c r="D362" s="28" t="str">
        <f aca="false">IF($C362="","",IFERROR(INDEX('المواد الخام'!$B$5:$B$104,MATCH($C362,'المواد الخام'!$A$5:$A$104,0)),IFERROR(INDEX(المنتجات!$C$5:$C$24,MATCH($C362,المنتجات!$A$5:$A$24,0)),"كود غير موجود")))</f>
        <v/>
      </c>
      <c r="E362" s="24"/>
      <c r="F362" s="28" t="str">
        <f aca="false">IF($C362="","",IFERROR(INDEX('المواد الخام'!$D$5:$D$104,MATCH($C362,'المواد الخام'!$A$5:$A$104,0)),"حبة"))</f>
        <v/>
      </c>
      <c r="G362" s="30"/>
      <c r="H362" s="29"/>
      <c r="I362" s="29"/>
    </row>
    <row r="363" customFormat="false" ht="15" hidden="false" customHeight="false" outlineLevel="0" collapsed="false">
      <c r="A363" s="32"/>
      <c r="B363" s="29"/>
      <c r="C363" s="29"/>
      <c r="D363" s="28" t="str">
        <f aca="false">IF($C363="","",IFERROR(INDEX('المواد الخام'!$B$5:$B$104,MATCH($C363,'المواد الخام'!$A$5:$A$104,0)),IFERROR(INDEX(المنتجات!$C$5:$C$24,MATCH($C363,المنتجات!$A$5:$A$24,0)),"كود غير موجود")))</f>
        <v/>
      </c>
      <c r="E363" s="24"/>
      <c r="F363" s="28" t="str">
        <f aca="false">IF($C363="","",IFERROR(INDEX('المواد الخام'!$D$5:$D$104,MATCH($C363,'المواد الخام'!$A$5:$A$104,0)),"حبة"))</f>
        <v/>
      </c>
      <c r="G363" s="30"/>
      <c r="H363" s="29"/>
      <c r="I363" s="29"/>
    </row>
    <row r="364" customFormat="false" ht="15" hidden="false" customHeight="false" outlineLevel="0" collapsed="false">
      <c r="A364" s="32"/>
      <c r="B364" s="29"/>
      <c r="C364" s="29"/>
      <c r="D364" s="28" t="str">
        <f aca="false">IF($C364="","",IFERROR(INDEX('المواد الخام'!$B$5:$B$104,MATCH($C364,'المواد الخام'!$A$5:$A$104,0)),IFERROR(INDEX(المنتجات!$C$5:$C$24,MATCH($C364,المنتجات!$A$5:$A$24,0)),"كود غير موجود")))</f>
        <v/>
      </c>
      <c r="E364" s="24"/>
      <c r="F364" s="28" t="str">
        <f aca="false">IF($C364="","",IFERROR(INDEX('المواد الخام'!$D$5:$D$104,MATCH($C364,'المواد الخام'!$A$5:$A$104,0)),"حبة"))</f>
        <v/>
      </c>
      <c r="G364" s="30"/>
      <c r="H364" s="29"/>
      <c r="I364" s="29"/>
    </row>
    <row r="365" customFormat="false" ht="15" hidden="false" customHeight="false" outlineLevel="0" collapsed="false">
      <c r="A365" s="32"/>
      <c r="B365" s="29"/>
      <c r="C365" s="29"/>
      <c r="D365" s="28" t="str">
        <f aca="false">IF($C365="","",IFERROR(INDEX('المواد الخام'!$B$5:$B$104,MATCH($C365,'المواد الخام'!$A$5:$A$104,0)),IFERROR(INDEX(المنتجات!$C$5:$C$24,MATCH($C365,المنتجات!$A$5:$A$24,0)),"كود غير موجود")))</f>
        <v/>
      </c>
      <c r="E365" s="24"/>
      <c r="F365" s="28" t="str">
        <f aca="false">IF($C365="","",IFERROR(INDEX('المواد الخام'!$D$5:$D$104,MATCH($C365,'المواد الخام'!$A$5:$A$104,0)),"حبة"))</f>
        <v/>
      </c>
      <c r="G365" s="30"/>
      <c r="H365" s="29"/>
      <c r="I365" s="29"/>
    </row>
    <row r="366" customFormat="false" ht="15" hidden="false" customHeight="false" outlineLevel="0" collapsed="false">
      <c r="A366" s="32"/>
      <c r="B366" s="29"/>
      <c r="C366" s="29"/>
      <c r="D366" s="28" t="str">
        <f aca="false">IF($C366="","",IFERROR(INDEX('المواد الخام'!$B$5:$B$104,MATCH($C366,'المواد الخام'!$A$5:$A$104,0)),IFERROR(INDEX(المنتجات!$C$5:$C$24,MATCH($C366,المنتجات!$A$5:$A$24,0)),"كود غير موجود")))</f>
        <v/>
      </c>
      <c r="E366" s="24"/>
      <c r="F366" s="28" t="str">
        <f aca="false">IF($C366="","",IFERROR(INDEX('المواد الخام'!$D$5:$D$104,MATCH($C366,'المواد الخام'!$A$5:$A$104,0)),"حبة"))</f>
        <v/>
      </c>
      <c r="G366" s="30"/>
      <c r="H366" s="29"/>
      <c r="I366" s="29"/>
    </row>
    <row r="367" customFormat="false" ht="15" hidden="false" customHeight="false" outlineLevel="0" collapsed="false">
      <c r="A367" s="32"/>
      <c r="B367" s="29"/>
      <c r="C367" s="29"/>
      <c r="D367" s="28" t="str">
        <f aca="false">IF($C367="","",IFERROR(INDEX('المواد الخام'!$B$5:$B$104,MATCH($C367,'المواد الخام'!$A$5:$A$104,0)),IFERROR(INDEX(المنتجات!$C$5:$C$24,MATCH($C367,المنتجات!$A$5:$A$24,0)),"كود غير موجود")))</f>
        <v/>
      </c>
      <c r="E367" s="24"/>
      <c r="F367" s="28" t="str">
        <f aca="false">IF($C367="","",IFERROR(INDEX('المواد الخام'!$D$5:$D$104,MATCH($C367,'المواد الخام'!$A$5:$A$104,0)),"حبة"))</f>
        <v/>
      </c>
      <c r="G367" s="30"/>
      <c r="H367" s="29"/>
      <c r="I367" s="29"/>
    </row>
    <row r="368" customFormat="false" ht="15" hidden="false" customHeight="false" outlineLevel="0" collapsed="false">
      <c r="A368" s="32"/>
      <c r="B368" s="29"/>
      <c r="C368" s="29"/>
      <c r="D368" s="28" t="str">
        <f aca="false">IF($C368="","",IFERROR(INDEX('المواد الخام'!$B$5:$B$104,MATCH($C368,'المواد الخام'!$A$5:$A$104,0)),IFERROR(INDEX(المنتجات!$C$5:$C$24,MATCH($C368,المنتجات!$A$5:$A$24,0)),"كود غير موجود")))</f>
        <v/>
      </c>
      <c r="E368" s="24"/>
      <c r="F368" s="28" t="str">
        <f aca="false">IF($C368="","",IFERROR(INDEX('المواد الخام'!$D$5:$D$104,MATCH($C368,'المواد الخام'!$A$5:$A$104,0)),"حبة"))</f>
        <v/>
      </c>
      <c r="G368" s="30"/>
      <c r="H368" s="29"/>
      <c r="I368" s="29"/>
    </row>
    <row r="369" customFormat="false" ht="15" hidden="false" customHeight="false" outlineLevel="0" collapsed="false">
      <c r="A369" s="32"/>
      <c r="B369" s="29"/>
      <c r="C369" s="29"/>
      <c r="D369" s="28" t="str">
        <f aca="false">IF($C369="","",IFERROR(INDEX('المواد الخام'!$B$5:$B$104,MATCH($C369,'المواد الخام'!$A$5:$A$104,0)),IFERROR(INDEX(المنتجات!$C$5:$C$24,MATCH($C369,المنتجات!$A$5:$A$24,0)),"كود غير موجود")))</f>
        <v/>
      </c>
      <c r="E369" s="24"/>
      <c r="F369" s="28" t="str">
        <f aca="false">IF($C369="","",IFERROR(INDEX('المواد الخام'!$D$5:$D$104,MATCH($C369,'المواد الخام'!$A$5:$A$104,0)),"حبة"))</f>
        <v/>
      </c>
      <c r="G369" s="30"/>
      <c r="H369" s="29"/>
      <c r="I369" s="29"/>
    </row>
    <row r="370" customFormat="false" ht="15" hidden="false" customHeight="false" outlineLevel="0" collapsed="false">
      <c r="A370" s="32"/>
      <c r="B370" s="29"/>
      <c r="C370" s="29"/>
      <c r="D370" s="28" t="str">
        <f aca="false">IF($C370="","",IFERROR(INDEX('المواد الخام'!$B$5:$B$104,MATCH($C370,'المواد الخام'!$A$5:$A$104,0)),IFERROR(INDEX(المنتجات!$C$5:$C$24,MATCH($C370,المنتجات!$A$5:$A$24,0)),"كود غير موجود")))</f>
        <v/>
      </c>
      <c r="E370" s="24"/>
      <c r="F370" s="28" t="str">
        <f aca="false">IF($C370="","",IFERROR(INDEX('المواد الخام'!$D$5:$D$104,MATCH($C370,'المواد الخام'!$A$5:$A$104,0)),"حبة"))</f>
        <v/>
      </c>
      <c r="G370" s="30"/>
      <c r="H370" s="29"/>
      <c r="I370" s="29"/>
    </row>
    <row r="371" customFormat="false" ht="15" hidden="false" customHeight="false" outlineLevel="0" collapsed="false">
      <c r="A371" s="32"/>
      <c r="B371" s="29"/>
      <c r="C371" s="29"/>
      <c r="D371" s="28" t="str">
        <f aca="false">IF($C371="","",IFERROR(INDEX('المواد الخام'!$B$5:$B$104,MATCH($C371,'المواد الخام'!$A$5:$A$104,0)),IFERROR(INDEX(المنتجات!$C$5:$C$24,MATCH($C371,المنتجات!$A$5:$A$24,0)),"كود غير موجود")))</f>
        <v/>
      </c>
      <c r="E371" s="24"/>
      <c r="F371" s="28" t="str">
        <f aca="false">IF($C371="","",IFERROR(INDEX('المواد الخام'!$D$5:$D$104,MATCH($C371,'المواد الخام'!$A$5:$A$104,0)),"حبة"))</f>
        <v/>
      </c>
      <c r="G371" s="30"/>
      <c r="H371" s="29"/>
      <c r="I371" s="29"/>
    </row>
    <row r="372" customFormat="false" ht="15" hidden="false" customHeight="false" outlineLevel="0" collapsed="false">
      <c r="A372" s="32"/>
      <c r="B372" s="29"/>
      <c r="C372" s="29"/>
      <c r="D372" s="28" t="str">
        <f aca="false">IF($C372="","",IFERROR(INDEX('المواد الخام'!$B$5:$B$104,MATCH($C372,'المواد الخام'!$A$5:$A$104,0)),IFERROR(INDEX(المنتجات!$C$5:$C$24,MATCH($C372,المنتجات!$A$5:$A$24,0)),"كود غير موجود")))</f>
        <v/>
      </c>
      <c r="E372" s="24"/>
      <c r="F372" s="28" t="str">
        <f aca="false">IF($C372="","",IFERROR(INDEX('المواد الخام'!$D$5:$D$104,MATCH($C372,'المواد الخام'!$A$5:$A$104,0)),"حبة"))</f>
        <v/>
      </c>
      <c r="G372" s="30"/>
      <c r="H372" s="29"/>
      <c r="I372" s="29"/>
    </row>
    <row r="373" customFormat="false" ht="15" hidden="false" customHeight="false" outlineLevel="0" collapsed="false">
      <c r="A373" s="32"/>
      <c r="B373" s="29"/>
      <c r="C373" s="29"/>
      <c r="D373" s="28" t="str">
        <f aca="false">IF($C373="","",IFERROR(INDEX('المواد الخام'!$B$5:$B$104,MATCH($C373,'المواد الخام'!$A$5:$A$104,0)),IFERROR(INDEX(المنتجات!$C$5:$C$24,MATCH($C373,المنتجات!$A$5:$A$24,0)),"كود غير موجود")))</f>
        <v/>
      </c>
      <c r="E373" s="24"/>
      <c r="F373" s="28" t="str">
        <f aca="false">IF($C373="","",IFERROR(INDEX('المواد الخام'!$D$5:$D$104,MATCH($C373,'المواد الخام'!$A$5:$A$104,0)),"حبة"))</f>
        <v/>
      </c>
      <c r="G373" s="30"/>
      <c r="H373" s="29"/>
      <c r="I373" s="29"/>
    </row>
    <row r="374" customFormat="false" ht="15" hidden="false" customHeight="false" outlineLevel="0" collapsed="false">
      <c r="A374" s="32"/>
      <c r="B374" s="29"/>
      <c r="C374" s="29"/>
      <c r="D374" s="28" t="str">
        <f aca="false">IF($C374="","",IFERROR(INDEX('المواد الخام'!$B$5:$B$104,MATCH($C374,'المواد الخام'!$A$5:$A$104,0)),IFERROR(INDEX(المنتجات!$C$5:$C$24,MATCH($C374,المنتجات!$A$5:$A$24,0)),"كود غير موجود")))</f>
        <v/>
      </c>
      <c r="E374" s="24"/>
      <c r="F374" s="28" t="str">
        <f aca="false">IF($C374="","",IFERROR(INDEX('المواد الخام'!$D$5:$D$104,MATCH($C374,'المواد الخام'!$A$5:$A$104,0)),"حبة"))</f>
        <v/>
      </c>
      <c r="G374" s="30"/>
      <c r="H374" s="29"/>
      <c r="I374" s="29"/>
    </row>
    <row r="375" customFormat="false" ht="15" hidden="false" customHeight="false" outlineLevel="0" collapsed="false">
      <c r="A375" s="32"/>
      <c r="B375" s="29"/>
      <c r="C375" s="29"/>
      <c r="D375" s="28" t="str">
        <f aca="false">IF($C375="","",IFERROR(INDEX('المواد الخام'!$B$5:$B$104,MATCH($C375,'المواد الخام'!$A$5:$A$104,0)),IFERROR(INDEX(المنتجات!$C$5:$C$24,MATCH($C375,المنتجات!$A$5:$A$24,0)),"كود غير موجود")))</f>
        <v/>
      </c>
      <c r="E375" s="24"/>
      <c r="F375" s="28" t="str">
        <f aca="false">IF($C375="","",IFERROR(INDEX('المواد الخام'!$D$5:$D$104,MATCH($C375,'المواد الخام'!$A$5:$A$104,0)),"حبة"))</f>
        <v/>
      </c>
      <c r="G375" s="30"/>
      <c r="H375" s="29"/>
      <c r="I375" s="29"/>
    </row>
    <row r="376" customFormat="false" ht="15" hidden="false" customHeight="false" outlineLevel="0" collapsed="false">
      <c r="A376" s="32"/>
      <c r="B376" s="29"/>
      <c r="C376" s="29"/>
      <c r="D376" s="28" t="str">
        <f aca="false">IF($C376="","",IFERROR(INDEX('المواد الخام'!$B$5:$B$104,MATCH($C376,'المواد الخام'!$A$5:$A$104,0)),IFERROR(INDEX(المنتجات!$C$5:$C$24,MATCH($C376,المنتجات!$A$5:$A$24,0)),"كود غير موجود")))</f>
        <v/>
      </c>
      <c r="E376" s="24"/>
      <c r="F376" s="28" t="str">
        <f aca="false">IF($C376="","",IFERROR(INDEX('المواد الخام'!$D$5:$D$104,MATCH($C376,'المواد الخام'!$A$5:$A$104,0)),"حبة"))</f>
        <v/>
      </c>
      <c r="G376" s="30"/>
      <c r="H376" s="29"/>
      <c r="I376" s="29"/>
    </row>
    <row r="377" customFormat="false" ht="15" hidden="false" customHeight="false" outlineLevel="0" collapsed="false">
      <c r="A377" s="32"/>
      <c r="B377" s="29"/>
      <c r="C377" s="29"/>
      <c r="D377" s="28" t="str">
        <f aca="false">IF($C377="","",IFERROR(INDEX('المواد الخام'!$B$5:$B$104,MATCH($C377,'المواد الخام'!$A$5:$A$104,0)),IFERROR(INDEX(المنتجات!$C$5:$C$24,MATCH($C377,المنتجات!$A$5:$A$24,0)),"كود غير موجود")))</f>
        <v/>
      </c>
      <c r="E377" s="24"/>
      <c r="F377" s="28" t="str">
        <f aca="false">IF($C377="","",IFERROR(INDEX('المواد الخام'!$D$5:$D$104,MATCH($C377,'المواد الخام'!$A$5:$A$104,0)),"حبة"))</f>
        <v/>
      </c>
      <c r="G377" s="30"/>
      <c r="H377" s="29"/>
      <c r="I377" s="29"/>
    </row>
    <row r="378" customFormat="false" ht="15" hidden="false" customHeight="false" outlineLevel="0" collapsed="false">
      <c r="A378" s="32"/>
      <c r="B378" s="29"/>
      <c r="C378" s="29"/>
      <c r="D378" s="28" t="str">
        <f aca="false">IF($C378="","",IFERROR(INDEX('المواد الخام'!$B$5:$B$104,MATCH($C378,'المواد الخام'!$A$5:$A$104,0)),IFERROR(INDEX(المنتجات!$C$5:$C$24,MATCH($C378,المنتجات!$A$5:$A$24,0)),"كود غير موجود")))</f>
        <v/>
      </c>
      <c r="E378" s="24"/>
      <c r="F378" s="28" t="str">
        <f aca="false">IF($C378="","",IFERROR(INDEX('المواد الخام'!$D$5:$D$104,MATCH($C378,'المواد الخام'!$A$5:$A$104,0)),"حبة"))</f>
        <v/>
      </c>
      <c r="G378" s="30"/>
      <c r="H378" s="29"/>
      <c r="I378" s="29"/>
    </row>
    <row r="379" customFormat="false" ht="15" hidden="false" customHeight="false" outlineLevel="0" collapsed="false">
      <c r="A379" s="32"/>
      <c r="B379" s="29"/>
      <c r="C379" s="29"/>
      <c r="D379" s="28" t="str">
        <f aca="false">IF($C379="","",IFERROR(INDEX('المواد الخام'!$B$5:$B$104,MATCH($C379,'المواد الخام'!$A$5:$A$104,0)),IFERROR(INDEX(المنتجات!$C$5:$C$24,MATCH($C379,المنتجات!$A$5:$A$24,0)),"كود غير موجود")))</f>
        <v/>
      </c>
      <c r="E379" s="24"/>
      <c r="F379" s="28" t="str">
        <f aca="false">IF($C379="","",IFERROR(INDEX('المواد الخام'!$D$5:$D$104,MATCH($C379,'المواد الخام'!$A$5:$A$104,0)),"حبة"))</f>
        <v/>
      </c>
      <c r="G379" s="30"/>
      <c r="H379" s="29"/>
      <c r="I379" s="29"/>
    </row>
    <row r="380" customFormat="false" ht="15" hidden="false" customHeight="false" outlineLevel="0" collapsed="false">
      <c r="A380" s="32"/>
      <c r="B380" s="29"/>
      <c r="C380" s="29"/>
      <c r="D380" s="28" t="str">
        <f aca="false">IF($C380="","",IFERROR(INDEX('المواد الخام'!$B$5:$B$104,MATCH($C380,'المواد الخام'!$A$5:$A$104,0)),IFERROR(INDEX(المنتجات!$C$5:$C$24,MATCH($C380,المنتجات!$A$5:$A$24,0)),"كود غير موجود")))</f>
        <v/>
      </c>
      <c r="E380" s="24"/>
      <c r="F380" s="28" t="str">
        <f aca="false">IF($C380="","",IFERROR(INDEX('المواد الخام'!$D$5:$D$104,MATCH($C380,'المواد الخام'!$A$5:$A$104,0)),"حبة"))</f>
        <v/>
      </c>
      <c r="G380" s="30"/>
      <c r="H380" s="29"/>
      <c r="I380" s="29"/>
    </row>
    <row r="381" customFormat="false" ht="15" hidden="false" customHeight="false" outlineLevel="0" collapsed="false">
      <c r="A381" s="32"/>
      <c r="B381" s="29"/>
      <c r="C381" s="29"/>
      <c r="D381" s="28" t="str">
        <f aca="false">IF($C381="","",IFERROR(INDEX('المواد الخام'!$B$5:$B$104,MATCH($C381,'المواد الخام'!$A$5:$A$104,0)),IFERROR(INDEX(المنتجات!$C$5:$C$24,MATCH($C381,المنتجات!$A$5:$A$24,0)),"كود غير موجود")))</f>
        <v/>
      </c>
      <c r="E381" s="24"/>
      <c r="F381" s="28" t="str">
        <f aca="false">IF($C381="","",IFERROR(INDEX('المواد الخام'!$D$5:$D$104,MATCH($C381,'المواد الخام'!$A$5:$A$104,0)),"حبة"))</f>
        <v/>
      </c>
      <c r="G381" s="30"/>
      <c r="H381" s="29"/>
      <c r="I381" s="29"/>
    </row>
    <row r="382" customFormat="false" ht="15" hidden="false" customHeight="false" outlineLevel="0" collapsed="false">
      <c r="A382" s="32"/>
      <c r="B382" s="29"/>
      <c r="C382" s="29"/>
      <c r="D382" s="28" t="str">
        <f aca="false">IF($C382="","",IFERROR(INDEX('المواد الخام'!$B$5:$B$104,MATCH($C382,'المواد الخام'!$A$5:$A$104,0)),IFERROR(INDEX(المنتجات!$C$5:$C$24,MATCH($C382,المنتجات!$A$5:$A$24,0)),"كود غير موجود")))</f>
        <v/>
      </c>
      <c r="E382" s="24"/>
      <c r="F382" s="28" t="str">
        <f aca="false">IF($C382="","",IFERROR(INDEX('المواد الخام'!$D$5:$D$104,MATCH($C382,'المواد الخام'!$A$5:$A$104,0)),"حبة"))</f>
        <v/>
      </c>
      <c r="G382" s="30"/>
      <c r="H382" s="29"/>
      <c r="I382" s="29"/>
    </row>
    <row r="383" customFormat="false" ht="15" hidden="false" customHeight="false" outlineLevel="0" collapsed="false">
      <c r="A383" s="32"/>
      <c r="B383" s="29"/>
      <c r="C383" s="29"/>
      <c r="D383" s="28" t="str">
        <f aca="false">IF($C383="","",IFERROR(INDEX('المواد الخام'!$B$5:$B$104,MATCH($C383,'المواد الخام'!$A$5:$A$104,0)),IFERROR(INDEX(المنتجات!$C$5:$C$24,MATCH($C383,المنتجات!$A$5:$A$24,0)),"كود غير موجود")))</f>
        <v/>
      </c>
      <c r="E383" s="24"/>
      <c r="F383" s="28" t="str">
        <f aca="false">IF($C383="","",IFERROR(INDEX('المواد الخام'!$D$5:$D$104,MATCH($C383,'المواد الخام'!$A$5:$A$104,0)),"حبة"))</f>
        <v/>
      </c>
      <c r="G383" s="30"/>
      <c r="H383" s="29"/>
      <c r="I383" s="29"/>
    </row>
    <row r="384" customFormat="false" ht="15" hidden="false" customHeight="false" outlineLevel="0" collapsed="false">
      <c r="A384" s="32"/>
      <c r="B384" s="29"/>
      <c r="C384" s="29"/>
      <c r="D384" s="28" t="str">
        <f aca="false">IF($C384="","",IFERROR(INDEX('المواد الخام'!$B$5:$B$104,MATCH($C384,'المواد الخام'!$A$5:$A$104,0)),IFERROR(INDEX(المنتجات!$C$5:$C$24,MATCH($C384,المنتجات!$A$5:$A$24,0)),"كود غير موجود")))</f>
        <v/>
      </c>
      <c r="E384" s="24"/>
      <c r="F384" s="28" t="str">
        <f aca="false">IF($C384="","",IFERROR(INDEX('المواد الخام'!$D$5:$D$104,MATCH($C384,'المواد الخام'!$A$5:$A$104,0)),"حبة"))</f>
        <v/>
      </c>
      <c r="G384" s="30"/>
      <c r="H384" s="29"/>
      <c r="I384" s="29"/>
    </row>
    <row r="385" customFormat="false" ht="15" hidden="false" customHeight="false" outlineLevel="0" collapsed="false">
      <c r="A385" s="32"/>
      <c r="B385" s="29"/>
      <c r="C385" s="29"/>
      <c r="D385" s="28" t="str">
        <f aca="false">IF($C385="","",IFERROR(INDEX('المواد الخام'!$B$5:$B$104,MATCH($C385,'المواد الخام'!$A$5:$A$104,0)),IFERROR(INDEX(المنتجات!$C$5:$C$24,MATCH($C385,المنتجات!$A$5:$A$24,0)),"كود غير موجود")))</f>
        <v/>
      </c>
      <c r="E385" s="24"/>
      <c r="F385" s="28" t="str">
        <f aca="false">IF($C385="","",IFERROR(INDEX('المواد الخام'!$D$5:$D$104,MATCH($C385,'المواد الخام'!$A$5:$A$104,0)),"حبة"))</f>
        <v/>
      </c>
      <c r="G385" s="30"/>
      <c r="H385" s="29"/>
      <c r="I385" s="29"/>
    </row>
    <row r="386" customFormat="false" ht="15" hidden="false" customHeight="false" outlineLevel="0" collapsed="false">
      <c r="A386" s="32"/>
      <c r="B386" s="29"/>
      <c r="C386" s="29"/>
      <c r="D386" s="28" t="str">
        <f aca="false">IF($C386="","",IFERROR(INDEX('المواد الخام'!$B$5:$B$104,MATCH($C386,'المواد الخام'!$A$5:$A$104,0)),IFERROR(INDEX(المنتجات!$C$5:$C$24,MATCH($C386,المنتجات!$A$5:$A$24,0)),"كود غير موجود")))</f>
        <v/>
      </c>
      <c r="E386" s="24"/>
      <c r="F386" s="28" t="str">
        <f aca="false">IF($C386="","",IFERROR(INDEX('المواد الخام'!$D$5:$D$104,MATCH($C386,'المواد الخام'!$A$5:$A$104,0)),"حبة"))</f>
        <v/>
      </c>
      <c r="G386" s="30"/>
      <c r="H386" s="29"/>
      <c r="I386" s="29"/>
    </row>
    <row r="387" customFormat="false" ht="15" hidden="false" customHeight="false" outlineLevel="0" collapsed="false">
      <c r="A387" s="32"/>
      <c r="B387" s="29"/>
      <c r="C387" s="29"/>
      <c r="D387" s="28" t="str">
        <f aca="false">IF($C387="","",IFERROR(INDEX('المواد الخام'!$B$5:$B$104,MATCH($C387,'المواد الخام'!$A$5:$A$104,0)),IFERROR(INDEX(المنتجات!$C$5:$C$24,MATCH($C387,المنتجات!$A$5:$A$24,0)),"كود غير موجود")))</f>
        <v/>
      </c>
      <c r="E387" s="24"/>
      <c r="F387" s="28" t="str">
        <f aca="false">IF($C387="","",IFERROR(INDEX('المواد الخام'!$D$5:$D$104,MATCH($C387,'المواد الخام'!$A$5:$A$104,0)),"حبة"))</f>
        <v/>
      </c>
      <c r="G387" s="30"/>
      <c r="H387" s="29"/>
      <c r="I387" s="29"/>
    </row>
    <row r="388" customFormat="false" ht="15" hidden="false" customHeight="false" outlineLevel="0" collapsed="false">
      <c r="A388" s="32"/>
      <c r="B388" s="29"/>
      <c r="C388" s="29"/>
      <c r="D388" s="28" t="str">
        <f aca="false">IF($C388="","",IFERROR(INDEX('المواد الخام'!$B$5:$B$104,MATCH($C388,'المواد الخام'!$A$5:$A$104,0)),IFERROR(INDEX(المنتجات!$C$5:$C$24,MATCH($C388,المنتجات!$A$5:$A$24,0)),"كود غير موجود")))</f>
        <v/>
      </c>
      <c r="E388" s="24"/>
      <c r="F388" s="28" t="str">
        <f aca="false">IF($C388="","",IFERROR(INDEX('المواد الخام'!$D$5:$D$104,MATCH($C388,'المواد الخام'!$A$5:$A$104,0)),"حبة"))</f>
        <v/>
      </c>
      <c r="G388" s="30"/>
      <c r="H388" s="29"/>
      <c r="I388" s="29"/>
    </row>
    <row r="389" customFormat="false" ht="15" hidden="false" customHeight="false" outlineLevel="0" collapsed="false">
      <c r="A389" s="32"/>
      <c r="B389" s="29"/>
      <c r="C389" s="29"/>
      <c r="D389" s="28" t="str">
        <f aca="false">IF($C389="","",IFERROR(INDEX('المواد الخام'!$B$5:$B$104,MATCH($C389,'المواد الخام'!$A$5:$A$104,0)),IFERROR(INDEX(المنتجات!$C$5:$C$24,MATCH($C389,المنتجات!$A$5:$A$24,0)),"كود غير موجود")))</f>
        <v/>
      </c>
      <c r="E389" s="24"/>
      <c r="F389" s="28" t="str">
        <f aca="false">IF($C389="","",IFERROR(INDEX('المواد الخام'!$D$5:$D$104,MATCH($C389,'المواد الخام'!$A$5:$A$104,0)),"حبة"))</f>
        <v/>
      </c>
      <c r="G389" s="30"/>
      <c r="H389" s="29"/>
      <c r="I389" s="29"/>
    </row>
    <row r="390" customFormat="false" ht="15" hidden="false" customHeight="false" outlineLevel="0" collapsed="false">
      <c r="A390" s="32"/>
      <c r="B390" s="29"/>
      <c r="C390" s="29"/>
      <c r="D390" s="28" t="str">
        <f aca="false">IF($C390="","",IFERROR(INDEX('المواد الخام'!$B$5:$B$104,MATCH($C390,'المواد الخام'!$A$5:$A$104,0)),IFERROR(INDEX(المنتجات!$C$5:$C$24,MATCH($C390,المنتجات!$A$5:$A$24,0)),"كود غير موجود")))</f>
        <v/>
      </c>
      <c r="E390" s="24"/>
      <c r="F390" s="28" t="str">
        <f aca="false">IF($C390="","",IFERROR(INDEX('المواد الخام'!$D$5:$D$104,MATCH($C390,'المواد الخام'!$A$5:$A$104,0)),"حبة"))</f>
        <v/>
      </c>
      <c r="G390" s="30"/>
      <c r="H390" s="29"/>
      <c r="I390" s="29"/>
    </row>
    <row r="391" customFormat="false" ht="15" hidden="false" customHeight="false" outlineLevel="0" collapsed="false">
      <c r="A391" s="32"/>
      <c r="B391" s="29"/>
      <c r="C391" s="29"/>
      <c r="D391" s="28" t="str">
        <f aca="false">IF($C391="","",IFERROR(INDEX('المواد الخام'!$B$5:$B$104,MATCH($C391,'المواد الخام'!$A$5:$A$104,0)),IFERROR(INDEX(المنتجات!$C$5:$C$24,MATCH($C391,المنتجات!$A$5:$A$24,0)),"كود غير موجود")))</f>
        <v/>
      </c>
      <c r="E391" s="24"/>
      <c r="F391" s="28" t="str">
        <f aca="false">IF($C391="","",IFERROR(INDEX('المواد الخام'!$D$5:$D$104,MATCH($C391,'المواد الخام'!$A$5:$A$104,0)),"حبة"))</f>
        <v/>
      </c>
      <c r="G391" s="30"/>
      <c r="H391" s="29"/>
      <c r="I391" s="29"/>
    </row>
    <row r="392" customFormat="false" ht="15" hidden="false" customHeight="false" outlineLevel="0" collapsed="false">
      <c r="A392" s="32"/>
      <c r="B392" s="29"/>
      <c r="C392" s="29"/>
      <c r="D392" s="28" t="str">
        <f aca="false">IF($C392="","",IFERROR(INDEX('المواد الخام'!$B$5:$B$104,MATCH($C392,'المواد الخام'!$A$5:$A$104,0)),IFERROR(INDEX(المنتجات!$C$5:$C$24,MATCH($C392,المنتجات!$A$5:$A$24,0)),"كود غير موجود")))</f>
        <v/>
      </c>
      <c r="E392" s="24"/>
      <c r="F392" s="28" t="str">
        <f aca="false">IF($C392="","",IFERROR(INDEX('المواد الخام'!$D$5:$D$104,MATCH($C392,'المواد الخام'!$A$5:$A$104,0)),"حبة"))</f>
        <v/>
      </c>
      <c r="G392" s="30"/>
      <c r="H392" s="29"/>
      <c r="I392" s="29"/>
    </row>
    <row r="393" customFormat="false" ht="15" hidden="false" customHeight="false" outlineLevel="0" collapsed="false">
      <c r="A393" s="32"/>
      <c r="B393" s="29"/>
      <c r="C393" s="29"/>
      <c r="D393" s="28" t="str">
        <f aca="false">IF($C393="","",IFERROR(INDEX('المواد الخام'!$B$5:$B$104,MATCH($C393,'المواد الخام'!$A$5:$A$104,0)),IFERROR(INDEX(المنتجات!$C$5:$C$24,MATCH($C393,المنتجات!$A$5:$A$24,0)),"كود غير موجود")))</f>
        <v/>
      </c>
      <c r="E393" s="24"/>
      <c r="F393" s="28" t="str">
        <f aca="false">IF($C393="","",IFERROR(INDEX('المواد الخام'!$D$5:$D$104,MATCH($C393,'المواد الخام'!$A$5:$A$104,0)),"حبة"))</f>
        <v/>
      </c>
      <c r="G393" s="30"/>
      <c r="H393" s="29"/>
      <c r="I393" s="29"/>
    </row>
    <row r="394" customFormat="false" ht="15" hidden="false" customHeight="false" outlineLevel="0" collapsed="false">
      <c r="A394" s="32"/>
      <c r="B394" s="29"/>
      <c r="C394" s="29"/>
      <c r="D394" s="28" t="str">
        <f aca="false">IF($C394="","",IFERROR(INDEX('المواد الخام'!$B$5:$B$104,MATCH($C394,'المواد الخام'!$A$5:$A$104,0)),IFERROR(INDEX(المنتجات!$C$5:$C$24,MATCH($C394,المنتجات!$A$5:$A$24,0)),"كود غير موجود")))</f>
        <v/>
      </c>
      <c r="E394" s="24"/>
      <c r="F394" s="28" t="str">
        <f aca="false">IF($C394="","",IFERROR(INDEX('المواد الخام'!$D$5:$D$104,MATCH($C394,'المواد الخام'!$A$5:$A$104,0)),"حبة"))</f>
        <v/>
      </c>
      <c r="G394" s="30"/>
      <c r="H394" s="29"/>
      <c r="I394" s="29"/>
    </row>
    <row r="395" customFormat="false" ht="15" hidden="false" customHeight="false" outlineLevel="0" collapsed="false">
      <c r="A395" s="32"/>
      <c r="B395" s="29"/>
      <c r="C395" s="29"/>
      <c r="D395" s="28" t="str">
        <f aca="false">IF($C395="","",IFERROR(INDEX('المواد الخام'!$B$5:$B$104,MATCH($C395,'المواد الخام'!$A$5:$A$104,0)),IFERROR(INDEX(المنتجات!$C$5:$C$24,MATCH($C395,المنتجات!$A$5:$A$24,0)),"كود غير موجود")))</f>
        <v/>
      </c>
      <c r="E395" s="24"/>
      <c r="F395" s="28" t="str">
        <f aca="false">IF($C395="","",IFERROR(INDEX('المواد الخام'!$D$5:$D$104,MATCH($C395,'المواد الخام'!$A$5:$A$104,0)),"حبة"))</f>
        <v/>
      </c>
      <c r="G395" s="30"/>
      <c r="H395" s="29"/>
      <c r="I395" s="29"/>
    </row>
    <row r="396" customFormat="false" ht="15" hidden="false" customHeight="false" outlineLevel="0" collapsed="false">
      <c r="A396" s="32"/>
      <c r="B396" s="29"/>
      <c r="C396" s="29"/>
      <c r="D396" s="28" t="str">
        <f aca="false">IF($C396="","",IFERROR(INDEX('المواد الخام'!$B$5:$B$104,MATCH($C396,'المواد الخام'!$A$5:$A$104,0)),IFERROR(INDEX(المنتجات!$C$5:$C$24,MATCH($C396,المنتجات!$A$5:$A$24,0)),"كود غير موجود")))</f>
        <v/>
      </c>
      <c r="E396" s="24"/>
      <c r="F396" s="28" t="str">
        <f aca="false">IF($C396="","",IFERROR(INDEX('المواد الخام'!$D$5:$D$104,MATCH($C396,'المواد الخام'!$A$5:$A$104,0)),"حبة"))</f>
        <v/>
      </c>
      <c r="G396" s="30"/>
      <c r="H396" s="29"/>
      <c r="I396" s="29"/>
    </row>
    <row r="397" customFormat="false" ht="15" hidden="false" customHeight="false" outlineLevel="0" collapsed="false">
      <c r="A397" s="32"/>
      <c r="B397" s="29"/>
      <c r="C397" s="29"/>
      <c r="D397" s="28" t="str">
        <f aca="false">IF($C397="","",IFERROR(INDEX('المواد الخام'!$B$5:$B$104,MATCH($C397,'المواد الخام'!$A$5:$A$104,0)),IFERROR(INDEX(المنتجات!$C$5:$C$24,MATCH($C397,المنتجات!$A$5:$A$24,0)),"كود غير موجود")))</f>
        <v/>
      </c>
      <c r="E397" s="24"/>
      <c r="F397" s="28" t="str">
        <f aca="false">IF($C397="","",IFERROR(INDEX('المواد الخام'!$D$5:$D$104,MATCH($C397,'المواد الخام'!$A$5:$A$104,0)),"حبة"))</f>
        <v/>
      </c>
      <c r="G397" s="30"/>
      <c r="H397" s="29"/>
      <c r="I397" s="29"/>
    </row>
    <row r="398" customFormat="false" ht="15" hidden="false" customHeight="false" outlineLevel="0" collapsed="false">
      <c r="A398" s="32"/>
      <c r="B398" s="29"/>
      <c r="C398" s="29"/>
      <c r="D398" s="28" t="str">
        <f aca="false">IF($C398="","",IFERROR(INDEX('المواد الخام'!$B$5:$B$104,MATCH($C398,'المواد الخام'!$A$5:$A$104,0)),IFERROR(INDEX(المنتجات!$C$5:$C$24,MATCH($C398,المنتجات!$A$5:$A$24,0)),"كود غير موجود")))</f>
        <v/>
      </c>
      <c r="E398" s="24"/>
      <c r="F398" s="28" t="str">
        <f aca="false">IF($C398="","",IFERROR(INDEX('المواد الخام'!$D$5:$D$104,MATCH($C398,'المواد الخام'!$A$5:$A$104,0)),"حبة"))</f>
        <v/>
      </c>
      <c r="G398" s="30"/>
      <c r="H398" s="29"/>
      <c r="I398" s="29"/>
    </row>
    <row r="399" customFormat="false" ht="15" hidden="false" customHeight="false" outlineLevel="0" collapsed="false">
      <c r="A399" s="32"/>
      <c r="B399" s="29"/>
      <c r="C399" s="29"/>
      <c r="D399" s="28" t="str">
        <f aca="false">IF($C399="","",IFERROR(INDEX('المواد الخام'!$B$5:$B$104,MATCH($C399,'المواد الخام'!$A$5:$A$104,0)),IFERROR(INDEX(المنتجات!$C$5:$C$24,MATCH($C399,المنتجات!$A$5:$A$24,0)),"كود غير موجود")))</f>
        <v/>
      </c>
      <c r="E399" s="24"/>
      <c r="F399" s="28" t="str">
        <f aca="false">IF($C399="","",IFERROR(INDEX('المواد الخام'!$D$5:$D$104,MATCH($C399,'المواد الخام'!$A$5:$A$104,0)),"حبة"))</f>
        <v/>
      </c>
      <c r="G399" s="30"/>
      <c r="H399" s="29"/>
      <c r="I399" s="29"/>
    </row>
    <row r="400" customFormat="false" ht="15" hidden="false" customHeight="false" outlineLevel="0" collapsed="false">
      <c r="A400" s="32"/>
      <c r="B400" s="29"/>
      <c r="C400" s="29"/>
      <c r="D400" s="28" t="str">
        <f aca="false">IF($C400="","",IFERROR(INDEX('المواد الخام'!$B$5:$B$104,MATCH($C400,'المواد الخام'!$A$5:$A$104,0)),IFERROR(INDEX(المنتجات!$C$5:$C$24,MATCH($C400,المنتجات!$A$5:$A$24,0)),"كود غير موجود")))</f>
        <v/>
      </c>
      <c r="E400" s="24"/>
      <c r="F400" s="28" t="str">
        <f aca="false">IF($C400="","",IFERROR(INDEX('المواد الخام'!$D$5:$D$104,MATCH($C400,'المواد الخام'!$A$5:$A$104,0)),"حبة"))</f>
        <v/>
      </c>
      <c r="G400" s="30"/>
      <c r="H400" s="29"/>
      <c r="I400" s="29"/>
    </row>
    <row r="401" customFormat="false" ht="15" hidden="false" customHeight="false" outlineLevel="0" collapsed="false">
      <c r="A401" s="32"/>
      <c r="B401" s="29"/>
      <c r="C401" s="29"/>
      <c r="D401" s="28" t="str">
        <f aca="false">IF($C401="","",IFERROR(INDEX('المواد الخام'!$B$5:$B$104,MATCH($C401,'المواد الخام'!$A$5:$A$104,0)),IFERROR(INDEX(المنتجات!$C$5:$C$24,MATCH($C401,المنتجات!$A$5:$A$24,0)),"كود غير موجود")))</f>
        <v/>
      </c>
      <c r="E401" s="24"/>
      <c r="F401" s="28" t="str">
        <f aca="false">IF($C401="","",IFERROR(INDEX('المواد الخام'!$D$5:$D$104,MATCH($C401,'المواد الخام'!$A$5:$A$104,0)),"حبة"))</f>
        <v/>
      </c>
      <c r="G401" s="30"/>
      <c r="H401" s="29"/>
      <c r="I401" s="29"/>
    </row>
    <row r="402" customFormat="false" ht="15" hidden="false" customHeight="false" outlineLevel="0" collapsed="false">
      <c r="A402" s="32"/>
      <c r="B402" s="29"/>
      <c r="C402" s="29"/>
      <c r="D402" s="28" t="str">
        <f aca="false">IF($C402="","",IFERROR(INDEX('المواد الخام'!$B$5:$B$104,MATCH($C402,'المواد الخام'!$A$5:$A$104,0)),IFERROR(INDEX(المنتجات!$C$5:$C$24,MATCH($C402,المنتجات!$A$5:$A$24,0)),"كود غير موجود")))</f>
        <v/>
      </c>
      <c r="E402" s="24"/>
      <c r="F402" s="28" t="str">
        <f aca="false">IF($C402="","",IFERROR(INDEX('المواد الخام'!$D$5:$D$104,MATCH($C402,'المواد الخام'!$A$5:$A$104,0)),"حبة"))</f>
        <v/>
      </c>
      <c r="G402" s="30"/>
      <c r="H402" s="29"/>
      <c r="I402" s="29"/>
    </row>
    <row r="403" customFormat="false" ht="15" hidden="false" customHeight="false" outlineLevel="0" collapsed="false">
      <c r="A403" s="32"/>
      <c r="B403" s="29"/>
      <c r="C403" s="29"/>
      <c r="D403" s="28" t="str">
        <f aca="false">IF($C403="","",IFERROR(INDEX('المواد الخام'!$B$5:$B$104,MATCH($C403,'المواد الخام'!$A$5:$A$104,0)),IFERROR(INDEX(المنتجات!$C$5:$C$24,MATCH($C403,المنتجات!$A$5:$A$24,0)),"كود غير موجود")))</f>
        <v/>
      </c>
      <c r="E403" s="24"/>
      <c r="F403" s="28" t="str">
        <f aca="false">IF($C403="","",IFERROR(INDEX('المواد الخام'!$D$5:$D$104,MATCH($C403,'المواد الخام'!$A$5:$A$104,0)),"حبة"))</f>
        <v/>
      </c>
      <c r="G403" s="30"/>
      <c r="H403" s="29"/>
      <c r="I403" s="29"/>
    </row>
    <row r="404" customFormat="false" ht="15" hidden="false" customHeight="false" outlineLevel="0" collapsed="false">
      <c r="A404" s="32"/>
      <c r="B404" s="29"/>
      <c r="C404" s="29"/>
      <c r="D404" s="28" t="str">
        <f aca="false">IF($C404="","",IFERROR(INDEX('المواد الخام'!$B$5:$B$104,MATCH($C404,'المواد الخام'!$A$5:$A$104,0)),IFERROR(INDEX(المنتجات!$C$5:$C$24,MATCH($C404,المنتجات!$A$5:$A$24,0)),"كود غير موجود")))</f>
        <v/>
      </c>
      <c r="E404" s="24"/>
      <c r="F404" s="28" t="str">
        <f aca="false">IF($C404="","",IFERROR(INDEX('المواد الخام'!$D$5:$D$104,MATCH($C404,'المواد الخام'!$A$5:$A$104,0)),"حبة"))</f>
        <v/>
      </c>
      <c r="G404" s="30"/>
      <c r="H404" s="29"/>
      <c r="I404" s="29"/>
    </row>
    <row r="405" customFormat="false" ht="15" hidden="false" customHeight="false" outlineLevel="0" collapsed="false">
      <c r="A405" s="32"/>
      <c r="B405" s="29"/>
      <c r="C405" s="29"/>
      <c r="D405" s="28" t="str">
        <f aca="false">IF($C405="","",IFERROR(INDEX('المواد الخام'!$B$5:$B$104,MATCH($C405,'المواد الخام'!$A$5:$A$104,0)),IFERROR(INDEX(المنتجات!$C$5:$C$24,MATCH($C405,المنتجات!$A$5:$A$24,0)),"كود غير موجود")))</f>
        <v/>
      </c>
      <c r="E405" s="24"/>
      <c r="F405" s="28" t="str">
        <f aca="false">IF($C405="","",IFERROR(INDEX('المواد الخام'!$D$5:$D$104,MATCH($C405,'المواد الخام'!$A$5:$A$104,0)),"حبة"))</f>
        <v/>
      </c>
      <c r="G405" s="30"/>
      <c r="H405" s="29"/>
      <c r="I405" s="29"/>
    </row>
    <row r="406" customFormat="false" ht="15" hidden="false" customHeight="false" outlineLevel="0" collapsed="false">
      <c r="A406" s="32"/>
      <c r="B406" s="29"/>
      <c r="C406" s="29"/>
      <c r="D406" s="28" t="str">
        <f aca="false">IF($C406="","",IFERROR(INDEX('المواد الخام'!$B$5:$B$104,MATCH($C406,'المواد الخام'!$A$5:$A$104,0)),IFERROR(INDEX(المنتجات!$C$5:$C$24,MATCH($C406,المنتجات!$A$5:$A$24,0)),"كود غير موجود")))</f>
        <v/>
      </c>
      <c r="E406" s="24"/>
      <c r="F406" s="28" t="str">
        <f aca="false">IF($C406="","",IFERROR(INDEX('المواد الخام'!$D$5:$D$104,MATCH($C406,'المواد الخام'!$A$5:$A$104,0)),"حبة"))</f>
        <v/>
      </c>
      <c r="G406" s="30"/>
      <c r="H406" s="29"/>
      <c r="I406" s="29"/>
    </row>
    <row r="407" customFormat="false" ht="15" hidden="false" customHeight="false" outlineLevel="0" collapsed="false">
      <c r="A407" s="32"/>
      <c r="B407" s="29"/>
      <c r="C407" s="29"/>
      <c r="D407" s="28" t="str">
        <f aca="false">IF($C407="","",IFERROR(INDEX('المواد الخام'!$B$5:$B$104,MATCH($C407,'المواد الخام'!$A$5:$A$104,0)),IFERROR(INDEX(المنتجات!$C$5:$C$24,MATCH($C407,المنتجات!$A$5:$A$24,0)),"كود غير موجود")))</f>
        <v/>
      </c>
      <c r="E407" s="24"/>
      <c r="F407" s="28" t="str">
        <f aca="false">IF($C407="","",IFERROR(INDEX('المواد الخام'!$D$5:$D$104,MATCH($C407,'المواد الخام'!$A$5:$A$104,0)),"حبة"))</f>
        <v/>
      </c>
      <c r="G407" s="30"/>
      <c r="H407" s="29"/>
      <c r="I407" s="29"/>
    </row>
    <row r="408" customFormat="false" ht="15" hidden="false" customHeight="false" outlineLevel="0" collapsed="false">
      <c r="A408" s="32"/>
      <c r="B408" s="29"/>
      <c r="C408" s="29"/>
      <c r="D408" s="28" t="str">
        <f aca="false">IF($C408="","",IFERROR(INDEX('المواد الخام'!$B$5:$B$104,MATCH($C408,'المواد الخام'!$A$5:$A$104,0)),IFERROR(INDEX(المنتجات!$C$5:$C$24,MATCH($C408,المنتجات!$A$5:$A$24,0)),"كود غير موجود")))</f>
        <v/>
      </c>
      <c r="E408" s="24"/>
      <c r="F408" s="28" t="str">
        <f aca="false">IF($C408="","",IFERROR(INDEX('المواد الخام'!$D$5:$D$104,MATCH($C408,'المواد الخام'!$A$5:$A$104,0)),"حبة"))</f>
        <v/>
      </c>
      <c r="G408" s="30"/>
      <c r="H408" s="29"/>
      <c r="I408" s="29"/>
    </row>
    <row r="409" customFormat="false" ht="15" hidden="false" customHeight="false" outlineLevel="0" collapsed="false">
      <c r="A409" s="32"/>
      <c r="B409" s="29"/>
      <c r="C409" s="29"/>
      <c r="D409" s="28" t="str">
        <f aca="false">IF($C409="","",IFERROR(INDEX('المواد الخام'!$B$5:$B$104,MATCH($C409,'المواد الخام'!$A$5:$A$104,0)),IFERROR(INDEX(المنتجات!$C$5:$C$24,MATCH($C409,المنتجات!$A$5:$A$24,0)),"كود غير موجود")))</f>
        <v/>
      </c>
      <c r="E409" s="24"/>
      <c r="F409" s="28" t="str">
        <f aca="false">IF($C409="","",IFERROR(INDEX('المواد الخام'!$D$5:$D$104,MATCH($C409,'المواد الخام'!$A$5:$A$104,0)),"حبة"))</f>
        <v/>
      </c>
      <c r="G409" s="30"/>
      <c r="H409" s="29"/>
      <c r="I409" s="29"/>
    </row>
    <row r="410" customFormat="false" ht="15" hidden="false" customHeight="false" outlineLevel="0" collapsed="false">
      <c r="A410" s="32"/>
      <c r="B410" s="29"/>
      <c r="C410" s="29"/>
      <c r="D410" s="28" t="str">
        <f aca="false">IF($C410="","",IFERROR(INDEX('المواد الخام'!$B$5:$B$104,MATCH($C410,'المواد الخام'!$A$5:$A$104,0)),IFERROR(INDEX(المنتجات!$C$5:$C$24,MATCH($C410,المنتجات!$A$5:$A$24,0)),"كود غير موجود")))</f>
        <v/>
      </c>
      <c r="E410" s="24"/>
      <c r="F410" s="28" t="str">
        <f aca="false">IF($C410="","",IFERROR(INDEX('المواد الخام'!$D$5:$D$104,MATCH($C410,'المواد الخام'!$A$5:$A$104,0)),"حبة"))</f>
        <v/>
      </c>
      <c r="G410" s="30"/>
      <c r="H410" s="29"/>
      <c r="I410" s="29"/>
    </row>
    <row r="411" customFormat="false" ht="15" hidden="false" customHeight="false" outlineLevel="0" collapsed="false">
      <c r="A411" s="32"/>
      <c r="B411" s="29"/>
      <c r="C411" s="29"/>
      <c r="D411" s="28" t="str">
        <f aca="false">IF($C411="","",IFERROR(INDEX('المواد الخام'!$B$5:$B$104,MATCH($C411,'المواد الخام'!$A$5:$A$104,0)),IFERROR(INDEX(المنتجات!$C$5:$C$24,MATCH($C411,المنتجات!$A$5:$A$24,0)),"كود غير موجود")))</f>
        <v/>
      </c>
      <c r="E411" s="24"/>
      <c r="F411" s="28" t="str">
        <f aca="false">IF($C411="","",IFERROR(INDEX('المواد الخام'!$D$5:$D$104,MATCH($C411,'المواد الخام'!$A$5:$A$104,0)),"حبة"))</f>
        <v/>
      </c>
      <c r="G411" s="30"/>
      <c r="H411" s="29"/>
      <c r="I411" s="29"/>
    </row>
    <row r="412" customFormat="false" ht="15" hidden="false" customHeight="false" outlineLevel="0" collapsed="false">
      <c r="A412" s="32"/>
      <c r="B412" s="29"/>
      <c r="C412" s="29"/>
      <c r="D412" s="28" t="str">
        <f aca="false">IF($C412="","",IFERROR(INDEX('المواد الخام'!$B$5:$B$104,MATCH($C412,'المواد الخام'!$A$5:$A$104,0)),IFERROR(INDEX(المنتجات!$C$5:$C$24,MATCH($C412,المنتجات!$A$5:$A$24,0)),"كود غير موجود")))</f>
        <v/>
      </c>
      <c r="E412" s="24"/>
      <c r="F412" s="28" t="str">
        <f aca="false">IF($C412="","",IFERROR(INDEX('المواد الخام'!$D$5:$D$104,MATCH($C412,'المواد الخام'!$A$5:$A$104,0)),"حبة"))</f>
        <v/>
      </c>
      <c r="G412" s="30"/>
      <c r="H412" s="29"/>
      <c r="I412" s="29"/>
    </row>
    <row r="413" customFormat="false" ht="15" hidden="false" customHeight="false" outlineLevel="0" collapsed="false">
      <c r="A413" s="32"/>
      <c r="B413" s="29"/>
      <c r="C413" s="29"/>
      <c r="D413" s="28" t="str">
        <f aca="false">IF($C413="","",IFERROR(INDEX('المواد الخام'!$B$5:$B$104,MATCH($C413,'المواد الخام'!$A$5:$A$104,0)),IFERROR(INDEX(المنتجات!$C$5:$C$24,MATCH($C413,المنتجات!$A$5:$A$24,0)),"كود غير موجود")))</f>
        <v/>
      </c>
      <c r="E413" s="24"/>
      <c r="F413" s="28" t="str">
        <f aca="false">IF($C413="","",IFERROR(INDEX('المواد الخام'!$D$5:$D$104,MATCH($C413,'المواد الخام'!$A$5:$A$104,0)),"حبة"))</f>
        <v/>
      </c>
      <c r="G413" s="30"/>
      <c r="H413" s="29"/>
      <c r="I413" s="29"/>
    </row>
    <row r="414" customFormat="false" ht="15" hidden="false" customHeight="false" outlineLevel="0" collapsed="false">
      <c r="A414" s="32"/>
      <c r="B414" s="29"/>
      <c r="C414" s="29"/>
      <c r="D414" s="28" t="str">
        <f aca="false">IF($C414="","",IFERROR(INDEX('المواد الخام'!$B$5:$B$104,MATCH($C414,'المواد الخام'!$A$5:$A$104,0)),IFERROR(INDEX(المنتجات!$C$5:$C$24,MATCH($C414,المنتجات!$A$5:$A$24,0)),"كود غير موجود")))</f>
        <v/>
      </c>
      <c r="E414" s="24"/>
      <c r="F414" s="28" t="str">
        <f aca="false">IF($C414="","",IFERROR(INDEX('المواد الخام'!$D$5:$D$104,MATCH($C414,'المواد الخام'!$A$5:$A$104,0)),"حبة"))</f>
        <v/>
      </c>
      <c r="G414" s="30"/>
      <c r="H414" s="29"/>
      <c r="I414" s="29"/>
    </row>
    <row r="415" customFormat="false" ht="15" hidden="false" customHeight="false" outlineLevel="0" collapsed="false">
      <c r="A415" s="32"/>
      <c r="B415" s="29"/>
      <c r="C415" s="29"/>
      <c r="D415" s="28" t="str">
        <f aca="false">IF($C415="","",IFERROR(INDEX('المواد الخام'!$B$5:$B$104,MATCH($C415,'المواد الخام'!$A$5:$A$104,0)),IFERROR(INDEX(المنتجات!$C$5:$C$24,MATCH($C415,المنتجات!$A$5:$A$24,0)),"كود غير موجود")))</f>
        <v/>
      </c>
      <c r="E415" s="24"/>
      <c r="F415" s="28" t="str">
        <f aca="false">IF($C415="","",IFERROR(INDEX('المواد الخام'!$D$5:$D$104,MATCH($C415,'المواد الخام'!$A$5:$A$104,0)),"حبة"))</f>
        <v/>
      </c>
      <c r="G415" s="30"/>
      <c r="H415" s="29"/>
      <c r="I415" s="29"/>
    </row>
    <row r="416" customFormat="false" ht="15" hidden="false" customHeight="false" outlineLevel="0" collapsed="false">
      <c r="A416" s="32"/>
      <c r="B416" s="29"/>
      <c r="C416" s="29"/>
      <c r="D416" s="28" t="str">
        <f aca="false">IF($C416="","",IFERROR(INDEX('المواد الخام'!$B$5:$B$104,MATCH($C416,'المواد الخام'!$A$5:$A$104,0)),IFERROR(INDEX(المنتجات!$C$5:$C$24,MATCH($C416,المنتجات!$A$5:$A$24,0)),"كود غير موجود")))</f>
        <v/>
      </c>
      <c r="E416" s="24"/>
      <c r="F416" s="28" t="str">
        <f aca="false">IF($C416="","",IFERROR(INDEX('المواد الخام'!$D$5:$D$104,MATCH($C416,'المواد الخام'!$A$5:$A$104,0)),"حبة"))</f>
        <v/>
      </c>
      <c r="G416" s="30"/>
      <c r="H416" s="29"/>
      <c r="I416" s="29"/>
    </row>
    <row r="417" customFormat="false" ht="15" hidden="false" customHeight="false" outlineLevel="0" collapsed="false">
      <c r="A417" s="32"/>
      <c r="B417" s="29"/>
      <c r="C417" s="29"/>
      <c r="D417" s="28" t="str">
        <f aca="false">IF($C417="","",IFERROR(INDEX('المواد الخام'!$B$5:$B$104,MATCH($C417,'المواد الخام'!$A$5:$A$104,0)),IFERROR(INDEX(المنتجات!$C$5:$C$24,MATCH($C417,المنتجات!$A$5:$A$24,0)),"كود غير موجود")))</f>
        <v/>
      </c>
      <c r="E417" s="24"/>
      <c r="F417" s="28" t="str">
        <f aca="false">IF($C417="","",IFERROR(INDEX('المواد الخام'!$D$5:$D$104,MATCH($C417,'المواد الخام'!$A$5:$A$104,0)),"حبة"))</f>
        <v/>
      </c>
      <c r="G417" s="30"/>
      <c r="H417" s="29"/>
      <c r="I417" s="29"/>
    </row>
    <row r="418" customFormat="false" ht="15" hidden="false" customHeight="false" outlineLevel="0" collapsed="false">
      <c r="A418" s="32"/>
      <c r="B418" s="29"/>
      <c r="C418" s="29"/>
      <c r="D418" s="28" t="str">
        <f aca="false">IF($C418="","",IFERROR(INDEX('المواد الخام'!$B$5:$B$104,MATCH($C418,'المواد الخام'!$A$5:$A$104,0)),IFERROR(INDEX(المنتجات!$C$5:$C$24,MATCH($C418,المنتجات!$A$5:$A$24,0)),"كود غير موجود")))</f>
        <v/>
      </c>
      <c r="E418" s="24"/>
      <c r="F418" s="28" t="str">
        <f aca="false">IF($C418="","",IFERROR(INDEX('المواد الخام'!$D$5:$D$104,MATCH($C418,'المواد الخام'!$A$5:$A$104,0)),"حبة"))</f>
        <v/>
      </c>
      <c r="G418" s="30"/>
      <c r="H418" s="29"/>
      <c r="I418" s="29"/>
    </row>
    <row r="419" customFormat="false" ht="15" hidden="false" customHeight="false" outlineLevel="0" collapsed="false">
      <c r="A419" s="32"/>
      <c r="B419" s="29"/>
      <c r="C419" s="29"/>
      <c r="D419" s="28" t="str">
        <f aca="false">IF($C419="","",IFERROR(INDEX('المواد الخام'!$B$5:$B$104,MATCH($C419,'المواد الخام'!$A$5:$A$104,0)),IFERROR(INDEX(المنتجات!$C$5:$C$24,MATCH($C419,المنتجات!$A$5:$A$24,0)),"كود غير موجود")))</f>
        <v/>
      </c>
      <c r="E419" s="24"/>
      <c r="F419" s="28" t="str">
        <f aca="false">IF($C419="","",IFERROR(INDEX('المواد الخام'!$D$5:$D$104,MATCH($C419,'المواد الخام'!$A$5:$A$104,0)),"حبة"))</f>
        <v/>
      </c>
      <c r="G419" s="30"/>
      <c r="H419" s="29"/>
      <c r="I419" s="29"/>
    </row>
    <row r="420" customFormat="false" ht="15" hidden="false" customHeight="false" outlineLevel="0" collapsed="false">
      <c r="A420" s="32"/>
      <c r="B420" s="29"/>
      <c r="C420" s="29"/>
      <c r="D420" s="28" t="str">
        <f aca="false">IF($C420="","",IFERROR(INDEX('المواد الخام'!$B$5:$B$104,MATCH($C420,'المواد الخام'!$A$5:$A$104,0)),IFERROR(INDEX(المنتجات!$C$5:$C$24,MATCH($C420,المنتجات!$A$5:$A$24,0)),"كود غير موجود")))</f>
        <v/>
      </c>
      <c r="E420" s="24"/>
      <c r="F420" s="28" t="str">
        <f aca="false">IF($C420="","",IFERROR(INDEX('المواد الخام'!$D$5:$D$104,MATCH($C420,'المواد الخام'!$A$5:$A$104,0)),"حبة"))</f>
        <v/>
      </c>
      <c r="G420" s="30"/>
      <c r="H420" s="29"/>
      <c r="I420" s="29"/>
    </row>
    <row r="421" customFormat="false" ht="15" hidden="false" customHeight="false" outlineLevel="0" collapsed="false">
      <c r="A421" s="32"/>
      <c r="B421" s="29"/>
      <c r="C421" s="29"/>
      <c r="D421" s="28" t="str">
        <f aca="false">IF($C421="","",IFERROR(INDEX('المواد الخام'!$B$5:$B$104,MATCH($C421,'المواد الخام'!$A$5:$A$104,0)),IFERROR(INDEX(المنتجات!$C$5:$C$24,MATCH($C421,المنتجات!$A$5:$A$24,0)),"كود غير موجود")))</f>
        <v/>
      </c>
      <c r="E421" s="24"/>
      <c r="F421" s="28" t="str">
        <f aca="false">IF($C421="","",IFERROR(INDEX('المواد الخام'!$D$5:$D$104,MATCH($C421,'المواد الخام'!$A$5:$A$104,0)),"حبة"))</f>
        <v/>
      </c>
      <c r="G421" s="30"/>
      <c r="H421" s="29"/>
      <c r="I421" s="29"/>
    </row>
    <row r="422" customFormat="false" ht="15" hidden="false" customHeight="false" outlineLevel="0" collapsed="false">
      <c r="A422" s="32"/>
      <c r="B422" s="29"/>
      <c r="C422" s="29"/>
      <c r="D422" s="28" t="str">
        <f aca="false">IF($C422="","",IFERROR(INDEX('المواد الخام'!$B$5:$B$104,MATCH($C422,'المواد الخام'!$A$5:$A$104,0)),IFERROR(INDEX(المنتجات!$C$5:$C$24,MATCH($C422,المنتجات!$A$5:$A$24,0)),"كود غير موجود")))</f>
        <v/>
      </c>
      <c r="E422" s="24"/>
      <c r="F422" s="28" t="str">
        <f aca="false">IF($C422="","",IFERROR(INDEX('المواد الخام'!$D$5:$D$104,MATCH($C422,'المواد الخام'!$A$5:$A$104,0)),"حبة"))</f>
        <v/>
      </c>
      <c r="G422" s="30"/>
      <c r="H422" s="29"/>
      <c r="I422" s="29"/>
    </row>
    <row r="423" customFormat="false" ht="15" hidden="false" customHeight="false" outlineLevel="0" collapsed="false">
      <c r="A423" s="32"/>
      <c r="B423" s="29"/>
      <c r="C423" s="29"/>
      <c r="D423" s="28" t="str">
        <f aca="false">IF($C423="","",IFERROR(INDEX('المواد الخام'!$B$5:$B$104,MATCH($C423,'المواد الخام'!$A$5:$A$104,0)),IFERROR(INDEX(المنتجات!$C$5:$C$24,MATCH($C423,المنتجات!$A$5:$A$24,0)),"كود غير موجود")))</f>
        <v/>
      </c>
      <c r="E423" s="24"/>
      <c r="F423" s="28" t="str">
        <f aca="false">IF($C423="","",IFERROR(INDEX('المواد الخام'!$D$5:$D$104,MATCH($C423,'المواد الخام'!$A$5:$A$104,0)),"حبة"))</f>
        <v/>
      </c>
      <c r="G423" s="30"/>
      <c r="H423" s="29"/>
      <c r="I423" s="29"/>
    </row>
    <row r="424" customFormat="false" ht="15" hidden="false" customHeight="false" outlineLevel="0" collapsed="false">
      <c r="A424" s="32"/>
      <c r="B424" s="29"/>
      <c r="C424" s="29"/>
      <c r="D424" s="28" t="str">
        <f aca="false">IF($C424="","",IFERROR(INDEX('المواد الخام'!$B$5:$B$104,MATCH($C424,'المواد الخام'!$A$5:$A$104,0)),IFERROR(INDEX(المنتجات!$C$5:$C$24,MATCH($C424,المنتجات!$A$5:$A$24,0)),"كود غير موجود")))</f>
        <v/>
      </c>
      <c r="E424" s="24"/>
      <c r="F424" s="28" t="str">
        <f aca="false">IF($C424="","",IFERROR(INDEX('المواد الخام'!$D$5:$D$104,MATCH($C424,'المواد الخام'!$A$5:$A$104,0)),"حبة"))</f>
        <v/>
      </c>
      <c r="G424" s="30"/>
      <c r="H424" s="29"/>
      <c r="I424" s="29"/>
    </row>
    <row r="425" customFormat="false" ht="15" hidden="false" customHeight="false" outlineLevel="0" collapsed="false">
      <c r="A425" s="32"/>
      <c r="B425" s="29"/>
      <c r="C425" s="29"/>
      <c r="D425" s="28" t="str">
        <f aca="false">IF($C425="","",IFERROR(INDEX('المواد الخام'!$B$5:$B$104,MATCH($C425,'المواد الخام'!$A$5:$A$104,0)),IFERROR(INDEX(المنتجات!$C$5:$C$24,MATCH($C425,المنتجات!$A$5:$A$24,0)),"كود غير موجود")))</f>
        <v/>
      </c>
      <c r="E425" s="24"/>
      <c r="F425" s="28" t="str">
        <f aca="false">IF($C425="","",IFERROR(INDEX('المواد الخام'!$D$5:$D$104,MATCH($C425,'المواد الخام'!$A$5:$A$104,0)),"حبة"))</f>
        <v/>
      </c>
      <c r="G425" s="30"/>
      <c r="H425" s="29"/>
      <c r="I425" s="29"/>
    </row>
    <row r="426" customFormat="false" ht="15" hidden="false" customHeight="false" outlineLevel="0" collapsed="false">
      <c r="A426" s="32"/>
      <c r="B426" s="29"/>
      <c r="C426" s="29"/>
      <c r="D426" s="28" t="str">
        <f aca="false">IF($C426="","",IFERROR(INDEX('المواد الخام'!$B$5:$B$104,MATCH($C426,'المواد الخام'!$A$5:$A$104,0)),IFERROR(INDEX(المنتجات!$C$5:$C$24,MATCH($C426,المنتجات!$A$5:$A$24,0)),"كود غير موجود")))</f>
        <v/>
      </c>
      <c r="E426" s="24"/>
      <c r="F426" s="28" t="str">
        <f aca="false">IF($C426="","",IFERROR(INDEX('المواد الخام'!$D$5:$D$104,MATCH($C426,'المواد الخام'!$A$5:$A$104,0)),"حبة"))</f>
        <v/>
      </c>
      <c r="G426" s="30"/>
      <c r="H426" s="29"/>
      <c r="I426" s="29"/>
    </row>
    <row r="427" customFormat="false" ht="15" hidden="false" customHeight="false" outlineLevel="0" collapsed="false">
      <c r="A427" s="32"/>
      <c r="B427" s="29"/>
      <c r="C427" s="29"/>
      <c r="D427" s="28" t="str">
        <f aca="false">IF($C427="","",IFERROR(INDEX('المواد الخام'!$B$5:$B$104,MATCH($C427,'المواد الخام'!$A$5:$A$104,0)),IFERROR(INDEX(المنتجات!$C$5:$C$24,MATCH($C427,المنتجات!$A$5:$A$24,0)),"كود غير موجود")))</f>
        <v/>
      </c>
      <c r="E427" s="24"/>
      <c r="F427" s="28" t="str">
        <f aca="false">IF($C427="","",IFERROR(INDEX('المواد الخام'!$D$5:$D$104,MATCH($C427,'المواد الخام'!$A$5:$A$104,0)),"حبة"))</f>
        <v/>
      </c>
      <c r="G427" s="30"/>
      <c r="H427" s="29"/>
      <c r="I427" s="29"/>
    </row>
    <row r="428" customFormat="false" ht="15" hidden="false" customHeight="false" outlineLevel="0" collapsed="false">
      <c r="A428" s="32"/>
      <c r="B428" s="29"/>
      <c r="C428" s="29"/>
      <c r="D428" s="28" t="str">
        <f aca="false">IF($C428="","",IFERROR(INDEX('المواد الخام'!$B$5:$B$104,MATCH($C428,'المواد الخام'!$A$5:$A$104,0)),IFERROR(INDEX(المنتجات!$C$5:$C$24,MATCH($C428,المنتجات!$A$5:$A$24,0)),"كود غير موجود")))</f>
        <v/>
      </c>
      <c r="E428" s="24"/>
      <c r="F428" s="28" t="str">
        <f aca="false">IF($C428="","",IFERROR(INDEX('المواد الخام'!$D$5:$D$104,MATCH($C428,'المواد الخام'!$A$5:$A$104,0)),"حبة"))</f>
        <v/>
      </c>
      <c r="G428" s="30"/>
      <c r="H428" s="29"/>
      <c r="I428" s="29"/>
    </row>
    <row r="429" customFormat="false" ht="15" hidden="false" customHeight="false" outlineLevel="0" collapsed="false">
      <c r="A429" s="32"/>
      <c r="B429" s="29"/>
      <c r="C429" s="29"/>
      <c r="D429" s="28" t="str">
        <f aca="false">IF($C429="","",IFERROR(INDEX('المواد الخام'!$B$5:$B$104,MATCH($C429,'المواد الخام'!$A$5:$A$104,0)),IFERROR(INDEX(المنتجات!$C$5:$C$24,MATCH($C429,المنتجات!$A$5:$A$24,0)),"كود غير موجود")))</f>
        <v/>
      </c>
      <c r="E429" s="24"/>
      <c r="F429" s="28" t="str">
        <f aca="false">IF($C429="","",IFERROR(INDEX('المواد الخام'!$D$5:$D$104,MATCH($C429,'المواد الخام'!$A$5:$A$104,0)),"حبة"))</f>
        <v/>
      </c>
      <c r="G429" s="30"/>
      <c r="H429" s="29"/>
      <c r="I429" s="29"/>
    </row>
    <row r="430" customFormat="false" ht="15" hidden="false" customHeight="false" outlineLevel="0" collapsed="false">
      <c r="A430" s="32"/>
      <c r="B430" s="29"/>
      <c r="C430" s="29"/>
      <c r="D430" s="28" t="str">
        <f aca="false">IF($C430="","",IFERROR(INDEX('المواد الخام'!$B$5:$B$104,MATCH($C430,'المواد الخام'!$A$5:$A$104,0)),IFERROR(INDEX(المنتجات!$C$5:$C$24,MATCH($C430,المنتجات!$A$5:$A$24,0)),"كود غير موجود")))</f>
        <v/>
      </c>
      <c r="E430" s="24"/>
      <c r="F430" s="28" t="str">
        <f aca="false">IF($C430="","",IFERROR(INDEX('المواد الخام'!$D$5:$D$104,MATCH($C430,'المواد الخام'!$A$5:$A$104,0)),"حبة"))</f>
        <v/>
      </c>
      <c r="G430" s="30"/>
      <c r="H430" s="29"/>
      <c r="I430" s="29"/>
    </row>
    <row r="431" customFormat="false" ht="15" hidden="false" customHeight="false" outlineLevel="0" collapsed="false">
      <c r="A431" s="32"/>
      <c r="B431" s="29"/>
      <c r="C431" s="29"/>
      <c r="D431" s="28" t="str">
        <f aca="false">IF($C431="","",IFERROR(INDEX('المواد الخام'!$B$5:$B$104,MATCH($C431,'المواد الخام'!$A$5:$A$104,0)),IFERROR(INDEX(المنتجات!$C$5:$C$24,MATCH($C431,المنتجات!$A$5:$A$24,0)),"كود غير موجود")))</f>
        <v/>
      </c>
      <c r="E431" s="24"/>
      <c r="F431" s="28" t="str">
        <f aca="false">IF($C431="","",IFERROR(INDEX('المواد الخام'!$D$5:$D$104,MATCH($C431,'المواد الخام'!$A$5:$A$104,0)),"حبة"))</f>
        <v/>
      </c>
      <c r="G431" s="30"/>
      <c r="H431" s="29"/>
      <c r="I431" s="29"/>
    </row>
    <row r="432" customFormat="false" ht="15" hidden="false" customHeight="false" outlineLevel="0" collapsed="false">
      <c r="A432" s="32"/>
      <c r="B432" s="29"/>
      <c r="C432" s="29"/>
      <c r="D432" s="28" t="str">
        <f aca="false">IF($C432="","",IFERROR(INDEX('المواد الخام'!$B$5:$B$104,MATCH($C432,'المواد الخام'!$A$5:$A$104,0)),IFERROR(INDEX(المنتجات!$C$5:$C$24,MATCH($C432,المنتجات!$A$5:$A$24,0)),"كود غير موجود")))</f>
        <v/>
      </c>
      <c r="E432" s="24"/>
      <c r="F432" s="28" t="str">
        <f aca="false">IF($C432="","",IFERROR(INDEX('المواد الخام'!$D$5:$D$104,MATCH($C432,'المواد الخام'!$A$5:$A$104,0)),"حبة"))</f>
        <v/>
      </c>
      <c r="G432" s="30"/>
      <c r="H432" s="29"/>
      <c r="I432" s="29"/>
    </row>
    <row r="433" customFormat="false" ht="15" hidden="false" customHeight="false" outlineLevel="0" collapsed="false">
      <c r="A433" s="32"/>
      <c r="B433" s="29"/>
      <c r="C433" s="29"/>
      <c r="D433" s="28" t="str">
        <f aca="false">IF($C433="","",IFERROR(INDEX('المواد الخام'!$B$5:$B$104,MATCH($C433,'المواد الخام'!$A$5:$A$104,0)),IFERROR(INDEX(المنتجات!$C$5:$C$24,MATCH($C433,المنتجات!$A$5:$A$24,0)),"كود غير موجود")))</f>
        <v/>
      </c>
      <c r="E433" s="24"/>
      <c r="F433" s="28" t="str">
        <f aca="false">IF($C433="","",IFERROR(INDEX('المواد الخام'!$D$5:$D$104,MATCH($C433,'المواد الخام'!$A$5:$A$104,0)),"حبة"))</f>
        <v/>
      </c>
      <c r="G433" s="30"/>
      <c r="H433" s="29"/>
      <c r="I433" s="29"/>
    </row>
    <row r="434" customFormat="false" ht="15" hidden="false" customHeight="false" outlineLevel="0" collapsed="false">
      <c r="A434" s="32"/>
      <c r="B434" s="29"/>
      <c r="C434" s="29"/>
      <c r="D434" s="28" t="str">
        <f aca="false">IF($C434="","",IFERROR(INDEX('المواد الخام'!$B$5:$B$104,MATCH($C434,'المواد الخام'!$A$5:$A$104,0)),IFERROR(INDEX(المنتجات!$C$5:$C$24,MATCH($C434,المنتجات!$A$5:$A$24,0)),"كود غير موجود")))</f>
        <v/>
      </c>
      <c r="E434" s="24"/>
      <c r="F434" s="28" t="str">
        <f aca="false">IF($C434="","",IFERROR(INDEX('المواد الخام'!$D$5:$D$104,MATCH($C434,'المواد الخام'!$A$5:$A$104,0)),"حبة"))</f>
        <v/>
      </c>
      <c r="G434" s="30"/>
      <c r="H434" s="29"/>
      <c r="I434" s="29"/>
    </row>
    <row r="435" customFormat="false" ht="15" hidden="false" customHeight="false" outlineLevel="0" collapsed="false">
      <c r="A435" s="32"/>
      <c r="B435" s="29"/>
      <c r="C435" s="29"/>
      <c r="D435" s="28" t="str">
        <f aca="false">IF($C435="","",IFERROR(INDEX('المواد الخام'!$B$5:$B$104,MATCH($C435,'المواد الخام'!$A$5:$A$104,0)),IFERROR(INDEX(المنتجات!$C$5:$C$24,MATCH($C435,المنتجات!$A$5:$A$24,0)),"كود غير موجود")))</f>
        <v/>
      </c>
      <c r="E435" s="24"/>
      <c r="F435" s="28" t="str">
        <f aca="false">IF($C435="","",IFERROR(INDEX('المواد الخام'!$D$5:$D$104,MATCH($C435,'المواد الخام'!$A$5:$A$104,0)),"حبة"))</f>
        <v/>
      </c>
      <c r="G435" s="30"/>
      <c r="H435" s="29"/>
      <c r="I435" s="29"/>
    </row>
    <row r="436" customFormat="false" ht="15" hidden="false" customHeight="false" outlineLevel="0" collapsed="false">
      <c r="A436" s="32"/>
      <c r="B436" s="29"/>
      <c r="C436" s="29"/>
      <c r="D436" s="28" t="str">
        <f aca="false">IF($C436="","",IFERROR(INDEX('المواد الخام'!$B$5:$B$104,MATCH($C436,'المواد الخام'!$A$5:$A$104,0)),IFERROR(INDEX(المنتجات!$C$5:$C$24,MATCH($C436,المنتجات!$A$5:$A$24,0)),"كود غير موجود")))</f>
        <v/>
      </c>
      <c r="E436" s="24"/>
      <c r="F436" s="28" t="str">
        <f aca="false">IF($C436="","",IFERROR(INDEX('المواد الخام'!$D$5:$D$104,MATCH($C436,'المواد الخام'!$A$5:$A$104,0)),"حبة"))</f>
        <v/>
      </c>
      <c r="G436" s="30"/>
      <c r="H436" s="29"/>
      <c r="I436" s="29"/>
    </row>
    <row r="437" customFormat="false" ht="15" hidden="false" customHeight="false" outlineLevel="0" collapsed="false">
      <c r="A437" s="32"/>
      <c r="B437" s="29"/>
      <c r="C437" s="29"/>
      <c r="D437" s="28" t="str">
        <f aca="false">IF($C437="","",IFERROR(INDEX('المواد الخام'!$B$5:$B$104,MATCH($C437,'المواد الخام'!$A$5:$A$104,0)),IFERROR(INDEX(المنتجات!$C$5:$C$24,MATCH($C437,المنتجات!$A$5:$A$24,0)),"كود غير موجود")))</f>
        <v/>
      </c>
      <c r="E437" s="24"/>
      <c r="F437" s="28" t="str">
        <f aca="false">IF($C437="","",IFERROR(INDEX('المواد الخام'!$D$5:$D$104,MATCH($C437,'المواد الخام'!$A$5:$A$104,0)),"حبة"))</f>
        <v/>
      </c>
      <c r="G437" s="30"/>
      <c r="H437" s="29"/>
      <c r="I437" s="29"/>
    </row>
    <row r="438" customFormat="false" ht="15" hidden="false" customHeight="false" outlineLevel="0" collapsed="false">
      <c r="A438" s="32"/>
      <c r="B438" s="29"/>
      <c r="C438" s="29"/>
      <c r="D438" s="28" t="str">
        <f aca="false">IF($C438="","",IFERROR(INDEX('المواد الخام'!$B$5:$B$104,MATCH($C438,'المواد الخام'!$A$5:$A$104,0)),IFERROR(INDEX(المنتجات!$C$5:$C$24,MATCH($C438,المنتجات!$A$5:$A$24,0)),"كود غير موجود")))</f>
        <v/>
      </c>
      <c r="E438" s="24"/>
      <c r="F438" s="28" t="str">
        <f aca="false">IF($C438="","",IFERROR(INDEX('المواد الخام'!$D$5:$D$104,MATCH($C438,'المواد الخام'!$A$5:$A$104,0)),"حبة"))</f>
        <v/>
      </c>
      <c r="G438" s="30"/>
      <c r="H438" s="29"/>
      <c r="I438" s="29"/>
    </row>
    <row r="439" customFormat="false" ht="15" hidden="false" customHeight="false" outlineLevel="0" collapsed="false">
      <c r="A439" s="32"/>
      <c r="B439" s="29"/>
      <c r="C439" s="29"/>
      <c r="D439" s="28" t="str">
        <f aca="false">IF($C439="","",IFERROR(INDEX('المواد الخام'!$B$5:$B$104,MATCH($C439,'المواد الخام'!$A$5:$A$104,0)),IFERROR(INDEX(المنتجات!$C$5:$C$24,MATCH($C439,المنتجات!$A$5:$A$24,0)),"كود غير موجود")))</f>
        <v/>
      </c>
      <c r="E439" s="24"/>
      <c r="F439" s="28" t="str">
        <f aca="false">IF($C439="","",IFERROR(INDEX('المواد الخام'!$D$5:$D$104,MATCH($C439,'المواد الخام'!$A$5:$A$104,0)),"حبة"))</f>
        <v/>
      </c>
      <c r="G439" s="30"/>
      <c r="H439" s="29"/>
      <c r="I439" s="29"/>
    </row>
    <row r="440" customFormat="false" ht="15" hidden="false" customHeight="false" outlineLevel="0" collapsed="false">
      <c r="A440" s="32"/>
      <c r="B440" s="29"/>
      <c r="C440" s="29"/>
      <c r="D440" s="28" t="str">
        <f aca="false">IF($C440="","",IFERROR(INDEX('المواد الخام'!$B$5:$B$104,MATCH($C440,'المواد الخام'!$A$5:$A$104,0)),IFERROR(INDEX(المنتجات!$C$5:$C$24,MATCH($C440,المنتجات!$A$5:$A$24,0)),"كود غير موجود")))</f>
        <v/>
      </c>
      <c r="E440" s="24"/>
      <c r="F440" s="28" t="str">
        <f aca="false">IF($C440="","",IFERROR(INDEX('المواد الخام'!$D$5:$D$104,MATCH($C440,'المواد الخام'!$A$5:$A$104,0)),"حبة"))</f>
        <v/>
      </c>
      <c r="G440" s="30"/>
      <c r="H440" s="29"/>
      <c r="I440" s="29"/>
    </row>
    <row r="441" customFormat="false" ht="15" hidden="false" customHeight="false" outlineLevel="0" collapsed="false">
      <c r="A441" s="32"/>
      <c r="B441" s="29"/>
      <c r="C441" s="29"/>
      <c r="D441" s="28" t="str">
        <f aca="false">IF($C441="","",IFERROR(INDEX('المواد الخام'!$B$5:$B$104,MATCH($C441,'المواد الخام'!$A$5:$A$104,0)),IFERROR(INDEX(المنتجات!$C$5:$C$24,MATCH($C441,المنتجات!$A$5:$A$24,0)),"كود غير موجود")))</f>
        <v/>
      </c>
      <c r="E441" s="24"/>
      <c r="F441" s="28" t="str">
        <f aca="false">IF($C441="","",IFERROR(INDEX('المواد الخام'!$D$5:$D$104,MATCH($C441,'المواد الخام'!$A$5:$A$104,0)),"حبة"))</f>
        <v/>
      </c>
      <c r="G441" s="30"/>
      <c r="H441" s="29"/>
      <c r="I441" s="29"/>
    </row>
    <row r="442" customFormat="false" ht="15" hidden="false" customHeight="false" outlineLevel="0" collapsed="false">
      <c r="A442" s="32"/>
      <c r="B442" s="29"/>
      <c r="C442" s="29"/>
      <c r="D442" s="28" t="str">
        <f aca="false">IF($C442="","",IFERROR(INDEX('المواد الخام'!$B$5:$B$104,MATCH($C442,'المواد الخام'!$A$5:$A$104,0)),IFERROR(INDEX(المنتجات!$C$5:$C$24,MATCH($C442,المنتجات!$A$5:$A$24,0)),"كود غير موجود")))</f>
        <v/>
      </c>
      <c r="E442" s="24"/>
      <c r="F442" s="28" t="str">
        <f aca="false">IF($C442="","",IFERROR(INDEX('المواد الخام'!$D$5:$D$104,MATCH($C442,'المواد الخام'!$A$5:$A$104,0)),"حبة"))</f>
        <v/>
      </c>
      <c r="G442" s="30"/>
      <c r="H442" s="29"/>
      <c r="I442" s="29"/>
    </row>
    <row r="443" customFormat="false" ht="15" hidden="false" customHeight="false" outlineLevel="0" collapsed="false">
      <c r="A443" s="32"/>
      <c r="B443" s="29"/>
      <c r="C443" s="29"/>
      <c r="D443" s="28" t="str">
        <f aca="false">IF($C443="","",IFERROR(INDEX('المواد الخام'!$B$5:$B$104,MATCH($C443,'المواد الخام'!$A$5:$A$104,0)),IFERROR(INDEX(المنتجات!$C$5:$C$24,MATCH($C443,المنتجات!$A$5:$A$24,0)),"كود غير موجود")))</f>
        <v/>
      </c>
      <c r="E443" s="24"/>
      <c r="F443" s="28" t="str">
        <f aca="false">IF($C443="","",IFERROR(INDEX('المواد الخام'!$D$5:$D$104,MATCH($C443,'المواد الخام'!$A$5:$A$104,0)),"حبة"))</f>
        <v/>
      </c>
      <c r="G443" s="30"/>
      <c r="H443" s="29"/>
      <c r="I443" s="29"/>
    </row>
    <row r="444" customFormat="false" ht="15" hidden="false" customHeight="false" outlineLevel="0" collapsed="false">
      <c r="A444" s="32"/>
      <c r="B444" s="29"/>
      <c r="C444" s="29"/>
      <c r="D444" s="28" t="str">
        <f aca="false">IF($C444="","",IFERROR(INDEX('المواد الخام'!$B$5:$B$104,MATCH($C444,'المواد الخام'!$A$5:$A$104,0)),IFERROR(INDEX(المنتجات!$C$5:$C$24,MATCH($C444,المنتجات!$A$5:$A$24,0)),"كود غير موجود")))</f>
        <v/>
      </c>
      <c r="E444" s="24"/>
      <c r="F444" s="28" t="str">
        <f aca="false">IF($C444="","",IFERROR(INDEX('المواد الخام'!$D$5:$D$104,MATCH($C444,'المواد الخام'!$A$5:$A$104,0)),"حبة"))</f>
        <v/>
      </c>
      <c r="G444" s="30"/>
      <c r="H444" s="29"/>
      <c r="I444" s="29"/>
    </row>
    <row r="445" customFormat="false" ht="15" hidden="false" customHeight="false" outlineLevel="0" collapsed="false">
      <c r="A445" s="32"/>
      <c r="B445" s="29"/>
      <c r="C445" s="29"/>
      <c r="D445" s="28" t="str">
        <f aca="false">IF($C445="","",IFERROR(INDEX('المواد الخام'!$B$5:$B$104,MATCH($C445,'المواد الخام'!$A$5:$A$104,0)),IFERROR(INDEX(المنتجات!$C$5:$C$24,MATCH($C445,المنتجات!$A$5:$A$24,0)),"كود غير موجود")))</f>
        <v/>
      </c>
      <c r="E445" s="24"/>
      <c r="F445" s="28" t="str">
        <f aca="false">IF($C445="","",IFERROR(INDEX('المواد الخام'!$D$5:$D$104,MATCH($C445,'المواد الخام'!$A$5:$A$104,0)),"حبة"))</f>
        <v/>
      </c>
      <c r="G445" s="30"/>
      <c r="H445" s="29"/>
      <c r="I445" s="29"/>
    </row>
    <row r="446" customFormat="false" ht="15" hidden="false" customHeight="false" outlineLevel="0" collapsed="false">
      <c r="A446" s="32"/>
      <c r="B446" s="29"/>
      <c r="C446" s="29"/>
      <c r="D446" s="28" t="str">
        <f aca="false">IF($C446="","",IFERROR(INDEX('المواد الخام'!$B$5:$B$104,MATCH($C446,'المواد الخام'!$A$5:$A$104,0)),IFERROR(INDEX(المنتجات!$C$5:$C$24,MATCH($C446,المنتجات!$A$5:$A$24,0)),"كود غير موجود")))</f>
        <v/>
      </c>
      <c r="E446" s="24"/>
      <c r="F446" s="28" t="str">
        <f aca="false">IF($C446="","",IFERROR(INDEX('المواد الخام'!$D$5:$D$104,MATCH($C446,'المواد الخام'!$A$5:$A$104,0)),"حبة"))</f>
        <v/>
      </c>
      <c r="G446" s="30"/>
      <c r="H446" s="29"/>
      <c r="I446" s="29"/>
    </row>
    <row r="447" customFormat="false" ht="15" hidden="false" customHeight="false" outlineLevel="0" collapsed="false">
      <c r="A447" s="32"/>
      <c r="B447" s="29"/>
      <c r="C447" s="29"/>
      <c r="D447" s="28" t="str">
        <f aca="false">IF($C447="","",IFERROR(INDEX('المواد الخام'!$B$5:$B$104,MATCH($C447,'المواد الخام'!$A$5:$A$104,0)),IFERROR(INDEX(المنتجات!$C$5:$C$24,MATCH($C447,المنتجات!$A$5:$A$24,0)),"كود غير موجود")))</f>
        <v/>
      </c>
      <c r="E447" s="24"/>
      <c r="F447" s="28" t="str">
        <f aca="false">IF($C447="","",IFERROR(INDEX('المواد الخام'!$D$5:$D$104,MATCH($C447,'المواد الخام'!$A$5:$A$104,0)),"حبة"))</f>
        <v/>
      </c>
      <c r="G447" s="30"/>
      <c r="H447" s="29"/>
      <c r="I447" s="29"/>
    </row>
    <row r="448" customFormat="false" ht="15" hidden="false" customHeight="false" outlineLevel="0" collapsed="false">
      <c r="A448" s="32"/>
      <c r="B448" s="29"/>
      <c r="C448" s="29"/>
      <c r="D448" s="28" t="str">
        <f aca="false">IF($C448="","",IFERROR(INDEX('المواد الخام'!$B$5:$B$104,MATCH($C448,'المواد الخام'!$A$5:$A$104,0)),IFERROR(INDEX(المنتجات!$C$5:$C$24,MATCH($C448,المنتجات!$A$5:$A$24,0)),"كود غير موجود")))</f>
        <v/>
      </c>
      <c r="E448" s="24"/>
      <c r="F448" s="28" t="str">
        <f aca="false">IF($C448="","",IFERROR(INDEX('المواد الخام'!$D$5:$D$104,MATCH($C448,'المواد الخام'!$A$5:$A$104,0)),"حبة"))</f>
        <v/>
      </c>
      <c r="G448" s="30"/>
      <c r="H448" s="29"/>
      <c r="I448" s="29"/>
    </row>
    <row r="449" customFormat="false" ht="15" hidden="false" customHeight="false" outlineLevel="0" collapsed="false">
      <c r="A449" s="32"/>
      <c r="B449" s="29"/>
      <c r="C449" s="29"/>
      <c r="D449" s="28" t="str">
        <f aca="false">IF($C449="","",IFERROR(INDEX('المواد الخام'!$B$5:$B$104,MATCH($C449,'المواد الخام'!$A$5:$A$104,0)),IFERROR(INDEX(المنتجات!$C$5:$C$24,MATCH($C449,المنتجات!$A$5:$A$24,0)),"كود غير موجود")))</f>
        <v/>
      </c>
      <c r="E449" s="24"/>
      <c r="F449" s="28" t="str">
        <f aca="false">IF($C449="","",IFERROR(INDEX('المواد الخام'!$D$5:$D$104,MATCH($C449,'المواد الخام'!$A$5:$A$104,0)),"حبة"))</f>
        <v/>
      </c>
      <c r="G449" s="30"/>
      <c r="H449" s="29"/>
      <c r="I449" s="29"/>
    </row>
    <row r="450" customFormat="false" ht="15" hidden="false" customHeight="false" outlineLevel="0" collapsed="false">
      <c r="A450" s="32"/>
      <c r="B450" s="29"/>
      <c r="C450" s="29"/>
      <c r="D450" s="28" t="str">
        <f aca="false">IF($C450="","",IFERROR(INDEX('المواد الخام'!$B$5:$B$104,MATCH($C450,'المواد الخام'!$A$5:$A$104,0)),IFERROR(INDEX(المنتجات!$C$5:$C$24,MATCH($C450,المنتجات!$A$5:$A$24,0)),"كود غير موجود")))</f>
        <v/>
      </c>
      <c r="E450" s="24"/>
      <c r="F450" s="28" t="str">
        <f aca="false">IF($C450="","",IFERROR(INDEX('المواد الخام'!$D$5:$D$104,MATCH($C450,'المواد الخام'!$A$5:$A$104,0)),"حبة"))</f>
        <v/>
      </c>
      <c r="G450" s="30"/>
      <c r="H450" s="29"/>
      <c r="I450" s="29"/>
    </row>
    <row r="451" customFormat="false" ht="15" hidden="false" customHeight="false" outlineLevel="0" collapsed="false">
      <c r="A451" s="32"/>
      <c r="B451" s="29"/>
      <c r="C451" s="29"/>
      <c r="D451" s="28" t="str">
        <f aca="false">IF($C451="","",IFERROR(INDEX('المواد الخام'!$B$5:$B$104,MATCH($C451,'المواد الخام'!$A$5:$A$104,0)),IFERROR(INDEX(المنتجات!$C$5:$C$24,MATCH($C451,المنتجات!$A$5:$A$24,0)),"كود غير موجود")))</f>
        <v/>
      </c>
      <c r="E451" s="24"/>
      <c r="F451" s="28" t="str">
        <f aca="false">IF($C451="","",IFERROR(INDEX('المواد الخام'!$D$5:$D$104,MATCH($C451,'المواد الخام'!$A$5:$A$104,0)),"حبة"))</f>
        <v/>
      </c>
      <c r="G451" s="30"/>
      <c r="H451" s="29"/>
      <c r="I451" s="29"/>
    </row>
    <row r="452" customFormat="false" ht="15" hidden="false" customHeight="false" outlineLevel="0" collapsed="false">
      <c r="A452" s="32"/>
      <c r="B452" s="29"/>
      <c r="C452" s="29"/>
      <c r="D452" s="28" t="str">
        <f aca="false">IF($C452="","",IFERROR(INDEX('المواد الخام'!$B$5:$B$104,MATCH($C452,'المواد الخام'!$A$5:$A$104,0)),IFERROR(INDEX(المنتجات!$C$5:$C$24,MATCH($C452,المنتجات!$A$5:$A$24,0)),"كود غير موجود")))</f>
        <v/>
      </c>
      <c r="E452" s="24"/>
      <c r="F452" s="28" t="str">
        <f aca="false">IF($C452="","",IFERROR(INDEX('المواد الخام'!$D$5:$D$104,MATCH($C452,'المواد الخام'!$A$5:$A$104,0)),"حبة"))</f>
        <v/>
      </c>
      <c r="G452" s="30"/>
      <c r="H452" s="29"/>
      <c r="I452" s="29"/>
    </row>
    <row r="453" customFormat="false" ht="15" hidden="false" customHeight="false" outlineLevel="0" collapsed="false">
      <c r="A453" s="32"/>
      <c r="B453" s="29"/>
      <c r="C453" s="29"/>
      <c r="D453" s="28" t="str">
        <f aca="false">IF($C453="","",IFERROR(INDEX('المواد الخام'!$B$5:$B$104,MATCH($C453,'المواد الخام'!$A$5:$A$104,0)),IFERROR(INDEX(المنتجات!$C$5:$C$24,MATCH($C453,المنتجات!$A$5:$A$24,0)),"كود غير موجود")))</f>
        <v/>
      </c>
      <c r="E453" s="24"/>
      <c r="F453" s="28" t="str">
        <f aca="false">IF($C453="","",IFERROR(INDEX('المواد الخام'!$D$5:$D$104,MATCH($C453,'المواد الخام'!$A$5:$A$104,0)),"حبة"))</f>
        <v/>
      </c>
      <c r="G453" s="30"/>
      <c r="H453" s="29"/>
      <c r="I453" s="29"/>
    </row>
    <row r="454" customFormat="false" ht="15" hidden="false" customHeight="false" outlineLevel="0" collapsed="false">
      <c r="A454" s="32"/>
      <c r="B454" s="29"/>
      <c r="C454" s="29"/>
      <c r="D454" s="28" t="str">
        <f aca="false">IF($C454="","",IFERROR(INDEX('المواد الخام'!$B$5:$B$104,MATCH($C454,'المواد الخام'!$A$5:$A$104,0)),IFERROR(INDEX(المنتجات!$C$5:$C$24,MATCH($C454,المنتجات!$A$5:$A$24,0)),"كود غير موجود")))</f>
        <v/>
      </c>
      <c r="E454" s="24"/>
      <c r="F454" s="28" t="str">
        <f aca="false">IF($C454="","",IFERROR(INDEX('المواد الخام'!$D$5:$D$104,MATCH($C454,'المواد الخام'!$A$5:$A$104,0)),"حبة"))</f>
        <v/>
      </c>
      <c r="G454" s="30"/>
      <c r="H454" s="29"/>
      <c r="I454" s="29"/>
    </row>
    <row r="455" customFormat="false" ht="15" hidden="false" customHeight="false" outlineLevel="0" collapsed="false">
      <c r="A455" s="32"/>
      <c r="B455" s="29"/>
      <c r="C455" s="29"/>
      <c r="D455" s="28" t="str">
        <f aca="false">IF($C455="","",IFERROR(INDEX('المواد الخام'!$B$5:$B$104,MATCH($C455,'المواد الخام'!$A$5:$A$104,0)),IFERROR(INDEX(المنتجات!$C$5:$C$24,MATCH($C455,المنتجات!$A$5:$A$24,0)),"كود غير موجود")))</f>
        <v/>
      </c>
      <c r="E455" s="24"/>
      <c r="F455" s="28" t="str">
        <f aca="false">IF($C455="","",IFERROR(INDEX('المواد الخام'!$D$5:$D$104,MATCH($C455,'المواد الخام'!$A$5:$A$104,0)),"حبة"))</f>
        <v/>
      </c>
      <c r="G455" s="30"/>
      <c r="H455" s="29"/>
      <c r="I455" s="29"/>
    </row>
    <row r="456" customFormat="false" ht="15" hidden="false" customHeight="false" outlineLevel="0" collapsed="false">
      <c r="A456" s="32"/>
      <c r="B456" s="29"/>
      <c r="C456" s="29"/>
      <c r="D456" s="28" t="str">
        <f aca="false">IF($C456="","",IFERROR(INDEX('المواد الخام'!$B$5:$B$104,MATCH($C456,'المواد الخام'!$A$5:$A$104,0)),IFERROR(INDEX(المنتجات!$C$5:$C$24,MATCH($C456,المنتجات!$A$5:$A$24,0)),"كود غير موجود")))</f>
        <v/>
      </c>
      <c r="E456" s="24"/>
      <c r="F456" s="28" t="str">
        <f aca="false">IF($C456="","",IFERROR(INDEX('المواد الخام'!$D$5:$D$104,MATCH($C456,'المواد الخام'!$A$5:$A$104,0)),"حبة"))</f>
        <v/>
      </c>
      <c r="G456" s="30"/>
      <c r="H456" s="29"/>
      <c r="I456" s="29"/>
    </row>
    <row r="457" customFormat="false" ht="15" hidden="false" customHeight="false" outlineLevel="0" collapsed="false">
      <c r="A457" s="32"/>
      <c r="B457" s="29"/>
      <c r="C457" s="29"/>
      <c r="D457" s="28" t="str">
        <f aca="false">IF($C457="","",IFERROR(INDEX('المواد الخام'!$B$5:$B$104,MATCH($C457,'المواد الخام'!$A$5:$A$104,0)),IFERROR(INDEX(المنتجات!$C$5:$C$24,MATCH($C457,المنتجات!$A$5:$A$24,0)),"كود غير موجود")))</f>
        <v/>
      </c>
      <c r="E457" s="24"/>
      <c r="F457" s="28" t="str">
        <f aca="false">IF($C457="","",IFERROR(INDEX('المواد الخام'!$D$5:$D$104,MATCH($C457,'المواد الخام'!$A$5:$A$104,0)),"حبة"))</f>
        <v/>
      </c>
      <c r="G457" s="30"/>
      <c r="H457" s="29"/>
      <c r="I457" s="29"/>
    </row>
    <row r="458" customFormat="false" ht="15" hidden="false" customHeight="false" outlineLevel="0" collapsed="false">
      <c r="A458" s="32"/>
      <c r="B458" s="29"/>
      <c r="C458" s="29"/>
      <c r="D458" s="28" t="str">
        <f aca="false">IF($C458="","",IFERROR(INDEX('المواد الخام'!$B$5:$B$104,MATCH($C458,'المواد الخام'!$A$5:$A$104,0)),IFERROR(INDEX(المنتجات!$C$5:$C$24,MATCH($C458,المنتجات!$A$5:$A$24,0)),"كود غير موجود")))</f>
        <v/>
      </c>
      <c r="E458" s="24"/>
      <c r="F458" s="28" t="str">
        <f aca="false">IF($C458="","",IFERROR(INDEX('المواد الخام'!$D$5:$D$104,MATCH($C458,'المواد الخام'!$A$5:$A$104,0)),"حبة"))</f>
        <v/>
      </c>
      <c r="G458" s="30"/>
      <c r="H458" s="29"/>
      <c r="I458" s="29"/>
    </row>
    <row r="459" customFormat="false" ht="15" hidden="false" customHeight="false" outlineLevel="0" collapsed="false">
      <c r="A459" s="32"/>
      <c r="B459" s="29"/>
      <c r="C459" s="29"/>
      <c r="D459" s="28" t="str">
        <f aca="false">IF($C459="","",IFERROR(INDEX('المواد الخام'!$B$5:$B$104,MATCH($C459,'المواد الخام'!$A$5:$A$104,0)),IFERROR(INDEX(المنتجات!$C$5:$C$24,MATCH($C459,المنتجات!$A$5:$A$24,0)),"كود غير موجود")))</f>
        <v/>
      </c>
      <c r="E459" s="24"/>
      <c r="F459" s="28" t="str">
        <f aca="false">IF($C459="","",IFERROR(INDEX('المواد الخام'!$D$5:$D$104,MATCH($C459,'المواد الخام'!$A$5:$A$104,0)),"حبة"))</f>
        <v/>
      </c>
      <c r="G459" s="30"/>
      <c r="H459" s="29"/>
      <c r="I459" s="29"/>
    </row>
    <row r="460" customFormat="false" ht="15" hidden="false" customHeight="false" outlineLevel="0" collapsed="false">
      <c r="A460" s="32"/>
      <c r="B460" s="29"/>
      <c r="C460" s="29"/>
      <c r="D460" s="28" t="str">
        <f aca="false">IF($C460="","",IFERROR(INDEX('المواد الخام'!$B$5:$B$104,MATCH($C460,'المواد الخام'!$A$5:$A$104,0)),IFERROR(INDEX(المنتجات!$C$5:$C$24,MATCH($C460,المنتجات!$A$5:$A$24,0)),"كود غير موجود")))</f>
        <v/>
      </c>
      <c r="E460" s="24"/>
      <c r="F460" s="28" t="str">
        <f aca="false">IF($C460="","",IFERROR(INDEX('المواد الخام'!$D$5:$D$104,MATCH($C460,'المواد الخام'!$A$5:$A$104,0)),"حبة"))</f>
        <v/>
      </c>
      <c r="G460" s="30"/>
      <c r="H460" s="29"/>
      <c r="I460" s="29"/>
    </row>
    <row r="461" customFormat="false" ht="15" hidden="false" customHeight="false" outlineLevel="0" collapsed="false">
      <c r="A461" s="32"/>
      <c r="B461" s="29"/>
      <c r="C461" s="29"/>
      <c r="D461" s="28" t="str">
        <f aca="false">IF($C461="","",IFERROR(INDEX('المواد الخام'!$B$5:$B$104,MATCH($C461,'المواد الخام'!$A$5:$A$104,0)),IFERROR(INDEX(المنتجات!$C$5:$C$24,MATCH($C461,المنتجات!$A$5:$A$24,0)),"كود غير موجود")))</f>
        <v/>
      </c>
      <c r="E461" s="24"/>
      <c r="F461" s="28" t="str">
        <f aca="false">IF($C461="","",IFERROR(INDEX('المواد الخام'!$D$5:$D$104,MATCH($C461,'المواد الخام'!$A$5:$A$104,0)),"حبة"))</f>
        <v/>
      </c>
      <c r="G461" s="30"/>
      <c r="H461" s="29"/>
      <c r="I461" s="29"/>
    </row>
    <row r="462" customFormat="false" ht="15" hidden="false" customHeight="false" outlineLevel="0" collapsed="false">
      <c r="A462" s="32"/>
      <c r="B462" s="29"/>
      <c r="C462" s="29"/>
      <c r="D462" s="28" t="str">
        <f aca="false">IF($C462="","",IFERROR(INDEX('المواد الخام'!$B$5:$B$104,MATCH($C462,'المواد الخام'!$A$5:$A$104,0)),IFERROR(INDEX(المنتجات!$C$5:$C$24,MATCH($C462,المنتجات!$A$5:$A$24,0)),"كود غير موجود")))</f>
        <v/>
      </c>
      <c r="E462" s="24"/>
      <c r="F462" s="28" t="str">
        <f aca="false">IF($C462="","",IFERROR(INDEX('المواد الخام'!$D$5:$D$104,MATCH($C462,'المواد الخام'!$A$5:$A$104,0)),"حبة"))</f>
        <v/>
      </c>
      <c r="G462" s="30"/>
      <c r="H462" s="29"/>
      <c r="I462" s="29"/>
    </row>
    <row r="463" customFormat="false" ht="15" hidden="false" customHeight="false" outlineLevel="0" collapsed="false">
      <c r="A463" s="32"/>
      <c r="B463" s="29"/>
      <c r="C463" s="29"/>
      <c r="D463" s="28" t="str">
        <f aca="false">IF($C463="","",IFERROR(INDEX('المواد الخام'!$B$5:$B$104,MATCH($C463,'المواد الخام'!$A$5:$A$104,0)),IFERROR(INDEX(المنتجات!$C$5:$C$24,MATCH($C463,المنتجات!$A$5:$A$24,0)),"كود غير موجود")))</f>
        <v/>
      </c>
      <c r="E463" s="24"/>
      <c r="F463" s="28" t="str">
        <f aca="false">IF($C463="","",IFERROR(INDEX('المواد الخام'!$D$5:$D$104,MATCH($C463,'المواد الخام'!$A$5:$A$104,0)),"حبة"))</f>
        <v/>
      </c>
      <c r="G463" s="30"/>
      <c r="H463" s="29"/>
      <c r="I463" s="29"/>
    </row>
    <row r="464" customFormat="false" ht="15" hidden="false" customHeight="false" outlineLevel="0" collapsed="false">
      <c r="A464" s="32"/>
      <c r="B464" s="29"/>
      <c r="C464" s="29"/>
      <c r="D464" s="28" t="str">
        <f aca="false">IF($C464="","",IFERROR(INDEX('المواد الخام'!$B$5:$B$104,MATCH($C464,'المواد الخام'!$A$5:$A$104,0)),IFERROR(INDEX(المنتجات!$C$5:$C$24,MATCH($C464,المنتجات!$A$5:$A$24,0)),"كود غير موجود")))</f>
        <v/>
      </c>
      <c r="E464" s="24"/>
      <c r="F464" s="28" t="str">
        <f aca="false">IF($C464="","",IFERROR(INDEX('المواد الخام'!$D$5:$D$104,MATCH($C464,'المواد الخام'!$A$5:$A$104,0)),"حبة"))</f>
        <v/>
      </c>
      <c r="G464" s="30"/>
      <c r="H464" s="29"/>
      <c r="I464" s="29"/>
    </row>
    <row r="465" customFormat="false" ht="15" hidden="false" customHeight="false" outlineLevel="0" collapsed="false">
      <c r="A465" s="32"/>
      <c r="B465" s="29"/>
      <c r="C465" s="29"/>
      <c r="D465" s="28" t="str">
        <f aca="false">IF($C465="","",IFERROR(INDEX('المواد الخام'!$B$5:$B$104,MATCH($C465,'المواد الخام'!$A$5:$A$104,0)),IFERROR(INDEX(المنتجات!$C$5:$C$24,MATCH($C465,المنتجات!$A$5:$A$24,0)),"كود غير موجود")))</f>
        <v/>
      </c>
      <c r="E465" s="24"/>
      <c r="F465" s="28" t="str">
        <f aca="false">IF($C465="","",IFERROR(INDEX('المواد الخام'!$D$5:$D$104,MATCH($C465,'المواد الخام'!$A$5:$A$104,0)),"حبة"))</f>
        <v/>
      </c>
      <c r="G465" s="30"/>
      <c r="H465" s="29"/>
      <c r="I465" s="29"/>
    </row>
    <row r="466" customFormat="false" ht="15" hidden="false" customHeight="false" outlineLevel="0" collapsed="false">
      <c r="A466" s="32"/>
      <c r="B466" s="29"/>
      <c r="C466" s="29"/>
      <c r="D466" s="28" t="str">
        <f aca="false">IF($C466="","",IFERROR(INDEX('المواد الخام'!$B$5:$B$104,MATCH($C466,'المواد الخام'!$A$5:$A$104,0)),IFERROR(INDEX(المنتجات!$C$5:$C$24,MATCH($C466,المنتجات!$A$5:$A$24,0)),"كود غير موجود")))</f>
        <v/>
      </c>
      <c r="E466" s="24"/>
      <c r="F466" s="28" t="str">
        <f aca="false">IF($C466="","",IFERROR(INDEX('المواد الخام'!$D$5:$D$104,MATCH($C466,'المواد الخام'!$A$5:$A$104,0)),"حبة"))</f>
        <v/>
      </c>
      <c r="G466" s="30"/>
      <c r="H466" s="29"/>
      <c r="I466" s="29"/>
    </row>
    <row r="467" customFormat="false" ht="15" hidden="false" customHeight="false" outlineLevel="0" collapsed="false">
      <c r="A467" s="32"/>
      <c r="B467" s="29"/>
      <c r="C467" s="29"/>
      <c r="D467" s="28" t="str">
        <f aca="false">IF($C467="","",IFERROR(INDEX('المواد الخام'!$B$5:$B$104,MATCH($C467,'المواد الخام'!$A$5:$A$104,0)),IFERROR(INDEX(المنتجات!$C$5:$C$24,MATCH($C467,المنتجات!$A$5:$A$24,0)),"كود غير موجود")))</f>
        <v/>
      </c>
      <c r="E467" s="24"/>
      <c r="F467" s="28" t="str">
        <f aca="false">IF($C467="","",IFERROR(INDEX('المواد الخام'!$D$5:$D$104,MATCH($C467,'المواد الخام'!$A$5:$A$104,0)),"حبة"))</f>
        <v/>
      </c>
      <c r="G467" s="30"/>
      <c r="H467" s="29"/>
      <c r="I467" s="29"/>
    </row>
    <row r="468" customFormat="false" ht="15" hidden="false" customHeight="false" outlineLevel="0" collapsed="false">
      <c r="A468" s="32"/>
      <c r="B468" s="29"/>
      <c r="C468" s="29"/>
      <c r="D468" s="28" t="str">
        <f aca="false">IF($C468="","",IFERROR(INDEX('المواد الخام'!$B$5:$B$104,MATCH($C468,'المواد الخام'!$A$5:$A$104,0)),IFERROR(INDEX(المنتجات!$C$5:$C$24,MATCH($C468,المنتجات!$A$5:$A$24,0)),"كود غير موجود")))</f>
        <v/>
      </c>
      <c r="E468" s="24"/>
      <c r="F468" s="28" t="str">
        <f aca="false">IF($C468="","",IFERROR(INDEX('المواد الخام'!$D$5:$D$104,MATCH($C468,'المواد الخام'!$A$5:$A$104,0)),"حبة"))</f>
        <v/>
      </c>
      <c r="G468" s="30"/>
      <c r="H468" s="29"/>
      <c r="I468" s="29"/>
    </row>
    <row r="469" customFormat="false" ht="15" hidden="false" customHeight="false" outlineLevel="0" collapsed="false">
      <c r="A469" s="32"/>
      <c r="B469" s="29"/>
      <c r="C469" s="29"/>
      <c r="D469" s="28" t="str">
        <f aca="false">IF($C469="","",IFERROR(INDEX('المواد الخام'!$B$5:$B$104,MATCH($C469,'المواد الخام'!$A$5:$A$104,0)),IFERROR(INDEX(المنتجات!$C$5:$C$24,MATCH($C469,المنتجات!$A$5:$A$24,0)),"كود غير موجود")))</f>
        <v/>
      </c>
      <c r="E469" s="24"/>
      <c r="F469" s="28" t="str">
        <f aca="false">IF($C469="","",IFERROR(INDEX('المواد الخام'!$D$5:$D$104,MATCH($C469,'المواد الخام'!$A$5:$A$104,0)),"حبة"))</f>
        <v/>
      </c>
      <c r="G469" s="30"/>
      <c r="H469" s="29"/>
      <c r="I469" s="29"/>
    </row>
    <row r="470" customFormat="false" ht="15" hidden="false" customHeight="false" outlineLevel="0" collapsed="false">
      <c r="A470" s="32"/>
      <c r="B470" s="29"/>
      <c r="C470" s="29"/>
      <c r="D470" s="28" t="str">
        <f aca="false">IF($C470="","",IFERROR(INDEX('المواد الخام'!$B$5:$B$104,MATCH($C470,'المواد الخام'!$A$5:$A$104,0)),IFERROR(INDEX(المنتجات!$C$5:$C$24,MATCH($C470,المنتجات!$A$5:$A$24,0)),"كود غير موجود")))</f>
        <v/>
      </c>
      <c r="E470" s="24"/>
      <c r="F470" s="28" t="str">
        <f aca="false">IF($C470="","",IFERROR(INDEX('المواد الخام'!$D$5:$D$104,MATCH($C470,'المواد الخام'!$A$5:$A$104,0)),"حبة"))</f>
        <v/>
      </c>
      <c r="G470" s="30"/>
      <c r="H470" s="29"/>
      <c r="I470" s="29"/>
    </row>
    <row r="471" customFormat="false" ht="15" hidden="false" customHeight="false" outlineLevel="0" collapsed="false">
      <c r="A471" s="32"/>
      <c r="B471" s="29"/>
      <c r="C471" s="29"/>
      <c r="D471" s="28" t="str">
        <f aca="false">IF($C471="","",IFERROR(INDEX('المواد الخام'!$B$5:$B$104,MATCH($C471,'المواد الخام'!$A$5:$A$104,0)),IFERROR(INDEX(المنتجات!$C$5:$C$24,MATCH($C471,المنتجات!$A$5:$A$24,0)),"كود غير موجود")))</f>
        <v/>
      </c>
      <c r="E471" s="24"/>
      <c r="F471" s="28" t="str">
        <f aca="false">IF($C471="","",IFERROR(INDEX('المواد الخام'!$D$5:$D$104,MATCH($C471,'المواد الخام'!$A$5:$A$104,0)),"حبة"))</f>
        <v/>
      </c>
      <c r="G471" s="30"/>
      <c r="H471" s="29"/>
      <c r="I471" s="29"/>
    </row>
    <row r="472" customFormat="false" ht="15" hidden="false" customHeight="false" outlineLevel="0" collapsed="false">
      <c r="A472" s="32"/>
      <c r="B472" s="29"/>
      <c r="C472" s="29"/>
      <c r="D472" s="28" t="str">
        <f aca="false">IF($C472="","",IFERROR(INDEX('المواد الخام'!$B$5:$B$104,MATCH($C472,'المواد الخام'!$A$5:$A$104,0)),IFERROR(INDEX(المنتجات!$C$5:$C$24,MATCH($C472,المنتجات!$A$5:$A$24,0)),"كود غير موجود")))</f>
        <v/>
      </c>
      <c r="E472" s="24"/>
      <c r="F472" s="28" t="str">
        <f aca="false">IF($C472="","",IFERROR(INDEX('المواد الخام'!$D$5:$D$104,MATCH($C472,'المواد الخام'!$A$5:$A$104,0)),"حبة"))</f>
        <v/>
      </c>
      <c r="G472" s="30"/>
      <c r="H472" s="29"/>
      <c r="I472" s="29"/>
    </row>
    <row r="473" customFormat="false" ht="15" hidden="false" customHeight="false" outlineLevel="0" collapsed="false">
      <c r="A473" s="32"/>
      <c r="B473" s="29"/>
      <c r="C473" s="29"/>
      <c r="D473" s="28" t="str">
        <f aca="false">IF($C473="","",IFERROR(INDEX('المواد الخام'!$B$5:$B$104,MATCH($C473,'المواد الخام'!$A$5:$A$104,0)),IFERROR(INDEX(المنتجات!$C$5:$C$24,MATCH($C473,المنتجات!$A$5:$A$24,0)),"كود غير موجود")))</f>
        <v/>
      </c>
      <c r="E473" s="24"/>
      <c r="F473" s="28" t="str">
        <f aca="false">IF($C473="","",IFERROR(INDEX('المواد الخام'!$D$5:$D$104,MATCH($C473,'المواد الخام'!$A$5:$A$104,0)),"حبة"))</f>
        <v/>
      </c>
      <c r="G473" s="30"/>
      <c r="H473" s="29"/>
      <c r="I473" s="29"/>
    </row>
    <row r="474" customFormat="false" ht="15" hidden="false" customHeight="false" outlineLevel="0" collapsed="false">
      <c r="A474" s="32"/>
      <c r="B474" s="29"/>
      <c r="C474" s="29"/>
      <c r="D474" s="28" t="str">
        <f aca="false">IF($C474="","",IFERROR(INDEX('المواد الخام'!$B$5:$B$104,MATCH($C474,'المواد الخام'!$A$5:$A$104,0)),IFERROR(INDEX(المنتجات!$C$5:$C$24,MATCH($C474,المنتجات!$A$5:$A$24,0)),"كود غير موجود")))</f>
        <v/>
      </c>
      <c r="E474" s="24"/>
      <c r="F474" s="28" t="str">
        <f aca="false">IF($C474="","",IFERROR(INDEX('المواد الخام'!$D$5:$D$104,MATCH($C474,'المواد الخام'!$A$5:$A$104,0)),"حبة"))</f>
        <v/>
      </c>
      <c r="G474" s="30"/>
      <c r="H474" s="29"/>
      <c r="I474" s="29"/>
    </row>
    <row r="475" customFormat="false" ht="15" hidden="false" customHeight="false" outlineLevel="0" collapsed="false">
      <c r="A475" s="32"/>
      <c r="B475" s="29"/>
      <c r="C475" s="29"/>
      <c r="D475" s="28" t="str">
        <f aca="false">IF($C475="","",IFERROR(INDEX('المواد الخام'!$B$5:$B$104,MATCH($C475,'المواد الخام'!$A$5:$A$104,0)),IFERROR(INDEX(المنتجات!$C$5:$C$24,MATCH($C475,المنتجات!$A$5:$A$24,0)),"كود غير موجود")))</f>
        <v/>
      </c>
      <c r="E475" s="24"/>
      <c r="F475" s="28" t="str">
        <f aca="false">IF($C475="","",IFERROR(INDEX('المواد الخام'!$D$5:$D$104,MATCH($C475,'المواد الخام'!$A$5:$A$104,0)),"حبة"))</f>
        <v/>
      </c>
      <c r="G475" s="30"/>
      <c r="H475" s="29"/>
      <c r="I475" s="29"/>
    </row>
    <row r="476" customFormat="false" ht="15" hidden="false" customHeight="false" outlineLevel="0" collapsed="false">
      <c r="A476" s="32"/>
      <c r="B476" s="29"/>
      <c r="C476" s="29"/>
      <c r="D476" s="28" t="str">
        <f aca="false">IF($C476="","",IFERROR(INDEX('المواد الخام'!$B$5:$B$104,MATCH($C476,'المواد الخام'!$A$5:$A$104,0)),IFERROR(INDEX(المنتجات!$C$5:$C$24,MATCH($C476,المنتجات!$A$5:$A$24,0)),"كود غير موجود")))</f>
        <v/>
      </c>
      <c r="E476" s="24"/>
      <c r="F476" s="28" t="str">
        <f aca="false">IF($C476="","",IFERROR(INDEX('المواد الخام'!$D$5:$D$104,MATCH($C476,'المواد الخام'!$A$5:$A$104,0)),"حبة"))</f>
        <v/>
      </c>
      <c r="G476" s="30"/>
      <c r="H476" s="29"/>
      <c r="I476" s="29"/>
    </row>
    <row r="477" customFormat="false" ht="15" hidden="false" customHeight="false" outlineLevel="0" collapsed="false">
      <c r="A477" s="32"/>
      <c r="B477" s="29"/>
      <c r="C477" s="29"/>
      <c r="D477" s="28" t="str">
        <f aca="false">IF($C477="","",IFERROR(INDEX('المواد الخام'!$B$5:$B$104,MATCH($C477,'المواد الخام'!$A$5:$A$104,0)),IFERROR(INDEX(المنتجات!$C$5:$C$24,MATCH($C477,المنتجات!$A$5:$A$24,0)),"كود غير موجود")))</f>
        <v/>
      </c>
      <c r="E477" s="24"/>
      <c r="F477" s="28" t="str">
        <f aca="false">IF($C477="","",IFERROR(INDEX('المواد الخام'!$D$5:$D$104,MATCH($C477,'المواد الخام'!$A$5:$A$104,0)),"حبة"))</f>
        <v/>
      </c>
      <c r="G477" s="30"/>
      <c r="H477" s="29"/>
      <c r="I477" s="29"/>
    </row>
    <row r="478" customFormat="false" ht="15" hidden="false" customHeight="false" outlineLevel="0" collapsed="false">
      <c r="A478" s="32"/>
      <c r="B478" s="29"/>
      <c r="C478" s="29"/>
      <c r="D478" s="28" t="str">
        <f aca="false">IF($C478="","",IFERROR(INDEX('المواد الخام'!$B$5:$B$104,MATCH($C478,'المواد الخام'!$A$5:$A$104,0)),IFERROR(INDEX(المنتجات!$C$5:$C$24,MATCH($C478,المنتجات!$A$5:$A$24,0)),"كود غير موجود")))</f>
        <v/>
      </c>
      <c r="E478" s="24"/>
      <c r="F478" s="28" t="str">
        <f aca="false">IF($C478="","",IFERROR(INDEX('المواد الخام'!$D$5:$D$104,MATCH($C478,'المواد الخام'!$A$5:$A$104,0)),"حبة"))</f>
        <v/>
      </c>
      <c r="G478" s="30"/>
      <c r="H478" s="29"/>
      <c r="I478" s="29"/>
    </row>
    <row r="479" customFormat="false" ht="15" hidden="false" customHeight="false" outlineLevel="0" collapsed="false">
      <c r="A479" s="32"/>
      <c r="B479" s="29"/>
      <c r="C479" s="29"/>
      <c r="D479" s="28" t="str">
        <f aca="false">IF($C479="","",IFERROR(INDEX('المواد الخام'!$B$5:$B$104,MATCH($C479,'المواد الخام'!$A$5:$A$104,0)),IFERROR(INDEX(المنتجات!$C$5:$C$24,MATCH($C479,المنتجات!$A$5:$A$24,0)),"كود غير موجود")))</f>
        <v/>
      </c>
      <c r="E479" s="24"/>
      <c r="F479" s="28" t="str">
        <f aca="false">IF($C479="","",IFERROR(INDEX('المواد الخام'!$D$5:$D$104,MATCH($C479,'المواد الخام'!$A$5:$A$104,0)),"حبة"))</f>
        <v/>
      </c>
      <c r="G479" s="30"/>
      <c r="H479" s="29"/>
      <c r="I479" s="29"/>
    </row>
    <row r="480" customFormat="false" ht="15" hidden="false" customHeight="false" outlineLevel="0" collapsed="false">
      <c r="A480" s="32"/>
      <c r="B480" s="29"/>
      <c r="C480" s="29"/>
      <c r="D480" s="28" t="str">
        <f aca="false">IF($C480="","",IFERROR(INDEX('المواد الخام'!$B$5:$B$104,MATCH($C480,'المواد الخام'!$A$5:$A$104,0)),IFERROR(INDEX(المنتجات!$C$5:$C$24,MATCH($C480,المنتجات!$A$5:$A$24,0)),"كود غير موجود")))</f>
        <v/>
      </c>
      <c r="E480" s="24"/>
      <c r="F480" s="28" t="str">
        <f aca="false">IF($C480="","",IFERROR(INDEX('المواد الخام'!$D$5:$D$104,MATCH($C480,'المواد الخام'!$A$5:$A$104,0)),"حبة"))</f>
        <v/>
      </c>
      <c r="G480" s="30"/>
      <c r="H480" s="29"/>
      <c r="I480" s="29"/>
    </row>
    <row r="481" customFormat="false" ht="15" hidden="false" customHeight="false" outlineLevel="0" collapsed="false">
      <c r="A481" s="32"/>
      <c r="B481" s="29"/>
      <c r="C481" s="29"/>
      <c r="D481" s="28" t="str">
        <f aca="false">IF($C481="","",IFERROR(INDEX('المواد الخام'!$B$5:$B$104,MATCH($C481,'المواد الخام'!$A$5:$A$104,0)),IFERROR(INDEX(المنتجات!$C$5:$C$24,MATCH($C481,المنتجات!$A$5:$A$24,0)),"كود غير موجود")))</f>
        <v/>
      </c>
      <c r="E481" s="24"/>
      <c r="F481" s="28" t="str">
        <f aca="false">IF($C481="","",IFERROR(INDEX('المواد الخام'!$D$5:$D$104,MATCH($C481,'المواد الخام'!$A$5:$A$104,0)),"حبة"))</f>
        <v/>
      </c>
      <c r="G481" s="30"/>
      <c r="H481" s="29"/>
      <c r="I481" s="29"/>
    </row>
    <row r="482" customFormat="false" ht="15" hidden="false" customHeight="false" outlineLevel="0" collapsed="false">
      <c r="A482" s="32"/>
      <c r="B482" s="29"/>
      <c r="C482" s="29"/>
      <c r="D482" s="28" t="str">
        <f aca="false">IF($C482="","",IFERROR(INDEX('المواد الخام'!$B$5:$B$104,MATCH($C482,'المواد الخام'!$A$5:$A$104,0)),IFERROR(INDEX(المنتجات!$C$5:$C$24,MATCH($C482,المنتجات!$A$5:$A$24,0)),"كود غير موجود")))</f>
        <v/>
      </c>
      <c r="E482" s="24"/>
      <c r="F482" s="28" t="str">
        <f aca="false">IF($C482="","",IFERROR(INDEX('المواد الخام'!$D$5:$D$104,MATCH($C482,'المواد الخام'!$A$5:$A$104,0)),"حبة"))</f>
        <v/>
      </c>
      <c r="G482" s="30"/>
      <c r="H482" s="29"/>
      <c r="I482" s="29"/>
    </row>
    <row r="483" customFormat="false" ht="15" hidden="false" customHeight="false" outlineLevel="0" collapsed="false">
      <c r="A483" s="32"/>
      <c r="B483" s="29"/>
      <c r="C483" s="29"/>
      <c r="D483" s="28" t="str">
        <f aca="false">IF($C483="","",IFERROR(INDEX('المواد الخام'!$B$5:$B$104,MATCH($C483,'المواد الخام'!$A$5:$A$104,0)),IFERROR(INDEX(المنتجات!$C$5:$C$24,MATCH($C483,المنتجات!$A$5:$A$24,0)),"كود غير موجود")))</f>
        <v/>
      </c>
      <c r="E483" s="24"/>
      <c r="F483" s="28" t="str">
        <f aca="false">IF($C483="","",IFERROR(INDEX('المواد الخام'!$D$5:$D$104,MATCH($C483,'المواد الخام'!$A$5:$A$104,0)),"حبة"))</f>
        <v/>
      </c>
      <c r="G483" s="30"/>
      <c r="H483" s="29"/>
      <c r="I483" s="29"/>
    </row>
    <row r="484" customFormat="false" ht="15" hidden="false" customHeight="false" outlineLevel="0" collapsed="false">
      <c r="A484" s="32"/>
      <c r="B484" s="29"/>
      <c r="C484" s="29"/>
      <c r="D484" s="28" t="str">
        <f aca="false">IF($C484="","",IFERROR(INDEX('المواد الخام'!$B$5:$B$104,MATCH($C484,'المواد الخام'!$A$5:$A$104,0)),IFERROR(INDEX(المنتجات!$C$5:$C$24,MATCH($C484,المنتجات!$A$5:$A$24,0)),"كود غير موجود")))</f>
        <v/>
      </c>
      <c r="E484" s="24"/>
      <c r="F484" s="28" t="str">
        <f aca="false">IF($C484="","",IFERROR(INDEX('المواد الخام'!$D$5:$D$104,MATCH($C484,'المواد الخام'!$A$5:$A$104,0)),"حبة"))</f>
        <v/>
      </c>
      <c r="G484" s="30"/>
      <c r="H484" s="29"/>
      <c r="I484" s="29"/>
    </row>
    <row r="485" customFormat="false" ht="15" hidden="false" customHeight="false" outlineLevel="0" collapsed="false">
      <c r="A485" s="32"/>
      <c r="B485" s="29"/>
      <c r="C485" s="29"/>
      <c r="D485" s="28" t="str">
        <f aca="false">IF($C485="","",IFERROR(INDEX('المواد الخام'!$B$5:$B$104,MATCH($C485,'المواد الخام'!$A$5:$A$104,0)),IFERROR(INDEX(المنتجات!$C$5:$C$24,MATCH($C485,المنتجات!$A$5:$A$24,0)),"كود غير موجود")))</f>
        <v/>
      </c>
      <c r="E485" s="24"/>
      <c r="F485" s="28" t="str">
        <f aca="false">IF($C485="","",IFERROR(INDEX('المواد الخام'!$D$5:$D$104,MATCH($C485,'المواد الخام'!$A$5:$A$104,0)),"حبة"))</f>
        <v/>
      </c>
      <c r="G485" s="30"/>
      <c r="H485" s="29"/>
      <c r="I485" s="29"/>
    </row>
    <row r="486" customFormat="false" ht="15" hidden="false" customHeight="false" outlineLevel="0" collapsed="false">
      <c r="A486" s="32"/>
      <c r="B486" s="29"/>
      <c r="C486" s="29"/>
      <c r="D486" s="28" t="str">
        <f aca="false">IF($C486="","",IFERROR(INDEX('المواد الخام'!$B$5:$B$104,MATCH($C486,'المواد الخام'!$A$5:$A$104,0)),IFERROR(INDEX(المنتجات!$C$5:$C$24,MATCH($C486,المنتجات!$A$5:$A$24,0)),"كود غير موجود")))</f>
        <v/>
      </c>
      <c r="E486" s="24"/>
      <c r="F486" s="28" t="str">
        <f aca="false">IF($C486="","",IFERROR(INDEX('المواد الخام'!$D$5:$D$104,MATCH($C486,'المواد الخام'!$A$5:$A$104,0)),"حبة"))</f>
        <v/>
      </c>
      <c r="G486" s="30"/>
      <c r="H486" s="29"/>
      <c r="I486" s="29"/>
    </row>
    <row r="487" customFormat="false" ht="15" hidden="false" customHeight="false" outlineLevel="0" collapsed="false">
      <c r="A487" s="32"/>
      <c r="B487" s="29"/>
      <c r="C487" s="29"/>
      <c r="D487" s="28" t="str">
        <f aca="false">IF($C487="","",IFERROR(INDEX('المواد الخام'!$B$5:$B$104,MATCH($C487,'المواد الخام'!$A$5:$A$104,0)),IFERROR(INDEX(المنتجات!$C$5:$C$24,MATCH($C487,المنتجات!$A$5:$A$24,0)),"كود غير موجود")))</f>
        <v/>
      </c>
      <c r="E487" s="24"/>
      <c r="F487" s="28" t="str">
        <f aca="false">IF($C487="","",IFERROR(INDEX('المواد الخام'!$D$5:$D$104,MATCH($C487,'المواد الخام'!$A$5:$A$104,0)),"حبة"))</f>
        <v/>
      </c>
      <c r="G487" s="30"/>
      <c r="H487" s="29"/>
      <c r="I487" s="29"/>
    </row>
    <row r="488" customFormat="false" ht="15" hidden="false" customHeight="false" outlineLevel="0" collapsed="false">
      <c r="A488" s="32"/>
      <c r="B488" s="29"/>
      <c r="C488" s="29"/>
      <c r="D488" s="28" t="str">
        <f aca="false">IF($C488="","",IFERROR(INDEX('المواد الخام'!$B$5:$B$104,MATCH($C488,'المواد الخام'!$A$5:$A$104,0)),IFERROR(INDEX(المنتجات!$C$5:$C$24,MATCH($C488,المنتجات!$A$5:$A$24,0)),"كود غير موجود")))</f>
        <v/>
      </c>
      <c r="E488" s="24"/>
      <c r="F488" s="28" t="str">
        <f aca="false">IF($C488="","",IFERROR(INDEX('المواد الخام'!$D$5:$D$104,MATCH($C488,'المواد الخام'!$A$5:$A$104,0)),"حبة"))</f>
        <v/>
      </c>
      <c r="G488" s="30"/>
      <c r="H488" s="29"/>
      <c r="I488" s="29"/>
    </row>
    <row r="489" customFormat="false" ht="15" hidden="false" customHeight="false" outlineLevel="0" collapsed="false">
      <c r="A489" s="32"/>
      <c r="B489" s="29"/>
      <c r="C489" s="29"/>
      <c r="D489" s="28" t="str">
        <f aca="false">IF($C489="","",IFERROR(INDEX('المواد الخام'!$B$5:$B$104,MATCH($C489,'المواد الخام'!$A$5:$A$104,0)),IFERROR(INDEX(المنتجات!$C$5:$C$24,MATCH($C489,المنتجات!$A$5:$A$24,0)),"كود غير موجود")))</f>
        <v/>
      </c>
      <c r="E489" s="24"/>
      <c r="F489" s="28" t="str">
        <f aca="false">IF($C489="","",IFERROR(INDEX('المواد الخام'!$D$5:$D$104,MATCH($C489,'المواد الخام'!$A$5:$A$104,0)),"حبة"))</f>
        <v/>
      </c>
      <c r="G489" s="30"/>
      <c r="H489" s="29"/>
      <c r="I489" s="29"/>
    </row>
    <row r="490" customFormat="false" ht="15" hidden="false" customHeight="false" outlineLevel="0" collapsed="false">
      <c r="A490" s="32"/>
      <c r="B490" s="29"/>
      <c r="C490" s="29"/>
      <c r="D490" s="28" t="str">
        <f aca="false">IF($C490="","",IFERROR(INDEX('المواد الخام'!$B$5:$B$104,MATCH($C490,'المواد الخام'!$A$5:$A$104,0)),IFERROR(INDEX(المنتجات!$C$5:$C$24,MATCH($C490,المنتجات!$A$5:$A$24,0)),"كود غير موجود")))</f>
        <v/>
      </c>
      <c r="E490" s="24"/>
      <c r="F490" s="28" t="str">
        <f aca="false">IF($C490="","",IFERROR(INDEX('المواد الخام'!$D$5:$D$104,MATCH($C490,'المواد الخام'!$A$5:$A$104,0)),"حبة"))</f>
        <v/>
      </c>
      <c r="G490" s="30"/>
      <c r="H490" s="29"/>
      <c r="I490" s="29"/>
    </row>
    <row r="491" customFormat="false" ht="15" hidden="false" customHeight="false" outlineLevel="0" collapsed="false">
      <c r="A491" s="32"/>
      <c r="B491" s="29"/>
      <c r="C491" s="29"/>
      <c r="D491" s="28" t="str">
        <f aca="false">IF($C491="","",IFERROR(INDEX('المواد الخام'!$B$5:$B$104,MATCH($C491,'المواد الخام'!$A$5:$A$104,0)),IFERROR(INDEX(المنتجات!$C$5:$C$24,MATCH($C491,المنتجات!$A$5:$A$24,0)),"كود غير موجود")))</f>
        <v/>
      </c>
      <c r="E491" s="24"/>
      <c r="F491" s="28" t="str">
        <f aca="false">IF($C491="","",IFERROR(INDEX('المواد الخام'!$D$5:$D$104,MATCH($C491,'المواد الخام'!$A$5:$A$104,0)),"حبة"))</f>
        <v/>
      </c>
      <c r="G491" s="30"/>
      <c r="H491" s="29"/>
      <c r="I491" s="29"/>
    </row>
    <row r="492" customFormat="false" ht="15" hidden="false" customHeight="false" outlineLevel="0" collapsed="false">
      <c r="A492" s="32"/>
      <c r="B492" s="29"/>
      <c r="C492" s="29"/>
      <c r="D492" s="28" t="str">
        <f aca="false">IF($C492="","",IFERROR(INDEX('المواد الخام'!$B$5:$B$104,MATCH($C492,'المواد الخام'!$A$5:$A$104,0)),IFERROR(INDEX(المنتجات!$C$5:$C$24,MATCH($C492,المنتجات!$A$5:$A$24,0)),"كود غير موجود")))</f>
        <v/>
      </c>
      <c r="E492" s="24"/>
      <c r="F492" s="28" t="str">
        <f aca="false">IF($C492="","",IFERROR(INDEX('المواد الخام'!$D$5:$D$104,MATCH($C492,'المواد الخام'!$A$5:$A$104,0)),"حبة"))</f>
        <v/>
      </c>
      <c r="G492" s="30"/>
      <c r="H492" s="29"/>
      <c r="I492" s="29"/>
    </row>
    <row r="493" customFormat="false" ht="15" hidden="false" customHeight="false" outlineLevel="0" collapsed="false">
      <c r="A493" s="32"/>
      <c r="B493" s="29"/>
      <c r="C493" s="29"/>
      <c r="D493" s="28" t="str">
        <f aca="false">IF($C493="","",IFERROR(INDEX('المواد الخام'!$B$5:$B$104,MATCH($C493,'المواد الخام'!$A$5:$A$104,0)),IFERROR(INDEX(المنتجات!$C$5:$C$24,MATCH($C493,المنتجات!$A$5:$A$24,0)),"كود غير موجود")))</f>
        <v/>
      </c>
      <c r="E493" s="24"/>
      <c r="F493" s="28" t="str">
        <f aca="false">IF($C493="","",IFERROR(INDEX('المواد الخام'!$D$5:$D$104,MATCH($C493,'المواد الخام'!$A$5:$A$104,0)),"حبة"))</f>
        <v/>
      </c>
      <c r="G493" s="30"/>
      <c r="H493" s="29"/>
      <c r="I493" s="29"/>
    </row>
    <row r="494" customFormat="false" ht="15" hidden="false" customHeight="false" outlineLevel="0" collapsed="false">
      <c r="A494" s="32"/>
      <c r="B494" s="29"/>
      <c r="C494" s="29"/>
      <c r="D494" s="28" t="str">
        <f aca="false">IF($C494="","",IFERROR(INDEX('المواد الخام'!$B$5:$B$104,MATCH($C494,'المواد الخام'!$A$5:$A$104,0)),IFERROR(INDEX(المنتجات!$C$5:$C$24,MATCH($C494,المنتجات!$A$5:$A$24,0)),"كود غير موجود")))</f>
        <v/>
      </c>
      <c r="E494" s="24"/>
      <c r="F494" s="28" t="str">
        <f aca="false">IF($C494="","",IFERROR(INDEX('المواد الخام'!$D$5:$D$104,MATCH($C494,'المواد الخام'!$A$5:$A$104,0)),"حبة"))</f>
        <v/>
      </c>
      <c r="G494" s="30"/>
      <c r="H494" s="29"/>
      <c r="I494" s="29"/>
    </row>
    <row r="495" customFormat="false" ht="15" hidden="false" customHeight="false" outlineLevel="0" collapsed="false">
      <c r="A495" s="32"/>
      <c r="B495" s="29"/>
      <c r="C495" s="29"/>
      <c r="D495" s="28" t="str">
        <f aca="false">IF($C495="","",IFERROR(INDEX('المواد الخام'!$B$5:$B$104,MATCH($C495,'المواد الخام'!$A$5:$A$104,0)),IFERROR(INDEX(المنتجات!$C$5:$C$24,MATCH($C495,المنتجات!$A$5:$A$24,0)),"كود غير موجود")))</f>
        <v/>
      </c>
      <c r="E495" s="24"/>
      <c r="F495" s="28" t="str">
        <f aca="false">IF($C495="","",IFERROR(INDEX('المواد الخام'!$D$5:$D$104,MATCH($C495,'المواد الخام'!$A$5:$A$104,0)),"حبة"))</f>
        <v/>
      </c>
      <c r="G495" s="30"/>
      <c r="H495" s="29"/>
      <c r="I495" s="29"/>
    </row>
    <row r="496" customFormat="false" ht="15" hidden="false" customHeight="false" outlineLevel="0" collapsed="false">
      <c r="A496" s="32"/>
      <c r="B496" s="29"/>
      <c r="C496" s="29"/>
      <c r="D496" s="28" t="str">
        <f aca="false">IF($C496="","",IFERROR(INDEX('المواد الخام'!$B$5:$B$104,MATCH($C496,'المواد الخام'!$A$5:$A$104,0)),IFERROR(INDEX(المنتجات!$C$5:$C$24,MATCH($C496,المنتجات!$A$5:$A$24,0)),"كود غير موجود")))</f>
        <v/>
      </c>
      <c r="E496" s="24"/>
      <c r="F496" s="28" t="str">
        <f aca="false">IF($C496="","",IFERROR(INDEX('المواد الخام'!$D$5:$D$104,MATCH($C496,'المواد الخام'!$A$5:$A$104,0)),"حبة"))</f>
        <v/>
      </c>
      <c r="G496" s="30"/>
      <c r="H496" s="29"/>
      <c r="I496" s="29"/>
    </row>
    <row r="497" customFormat="false" ht="15" hidden="false" customHeight="false" outlineLevel="0" collapsed="false">
      <c r="A497" s="32"/>
      <c r="B497" s="29"/>
      <c r="C497" s="29"/>
      <c r="D497" s="28" t="str">
        <f aca="false">IF($C497="","",IFERROR(INDEX('المواد الخام'!$B$5:$B$104,MATCH($C497,'المواد الخام'!$A$5:$A$104,0)),IFERROR(INDEX(المنتجات!$C$5:$C$24,MATCH($C497,المنتجات!$A$5:$A$24,0)),"كود غير موجود")))</f>
        <v/>
      </c>
      <c r="E497" s="24"/>
      <c r="F497" s="28" t="str">
        <f aca="false">IF($C497="","",IFERROR(INDEX('المواد الخام'!$D$5:$D$104,MATCH($C497,'المواد الخام'!$A$5:$A$104,0)),"حبة"))</f>
        <v/>
      </c>
      <c r="G497" s="30"/>
      <c r="H497" s="29"/>
      <c r="I497" s="29"/>
    </row>
    <row r="498" customFormat="false" ht="15" hidden="false" customHeight="false" outlineLevel="0" collapsed="false">
      <c r="A498" s="32"/>
      <c r="B498" s="29"/>
      <c r="C498" s="29"/>
      <c r="D498" s="28" t="str">
        <f aca="false">IF($C498="","",IFERROR(INDEX('المواد الخام'!$B$5:$B$104,MATCH($C498,'المواد الخام'!$A$5:$A$104,0)),IFERROR(INDEX(المنتجات!$C$5:$C$24,MATCH($C498,المنتجات!$A$5:$A$24,0)),"كود غير موجود")))</f>
        <v/>
      </c>
      <c r="E498" s="24"/>
      <c r="F498" s="28" t="str">
        <f aca="false">IF($C498="","",IFERROR(INDEX('المواد الخام'!$D$5:$D$104,MATCH($C498,'المواد الخام'!$A$5:$A$104,0)),"حبة"))</f>
        <v/>
      </c>
      <c r="G498" s="30"/>
      <c r="H498" s="29"/>
      <c r="I498" s="29"/>
    </row>
    <row r="499" customFormat="false" ht="15" hidden="false" customHeight="false" outlineLevel="0" collapsed="false">
      <c r="A499" s="32"/>
      <c r="B499" s="29"/>
      <c r="C499" s="29"/>
      <c r="D499" s="28" t="str">
        <f aca="false">IF($C499="","",IFERROR(INDEX('المواد الخام'!$B$5:$B$104,MATCH($C499,'المواد الخام'!$A$5:$A$104,0)),IFERROR(INDEX(المنتجات!$C$5:$C$24,MATCH($C499,المنتجات!$A$5:$A$24,0)),"كود غير موجود")))</f>
        <v/>
      </c>
      <c r="E499" s="24"/>
      <c r="F499" s="28" t="str">
        <f aca="false">IF($C499="","",IFERROR(INDEX('المواد الخام'!$D$5:$D$104,MATCH($C499,'المواد الخام'!$A$5:$A$104,0)),"حبة"))</f>
        <v/>
      </c>
      <c r="G499" s="30"/>
      <c r="H499" s="29"/>
      <c r="I499" s="29"/>
    </row>
    <row r="500" customFormat="false" ht="15" hidden="false" customHeight="false" outlineLevel="0" collapsed="false">
      <c r="A500" s="32"/>
      <c r="B500" s="29"/>
      <c r="C500" s="29"/>
      <c r="D500" s="28" t="str">
        <f aca="false">IF($C500="","",IFERROR(INDEX('المواد الخام'!$B$5:$B$104,MATCH($C500,'المواد الخام'!$A$5:$A$104,0)),IFERROR(INDEX(المنتجات!$C$5:$C$24,MATCH($C500,المنتجات!$A$5:$A$24,0)),"كود غير موجود")))</f>
        <v/>
      </c>
      <c r="E500" s="24"/>
      <c r="F500" s="28" t="str">
        <f aca="false">IF($C500="","",IFERROR(INDEX('المواد الخام'!$D$5:$D$104,MATCH($C500,'المواد الخام'!$A$5:$A$104,0)),"حبة"))</f>
        <v/>
      </c>
      <c r="G500" s="30"/>
      <c r="H500" s="29"/>
      <c r="I500" s="29"/>
    </row>
    <row r="501" customFormat="false" ht="15" hidden="false" customHeight="false" outlineLevel="0" collapsed="false">
      <c r="A501" s="32"/>
      <c r="B501" s="29"/>
      <c r="C501" s="29"/>
      <c r="D501" s="28" t="str">
        <f aca="false">IF($C501="","",IFERROR(INDEX('المواد الخام'!$B$5:$B$104,MATCH($C501,'المواد الخام'!$A$5:$A$104,0)),IFERROR(INDEX(المنتجات!$C$5:$C$24,MATCH($C501,المنتجات!$A$5:$A$24,0)),"كود غير موجود")))</f>
        <v/>
      </c>
      <c r="E501" s="24"/>
      <c r="F501" s="28" t="str">
        <f aca="false">IF($C501="","",IFERROR(INDEX('المواد الخام'!$D$5:$D$104,MATCH($C501,'المواد الخام'!$A$5:$A$104,0)),"حبة"))</f>
        <v/>
      </c>
      <c r="G501" s="30"/>
      <c r="H501" s="29"/>
      <c r="I501" s="29"/>
    </row>
    <row r="502" customFormat="false" ht="15" hidden="false" customHeight="false" outlineLevel="0" collapsed="false">
      <c r="A502" s="32"/>
      <c r="B502" s="29"/>
      <c r="C502" s="29"/>
      <c r="D502" s="28" t="str">
        <f aca="false">IF($C502="","",IFERROR(INDEX('المواد الخام'!$B$5:$B$104,MATCH($C502,'المواد الخام'!$A$5:$A$104,0)),IFERROR(INDEX(المنتجات!$C$5:$C$24,MATCH($C502,المنتجات!$A$5:$A$24,0)),"كود غير موجود")))</f>
        <v/>
      </c>
      <c r="E502" s="24"/>
      <c r="F502" s="28" t="str">
        <f aca="false">IF($C502="","",IFERROR(INDEX('المواد الخام'!$D$5:$D$104,MATCH($C502,'المواد الخام'!$A$5:$A$104,0)),"حبة"))</f>
        <v/>
      </c>
      <c r="G502" s="30"/>
      <c r="H502" s="29"/>
      <c r="I502" s="29"/>
    </row>
    <row r="503" customFormat="false" ht="15" hidden="false" customHeight="false" outlineLevel="0" collapsed="false">
      <c r="A503" s="32"/>
      <c r="B503" s="29"/>
      <c r="C503" s="29"/>
      <c r="D503" s="28" t="str">
        <f aca="false">IF($C503="","",IFERROR(INDEX('المواد الخام'!$B$5:$B$104,MATCH($C503,'المواد الخام'!$A$5:$A$104,0)),IFERROR(INDEX(المنتجات!$C$5:$C$24,MATCH($C503,المنتجات!$A$5:$A$24,0)),"كود غير موجود")))</f>
        <v/>
      </c>
      <c r="E503" s="24"/>
      <c r="F503" s="28" t="str">
        <f aca="false">IF($C503="","",IFERROR(INDEX('المواد الخام'!$D$5:$D$104,MATCH($C503,'المواد الخام'!$A$5:$A$104,0)),"حبة"))</f>
        <v/>
      </c>
      <c r="G503" s="30"/>
      <c r="H503" s="29"/>
      <c r="I503" s="29"/>
    </row>
    <row r="504" customFormat="false" ht="15" hidden="false" customHeight="false" outlineLevel="0" collapsed="false">
      <c r="A504" s="32"/>
      <c r="B504" s="29"/>
      <c r="C504" s="29"/>
      <c r="D504" s="28" t="str">
        <f aca="false">IF($C504="","",IFERROR(INDEX('المواد الخام'!$B$5:$B$104,MATCH($C504,'المواد الخام'!$A$5:$A$104,0)),IFERROR(INDEX(المنتجات!$C$5:$C$24,MATCH($C504,المنتجات!$A$5:$A$24,0)),"كود غير موجود")))</f>
        <v/>
      </c>
      <c r="E504" s="24"/>
      <c r="F504" s="28" t="str">
        <f aca="false">IF($C504="","",IFERROR(INDEX('المواد الخام'!$D$5:$D$104,MATCH($C504,'المواد الخام'!$A$5:$A$104,0)),"حبة"))</f>
        <v/>
      </c>
      <c r="G504" s="30"/>
      <c r="H504" s="29"/>
      <c r="I504" s="29"/>
    </row>
    <row r="505" customFormat="false" ht="15" hidden="false" customHeight="false" outlineLevel="0" collapsed="false">
      <c r="A505" s="32"/>
      <c r="B505" s="29"/>
      <c r="C505" s="29"/>
      <c r="D505" s="28" t="str">
        <f aca="false">IF($C505="","",IFERROR(INDEX('المواد الخام'!$B$5:$B$104,MATCH($C505,'المواد الخام'!$A$5:$A$104,0)),IFERROR(INDEX(المنتجات!$C$5:$C$24,MATCH($C505,المنتجات!$A$5:$A$24,0)),"كود غير موجود")))</f>
        <v/>
      </c>
      <c r="E505" s="24"/>
      <c r="F505" s="28" t="str">
        <f aca="false">IF($C505="","",IFERROR(INDEX('المواد الخام'!$D$5:$D$104,MATCH($C505,'المواد الخام'!$A$5:$A$104,0)),"حبة"))</f>
        <v/>
      </c>
      <c r="G505" s="30"/>
      <c r="H505" s="29"/>
      <c r="I505" s="29"/>
    </row>
    <row r="506" customFormat="false" ht="15" hidden="false" customHeight="false" outlineLevel="0" collapsed="false">
      <c r="A506" s="32"/>
      <c r="B506" s="29"/>
      <c r="C506" s="29"/>
      <c r="D506" s="28" t="str">
        <f aca="false">IF($C506="","",IFERROR(INDEX('المواد الخام'!$B$5:$B$104,MATCH($C506,'المواد الخام'!$A$5:$A$104,0)),IFERROR(INDEX(المنتجات!$C$5:$C$24,MATCH($C506,المنتجات!$A$5:$A$24,0)),"كود غير موجود")))</f>
        <v/>
      </c>
      <c r="E506" s="24"/>
      <c r="F506" s="28" t="str">
        <f aca="false">IF($C506="","",IFERROR(INDEX('المواد الخام'!$D$5:$D$104,MATCH($C506,'المواد الخام'!$A$5:$A$104,0)),"حبة"))</f>
        <v/>
      </c>
      <c r="G506" s="30"/>
      <c r="H506" s="29"/>
      <c r="I506" s="29"/>
    </row>
    <row r="507" customFormat="false" ht="15" hidden="false" customHeight="false" outlineLevel="0" collapsed="false">
      <c r="A507" s="32"/>
      <c r="B507" s="29"/>
      <c r="C507" s="29"/>
      <c r="D507" s="28" t="str">
        <f aca="false">IF($C507="","",IFERROR(INDEX('المواد الخام'!$B$5:$B$104,MATCH($C507,'المواد الخام'!$A$5:$A$104,0)),IFERROR(INDEX(المنتجات!$C$5:$C$24,MATCH($C507,المنتجات!$A$5:$A$24,0)),"كود غير موجود")))</f>
        <v/>
      </c>
      <c r="E507" s="24"/>
      <c r="F507" s="28" t="str">
        <f aca="false">IF($C507="","",IFERROR(INDEX('المواد الخام'!$D$5:$D$104,MATCH($C507,'المواد الخام'!$A$5:$A$104,0)),"حبة"))</f>
        <v/>
      </c>
      <c r="G507" s="30"/>
      <c r="H507" s="29"/>
      <c r="I507" s="29"/>
    </row>
    <row r="508" customFormat="false" ht="15" hidden="false" customHeight="false" outlineLevel="0" collapsed="false">
      <c r="A508" s="32"/>
      <c r="B508" s="29"/>
      <c r="C508" s="29"/>
      <c r="D508" s="28" t="str">
        <f aca="false">IF($C508="","",IFERROR(INDEX('المواد الخام'!$B$5:$B$104,MATCH($C508,'المواد الخام'!$A$5:$A$104,0)),IFERROR(INDEX(المنتجات!$C$5:$C$24,MATCH($C508,المنتجات!$A$5:$A$24,0)),"كود غير موجود")))</f>
        <v/>
      </c>
      <c r="E508" s="24"/>
      <c r="F508" s="28" t="str">
        <f aca="false">IF($C508="","",IFERROR(INDEX('المواد الخام'!$D$5:$D$104,MATCH($C508,'المواد الخام'!$A$5:$A$104,0)),"حبة"))</f>
        <v/>
      </c>
      <c r="G508" s="30"/>
      <c r="H508" s="29"/>
      <c r="I508" s="29"/>
    </row>
    <row r="509" customFormat="false" ht="15" hidden="false" customHeight="false" outlineLevel="0" collapsed="false">
      <c r="A509" s="32"/>
      <c r="B509" s="29"/>
      <c r="C509" s="29"/>
      <c r="D509" s="28" t="str">
        <f aca="false">IF($C509="","",IFERROR(INDEX('المواد الخام'!$B$5:$B$104,MATCH($C509,'المواد الخام'!$A$5:$A$104,0)),IFERROR(INDEX(المنتجات!$C$5:$C$24,MATCH($C509,المنتجات!$A$5:$A$24,0)),"كود غير موجود")))</f>
        <v/>
      </c>
      <c r="E509" s="24"/>
      <c r="F509" s="28" t="str">
        <f aca="false">IF($C509="","",IFERROR(INDEX('المواد الخام'!$D$5:$D$104,MATCH($C509,'المواد الخام'!$A$5:$A$104,0)),"حبة"))</f>
        <v/>
      </c>
      <c r="G509" s="30"/>
      <c r="H509" s="29"/>
      <c r="I509" s="29"/>
    </row>
    <row r="510" customFormat="false" ht="15" hidden="false" customHeight="false" outlineLevel="0" collapsed="false">
      <c r="A510" s="32"/>
      <c r="B510" s="29"/>
      <c r="C510" s="29"/>
      <c r="D510" s="28" t="str">
        <f aca="false">IF($C510="","",IFERROR(INDEX('المواد الخام'!$B$5:$B$104,MATCH($C510,'المواد الخام'!$A$5:$A$104,0)),IFERROR(INDEX(المنتجات!$C$5:$C$24,MATCH($C510,المنتجات!$A$5:$A$24,0)),"كود غير موجود")))</f>
        <v/>
      </c>
      <c r="E510" s="24"/>
      <c r="F510" s="28" t="str">
        <f aca="false">IF($C510="","",IFERROR(INDEX('المواد الخام'!$D$5:$D$104,MATCH($C510,'المواد الخام'!$A$5:$A$104,0)),"حبة"))</f>
        <v/>
      </c>
      <c r="G510" s="30"/>
      <c r="H510" s="29"/>
      <c r="I510" s="29"/>
    </row>
    <row r="511" customFormat="false" ht="15" hidden="false" customHeight="false" outlineLevel="0" collapsed="false">
      <c r="A511" s="32"/>
      <c r="B511" s="29"/>
      <c r="C511" s="29"/>
      <c r="D511" s="28" t="str">
        <f aca="false">IF($C511="","",IFERROR(INDEX('المواد الخام'!$B$5:$B$104,MATCH($C511,'المواد الخام'!$A$5:$A$104,0)),IFERROR(INDEX(المنتجات!$C$5:$C$24,MATCH($C511,المنتجات!$A$5:$A$24,0)),"كود غير موجود")))</f>
        <v/>
      </c>
      <c r="E511" s="24"/>
      <c r="F511" s="28" t="str">
        <f aca="false">IF($C511="","",IFERROR(INDEX('المواد الخام'!$D$5:$D$104,MATCH($C511,'المواد الخام'!$A$5:$A$104,0)),"حبة"))</f>
        <v/>
      </c>
      <c r="G511" s="30"/>
      <c r="H511" s="29"/>
      <c r="I511" s="29"/>
    </row>
    <row r="512" customFormat="false" ht="15" hidden="false" customHeight="false" outlineLevel="0" collapsed="false">
      <c r="A512" s="32"/>
      <c r="B512" s="29"/>
      <c r="C512" s="29"/>
      <c r="D512" s="28" t="str">
        <f aca="false">IF($C512="","",IFERROR(INDEX('المواد الخام'!$B$5:$B$104,MATCH($C512,'المواد الخام'!$A$5:$A$104,0)),IFERROR(INDEX(المنتجات!$C$5:$C$24,MATCH($C512,المنتجات!$A$5:$A$24,0)),"كود غير موجود")))</f>
        <v/>
      </c>
      <c r="E512" s="24"/>
      <c r="F512" s="28" t="str">
        <f aca="false">IF($C512="","",IFERROR(INDEX('المواد الخام'!$D$5:$D$104,MATCH($C512,'المواد الخام'!$A$5:$A$104,0)),"حبة"))</f>
        <v/>
      </c>
      <c r="G512" s="30"/>
      <c r="H512" s="29"/>
      <c r="I512" s="29"/>
    </row>
    <row r="513" customFormat="false" ht="15" hidden="false" customHeight="false" outlineLevel="0" collapsed="false">
      <c r="A513" s="32"/>
      <c r="B513" s="29"/>
      <c r="C513" s="29"/>
      <c r="D513" s="28" t="str">
        <f aca="false">IF($C513="","",IFERROR(INDEX('المواد الخام'!$B$5:$B$104,MATCH($C513,'المواد الخام'!$A$5:$A$104,0)),IFERROR(INDEX(المنتجات!$C$5:$C$24,MATCH($C513,المنتجات!$A$5:$A$24,0)),"كود غير موجود")))</f>
        <v/>
      </c>
      <c r="E513" s="24"/>
      <c r="F513" s="28" t="str">
        <f aca="false">IF($C513="","",IFERROR(INDEX('المواد الخام'!$D$5:$D$104,MATCH($C513,'المواد الخام'!$A$5:$A$104,0)),"حبة"))</f>
        <v/>
      </c>
      <c r="G513" s="30"/>
      <c r="H513" s="29"/>
      <c r="I513" s="29"/>
    </row>
    <row r="514" customFormat="false" ht="15" hidden="false" customHeight="false" outlineLevel="0" collapsed="false">
      <c r="A514" s="32"/>
      <c r="B514" s="29"/>
      <c r="C514" s="29"/>
      <c r="D514" s="28" t="str">
        <f aca="false">IF($C514="","",IFERROR(INDEX('المواد الخام'!$B$5:$B$104,MATCH($C514,'المواد الخام'!$A$5:$A$104,0)),IFERROR(INDEX(المنتجات!$C$5:$C$24,MATCH($C514,المنتجات!$A$5:$A$24,0)),"كود غير موجود")))</f>
        <v/>
      </c>
      <c r="E514" s="24"/>
      <c r="F514" s="28" t="str">
        <f aca="false">IF($C514="","",IFERROR(INDEX('المواد الخام'!$D$5:$D$104,MATCH($C514,'المواد الخام'!$A$5:$A$104,0)),"حبة"))</f>
        <v/>
      </c>
      <c r="G514" s="30"/>
      <c r="H514" s="29"/>
      <c r="I514" s="29"/>
    </row>
    <row r="515" customFormat="false" ht="15" hidden="false" customHeight="false" outlineLevel="0" collapsed="false">
      <c r="A515" s="32"/>
      <c r="B515" s="29"/>
      <c r="C515" s="29"/>
      <c r="D515" s="28" t="str">
        <f aca="false">IF($C515="","",IFERROR(INDEX('المواد الخام'!$B$5:$B$104,MATCH($C515,'المواد الخام'!$A$5:$A$104,0)),IFERROR(INDEX(المنتجات!$C$5:$C$24,MATCH($C515,المنتجات!$A$5:$A$24,0)),"كود غير موجود")))</f>
        <v/>
      </c>
      <c r="E515" s="24"/>
      <c r="F515" s="28" t="str">
        <f aca="false">IF($C515="","",IFERROR(INDEX('المواد الخام'!$D$5:$D$104,MATCH($C515,'المواد الخام'!$A$5:$A$104,0)),"حبة"))</f>
        <v/>
      </c>
      <c r="G515" s="30"/>
      <c r="H515" s="29"/>
      <c r="I515" s="29"/>
    </row>
    <row r="516" customFormat="false" ht="15" hidden="false" customHeight="false" outlineLevel="0" collapsed="false">
      <c r="A516" s="32"/>
      <c r="B516" s="29"/>
      <c r="C516" s="29"/>
      <c r="D516" s="28" t="str">
        <f aca="false">IF($C516="","",IFERROR(INDEX('المواد الخام'!$B$5:$B$104,MATCH($C516,'المواد الخام'!$A$5:$A$104,0)),IFERROR(INDEX(المنتجات!$C$5:$C$24,MATCH($C516,المنتجات!$A$5:$A$24,0)),"كود غير موجود")))</f>
        <v/>
      </c>
      <c r="E516" s="24"/>
      <c r="F516" s="28" t="str">
        <f aca="false">IF($C516="","",IFERROR(INDEX('المواد الخام'!$D$5:$D$104,MATCH($C516,'المواد الخام'!$A$5:$A$104,0)),"حبة"))</f>
        <v/>
      </c>
      <c r="G516" s="30"/>
      <c r="H516" s="29"/>
      <c r="I516" s="29"/>
    </row>
    <row r="517" customFormat="false" ht="15" hidden="false" customHeight="false" outlineLevel="0" collapsed="false">
      <c r="A517" s="32"/>
      <c r="B517" s="29"/>
      <c r="C517" s="29"/>
      <c r="D517" s="28" t="str">
        <f aca="false">IF($C517="","",IFERROR(INDEX('المواد الخام'!$B$5:$B$104,MATCH($C517,'المواد الخام'!$A$5:$A$104,0)),IFERROR(INDEX(المنتجات!$C$5:$C$24,MATCH($C517,المنتجات!$A$5:$A$24,0)),"كود غير موجود")))</f>
        <v/>
      </c>
      <c r="E517" s="24"/>
      <c r="F517" s="28" t="str">
        <f aca="false">IF($C517="","",IFERROR(INDEX('المواد الخام'!$D$5:$D$104,MATCH($C517,'المواد الخام'!$A$5:$A$104,0)),"حبة"))</f>
        <v/>
      </c>
      <c r="G517" s="30"/>
      <c r="H517" s="29"/>
      <c r="I517" s="29"/>
    </row>
    <row r="518" customFormat="false" ht="15" hidden="false" customHeight="false" outlineLevel="0" collapsed="false">
      <c r="A518" s="32"/>
      <c r="B518" s="29"/>
      <c r="C518" s="29"/>
      <c r="D518" s="28" t="str">
        <f aca="false">IF($C518="","",IFERROR(INDEX('المواد الخام'!$B$5:$B$104,MATCH($C518,'المواد الخام'!$A$5:$A$104,0)),IFERROR(INDEX(المنتجات!$C$5:$C$24,MATCH($C518,المنتجات!$A$5:$A$24,0)),"كود غير موجود")))</f>
        <v/>
      </c>
      <c r="E518" s="24"/>
      <c r="F518" s="28" t="str">
        <f aca="false">IF($C518="","",IFERROR(INDEX('المواد الخام'!$D$5:$D$104,MATCH($C518,'المواد الخام'!$A$5:$A$104,0)),"حبة"))</f>
        <v/>
      </c>
      <c r="G518" s="30"/>
      <c r="H518" s="29"/>
      <c r="I518" s="29"/>
    </row>
    <row r="519" customFormat="false" ht="15" hidden="false" customHeight="false" outlineLevel="0" collapsed="false">
      <c r="A519" s="32"/>
      <c r="B519" s="29"/>
      <c r="C519" s="29"/>
      <c r="D519" s="28" t="str">
        <f aca="false">IF($C519="","",IFERROR(INDEX('المواد الخام'!$B$5:$B$104,MATCH($C519,'المواد الخام'!$A$5:$A$104,0)),IFERROR(INDEX(المنتجات!$C$5:$C$24,MATCH($C519,المنتجات!$A$5:$A$24,0)),"كود غير موجود")))</f>
        <v/>
      </c>
      <c r="E519" s="24"/>
      <c r="F519" s="28" t="str">
        <f aca="false">IF($C519="","",IFERROR(INDEX('المواد الخام'!$D$5:$D$104,MATCH($C519,'المواد الخام'!$A$5:$A$104,0)),"حبة"))</f>
        <v/>
      </c>
      <c r="G519" s="30"/>
      <c r="H519" s="29"/>
      <c r="I519" s="29"/>
    </row>
    <row r="520" customFormat="false" ht="15" hidden="false" customHeight="false" outlineLevel="0" collapsed="false">
      <c r="A520" s="32"/>
      <c r="B520" s="29"/>
      <c r="C520" s="29"/>
      <c r="D520" s="28" t="str">
        <f aca="false">IF($C520="","",IFERROR(INDEX('المواد الخام'!$B$5:$B$104,MATCH($C520,'المواد الخام'!$A$5:$A$104,0)),IFERROR(INDEX(المنتجات!$C$5:$C$24,MATCH($C520,المنتجات!$A$5:$A$24,0)),"كود غير موجود")))</f>
        <v/>
      </c>
      <c r="E520" s="24"/>
      <c r="F520" s="28" t="str">
        <f aca="false">IF($C520="","",IFERROR(INDEX('المواد الخام'!$D$5:$D$104,MATCH($C520,'المواد الخام'!$A$5:$A$104,0)),"حبة"))</f>
        <v/>
      </c>
      <c r="G520" s="30"/>
      <c r="H520" s="29"/>
      <c r="I520" s="29"/>
    </row>
    <row r="521" customFormat="false" ht="15" hidden="false" customHeight="false" outlineLevel="0" collapsed="false">
      <c r="A521" s="32"/>
      <c r="B521" s="29"/>
      <c r="C521" s="29"/>
      <c r="D521" s="28" t="str">
        <f aca="false">IF($C521="","",IFERROR(INDEX('المواد الخام'!$B$5:$B$104,MATCH($C521,'المواد الخام'!$A$5:$A$104,0)),IFERROR(INDEX(المنتجات!$C$5:$C$24,MATCH($C521,المنتجات!$A$5:$A$24,0)),"كود غير موجود")))</f>
        <v/>
      </c>
      <c r="E521" s="24"/>
      <c r="F521" s="28" t="str">
        <f aca="false">IF($C521="","",IFERROR(INDEX('المواد الخام'!$D$5:$D$104,MATCH($C521,'المواد الخام'!$A$5:$A$104,0)),"حبة"))</f>
        <v/>
      </c>
      <c r="G521" s="30"/>
      <c r="H521" s="29"/>
      <c r="I521" s="29"/>
    </row>
    <row r="522" customFormat="false" ht="15" hidden="false" customHeight="false" outlineLevel="0" collapsed="false">
      <c r="A522" s="32"/>
      <c r="B522" s="29"/>
      <c r="C522" s="29"/>
      <c r="D522" s="28" t="str">
        <f aca="false">IF($C522="","",IFERROR(INDEX('المواد الخام'!$B$5:$B$104,MATCH($C522,'المواد الخام'!$A$5:$A$104,0)),IFERROR(INDEX(المنتجات!$C$5:$C$24,MATCH($C522,المنتجات!$A$5:$A$24,0)),"كود غير موجود")))</f>
        <v/>
      </c>
      <c r="E522" s="24"/>
      <c r="F522" s="28" t="str">
        <f aca="false">IF($C522="","",IFERROR(INDEX('المواد الخام'!$D$5:$D$104,MATCH($C522,'المواد الخام'!$A$5:$A$104,0)),"حبة"))</f>
        <v/>
      </c>
      <c r="G522" s="30"/>
      <c r="H522" s="29"/>
      <c r="I522" s="29"/>
    </row>
    <row r="523" customFormat="false" ht="15" hidden="false" customHeight="false" outlineLevel="0" collapsed="false">
      <c r="A523" s="32"/>
      <c r="B523" s="29"/>
      <c r="C523" s="29"/>
      <c r="D523" s="28" t="str">
        <f aca="false">IF($C523="","",IFERROR(INDEX('المواد الخام'!$B$5:$B$104,MATCH($C523,'المواد الخام'!$A$5:$A$104,0)),IFERROR(INDEX(المنتجات!$C$5:$C$24,MATCH($C523,المنتجات!$A$5:$A$24,0)),"كود غير موجود")))</f>
        <v/>
      </c>
      <c r="E523" s="24"/>
      <c r="F523" s="28" t="str">
        <f aca="false">IF($C523="","",IFERROR(INDEX('المواد الخام'!$D$5:$D$104,MATCH($C523,'المواد الخام'!$A$5:$A$104,0)),"حبة"))</f>
        <v/>
      </c>
      <c r="G523" s="30"/>
      <c r="H523" s="29"/>
      <c r="I523" s="29"/>
    </row>
    <row r="524" customFormat="false" ht="15" hidden="false" customHeight="false" outlineLevel="0" collapsed="false">
      <c r="A524" s="32"/>
      <c r="B524" s="29"/>
      <c r="C524" s="29"/>
      <c r="D524" s="28" t="str">
        <f aca="false">IF($C524="","",IFERROR(INDEX('المواد الخام'!$B$5:$B$104,MATCH($C524,'المواد الخام'!$A$5:$A$104,0)),IFERROR(INDEX(المنتجات!$C$5:$C$24,MATCH($C524,المنتجات!$A$5:$A$24,0)),"كود غير موجود")))</f>
        <v/>
      </c>
      <c r="E524" s="24"/>
      <c r="F524" s="28" t="str">
        <f aca="false">IF($C524="","",IFERROR(INDEX('المواد الخام'!$D$5:$D$104,MATCH($C524,'المواد الخام'!$A$5:$A$104,0)),"حبة"))</f>
        <v/>
      </c>
      <c r="G524" s="30"/>
      <c r="H524" s="29"/>
      <c r="I524" s="29"/>
    </row>
    <row r="525" customFormat="false" ht="15" hidden="false" customHeight="false" outlineLevel="0" collapsed="false">
      <c r="A525" s="32"/>
      <c r="B525" s="29"/>
      <c r="C525" s="29"/>
      <c r="D525" s="28" t="str">
        <f aca="false">IF($C525="","",IFERROR(INDEX('المواد الخام'!$B$5:$B$104,MATCH($C525,'المواد الخام'!$A$5:$A$104,0)),IFERROR(INDEX(المنتجات!$C$5:$C$24,MATCH($C525,المنتجات!$A$5:$A$24,0)),"كود غير موجود")))</f>
        <v/>
      </c>
      <c r="E525" s="24"/>
      <c r="F525" s="28" t="str">
        <f aca="false">IF($C525="","",IFERROR(INDEX('المواد الخام'!$D$5:$D$104,MATCH($C525,'المواد الخام'!$A$5:$A$104,0)),"حبة"))</f>
        <v/>
      </c>
      <c r="G525" s="30"/>
      <c r="H525" s="29"/>
      <c r="I525" s="29"/>
    </row>
    <row r="526" customFormat="false" ht="15" hidden="false" customHeight="false" outlineLevel="0" collapsed="false">
      <c r="A526" s="32"/>
      <c r="B526" s="29"/>
      <c r="C526" s="29"/>
      <c r="D526" s="28" t="str">
        <f aca="false">IF($C526="","",IFERROR(INDEX('المواد الخام'!$B$5:$B$104,MATCH($C526,'المواد الخام'!$A$5:$A$104,0)),IFERROR(INDEX(المنتجات!$C$5:$C$24,MATCH($C526,المنتجات!$A$5:$A$24,0)),"كود غير موجود")))</f>
        <v/>
      </c>
      <c r="E526" s="24"/>
      <c r="F526" s="28" t="str">
        <f aca="false">IF($C526="","",IFERROR(INDEX('المواد الخام'!$D$5:$D$104,MATCH($C526,'المواد الخام'!$A$5:$A$104,0)),"حبة"))</f>
        <v/>
      </c>
      <c r="G526" s="30"/>
      <c r="H526" s="29"/>
      <c r="I526" s="29"/>
    </row>
    <row r="527" customFormat="false" ht="15" hidden="false" customHeight="false" outlineLevel="0" collapsed="false">
      <c r="A527" s="32"/>
      <c r="B527" s="29"/>
      <c r="C527" s="29"/>
      <c r="D527" s="28" t="str">
        <f aca="false">IF($C527="","",IFERROR(INDEX('المواد الخام'!$B$5:$B$104,MATCH($C527,'المواد الخام'!$A$5:$A$104,0)),IFERROR(INDEX(المنتجات!$C$5:$C$24,MATCH($C527,المنتجات!$A$5:$A$24,0)),"كود غير موجود")))</f>
        <v/>
      </c>
      <c r="E527" s="24"/>
      <c r="F527" s="28" t="str">
        <f aca="false">IF($C527="","",IFERROR(INDEX('المواد الخام'!$D$5:$D$104,MATCH($C527,'المواد الخام'!$A$5:$A$104,0)),"حبة"))</f>
        <v/>
      </c>
      <c r="G527" s="30"/>
      <c r="H527" s="29"/>
      <c r="I527" s="29"/>
    </row>
    <row r="528" customFormat="false" ht="15" hidden="false" customHeight="false" outlineLevel="0" collapsed="false">
      <c r="A528" s="32"/>
      <c r="B528" s="29"/>
      <c r="C528" s="29"/>
      <c r="D528" s="28" t="str">
        <f aca="false">IF($C528="","",IFERROR(INDEX('المواد الخام'!$B$5:$B$104,MATCH($C528,'المواد الخام'!$A$5:$A$104,0)),IFERROR(INDEX(المنتجات!$C$5:$C$24,MATCH($C528,المنتجات!$A$5:$A$24,0)),"كود غير موجود")))</f>
        <v/>
      </c>
      <c r="E528" s="24"/>
      <c r="F528" s="28" t="str">
        <f aca="false">IF($C528="","",IFERROR(INDEX('المواد الخام'!$D$5:$D$104,MATCH($C528,'المواد الخام'!$A$5:$A$104,0)),"حبة"))</f>
        <v/>
      </c>
      <c r="G528" s="30"/>
      <c r="H528" s="29"/>
      <c r="I528" s="29"/>
    </row>
    <row r="529" customFormat="false" ht="15" hidden="false" customHeight="false" outlineLevel="0" collapsed="false">
      <c r="A529" s="32"/>
      <c r="B529" s="29"/>
      <c r="C529" s="29"/>
      <c r="D529" s="28" t="str">
        <f aca="false">IF($C529="","",IFERROR(INDEX('المواد الخام'!$B$5:$B$104,MATCH($C529,'المواد الخام'!$A$5:$A$104,0)),IFERROR(INDEX(المنتجات!$C$5:$C$24,MATCH($C529,المنتجات!$A$5:$A$24,0)),"كود غير موجود")))</f>
        <v/>
      </c>
      <c r="E529" s="24"/>
      <c r="F529" s="28" t="str">
        <f aca="false">IF($C529="","",IFERROR(INDEX('المواد الخام'!$D$5:$D$104,MATCH($C529,'المواد الخام'!$A$5:$A$104,0)),"حبة"))</f>
        <v/>
      </c>
      <c r="G529" s="30"/>
      <c r="H529" s="29"/>
      <c r="I529" s="29"/>
    </row>
    <row r="530" customFormat="false" ht="15" hidden="false" customHeight="false" outlineLevel="0" collapsed="false">
      <c r="A530" s="32"/>
      <c r="B530" s="29"/>
      <c r="C530" s="29"/>
      <c r="D530" s="28" t="str">
        <f aca="false">IF($C530="","",IFERROR(INDEX('المواد الخام'!$B$5:$B$104,MATCH($C530,'المواد الخام'!$A$5:$A$104,0)),IFERROR(INDEX(المنتجات!$C$5:$C$24,MATCH($C530,المنتجات!$A$5:$A$24,0)),"كود غير موجود")))</f>
        <v/>
      </c>
      <c r="E530" s="24"/>
      <c r="F530" s="28" t="str">
        <f aca="false">IF($C530="","",IFERROR(INDEX('المواد الخام'!$D$5:$D$104,MATCH($C530,'المواد الخام'!$A$5:$A$104,0)),"حبة"))</f>
        <v/>
      </c>
      <c r="G530" s="30"/>
      <c r="H530" s="29"/>
      <c r="I530" s="29"/>
    </row>
    <row r="531" customFormat="false" ht="15" hidden="false" customHeight="false" outlineLevel="0" collapsed="false">
      <c r="A531" s="32"/>
      <c r="B531" s="29"/>
      <c r="C531" s="29"/>
      <c r="D531" s="28" t="str">
        <f aca="false">IF($C531="","",IFERROR(INDEX('المواد الخام'!$B$5:$B$104,MATCH($C531,'المواد الخام'!$A$5:$A$104,0)),IFERROR(INDEX(المنتجات!$C$5:$C$24,MATCH($C531,المنتجات!$A$5:$A$24,0)),"كود غير موجود")))</f>
        <v/>
      </c>
      <c r="E531" s="24"/>
      <c r="F531" s="28" t="str">
        <f aca="false">IF($C531="","",IFERROR(INDEX('المواد الخام'!$D$5:$D$104,MATCH($C531,'المواد الخام'!$A$5:$A$104,0)),"حبة"))</f>
        <v/>
      </c>
      <c r="G531" s="30"/>
      <c r="H531" s="29"/>
      <c r="I531" s="29"/>
    </row>
    <row r="532" customFormat="false" ht="15" hidden="false" customHeight="false" outlineLevel="0" collapsed="false">
      <c r="A532" s="32"/>
      <c r="B532" s="29"/>
      <c r="C532" s="29"/>
      <c r="D532" s="28" t="str">
        <f aca="false">IF($C532="","",IFERROR(INDEX('المواد الخام'!$B$5:$B$104,MATCH($C532,'المواد الخام'!$A$5:$A$104,0)),IFERROR(INDEX(المنتجات!$C$5:$C$24,MATCH($C532,المنتجات!$A$5:$A$24,0)),"كود غير موجود")))</f>
        <v/>
      </c>
      <c r="E532" s="24"/>
      <c r="F532" s="28" t="str">
        <f aca="false">IF($C532="","",IFERROR(INDEX('المواد الخام'!$D$5:$D$104,MATCH($C532,'المواد الخام'!$A$5:$A$104,0)),"حبة"))</f>
        <v/>
      </c>
      <c r="G532" s="30"/>
      <c r="H532" s="29"/>
      <c r="I532" s="29"/>
    </row>
    <row r="533" customFormat="false" ht="15" hidden="false" customHeight="false" outlineLevel="0" collapsed="false">
      <c r="A533" s="32"/>
      <c r="B533" s="29"/>
      <c r="C533" s="29"/>
      <c r="D533" s="28" t="str">
        <f aca="false">IF($C533="","",IFERROR(INDEX('المواد الخام'!$B$5:$B$104,MATCH($C533,'المواد الخام'!$A$5:$A$104,0)),IFERROR(INDEX(المنتجات!$C$5:$C$24,MATCH($C533,المنتجات!$A$5:$A$24,0)),"كود غير موجود")))</f>
        <v/>
      </c>
      <c r="E533" s="24"/>
      <c r="F533" s="28" t="str">
        <f aca="false">IF($C533="","",IFERROR(INDEX('المواد الخام'!$D$5:$D$104,MATCH($C533,'المواد الخام'!$A$5:$A$104,0)),"حبة"))</f>
        <v/>
      </c>
      <c r="G533" s="30"/>
      <c r="H533" s="29"/>
      <c r="I533" s="29"/>
    </row>
    <row r="534" customFormat="false" ht="15" hidden="false" customHeight="false" outlineLevel="0" collapsed="false">
      <c r="A534" s="32"/>
      <c r="B534" s="29"/>
      <c r="C534" s="29"/>
      <c r="D534" s="28" t="str">
        <f aca="false">IF($C534="","",IFERROR(INDEX('المواد الخام'!$B$5:$B$104,MATCH($C534,'المواد الخام'!$A$5:$A$104,0)),IFERROR(INDEX(المنتجات!$C$5:$C$24,MATCH($C534,المنتجات!$A$5:$A$24,0)),"كود غير موجود")))</f>
        <v/>
      </c>
      <c r="E534" s="24"/>
      <c r="F534" s="28" t="str">
        <f aca="false">IF($C534="","",IFERROR(INDEX('المواد الخام'!$D$5:$D$104,MATCH($C534,'المواد الخام'!$A$5:$A$104,0)),"حبة"))</f>
        <v/>
      </c>
      <c r="G534" s="30"/>
      <c r="H534" s="29"/>
      <c r="I534" s="29"/>
    </row>
    <row r="535" customFormat="false" ht="15" hidden="false" customHeight="false" outlineLevel="0" collapsed="false">
      <c r="A535" s="32"/>
      <c r="B535" s="29"/>
      <c r="C535" s="29"/>
      <c r="D535" s="28" t="str">
        <f aca="false">IF($C535="","",IFERROR(INDEX('المواد الخام'!$B$5:$B$104,MATCH($C535,'المواد الخام'!$A$5:$A$104,0)),IFERROR(INDEX(المنتجات!$C$5:$C$24,MATCH($C535,المنتجات!$A$5:$A$24,0)),"كود غير موجود")))</f>
        <v/>
      </c>
      <c r="E535" s="24"/>
      <c r="F535" s="28" t="str">
        <f aca="false">IF($C535="","",IFERROR(INDEX('المواد الخام'!$D$5:$D$104,MATCH($C535,'المواد الخام'!$A$5:$A$104,0)),"حبة"))</f>
        <v/>
      </c>
      <c r="G535" s="30"/>
      <c r="H535" s="29"/>
      <c r="I535" s="29"/>
    </row>
    <row r="536" customFormat="false" ht="15" hidden="false" customHeight="false" outlineLevel="0" collapsed="false">
      <c r="A536" s="32"/>
      <c r="B536" s="29"/>
      <c r="C536" s="29"/>
      <c r="D536" s="28" t="str">
        <f aca="false">IF($C536="","",IFERROR(INDEX('المواد الخام'!$B$5:$B$104,MATCH($C536,'المواد الخام'!$A$5:$A$104,0)),IFERROR(INDEX(المنتجات!$C$5:$C$24,MATCH($C536,المنتجات!$A$5:$A$24,0)),"كود غير موجود")))</f>
        <v/>
      </c>
      <c r="E536" s="24"/>
      <c r="F536" s="28" t="str">
        <f aca="false">IF($C536="","",IFERROR(INDEX('المواد الخام'!$D$5:$D$104,MATCH($C536,'المواد الخام'!$A$5:$A$104,0)),"حبة"))</f>
        <v/>
      </c>
      <c r="G536" s="30"/>
      <c r="H536" s="29"/>
      <c r="I536" s="29"/>
    </row>
    <row r="537" customFormat="false" ht="15" hidden="false" customHeight="false" outlineLevel="0" collapsed="false">
      <c r="A537" s="32"/>
      <c r="B537" s="29"/>
      <c r="C537" s="29"/>
      <c r="D537" s="28" t="str">
        <f aca="false">IF($C537="","",IFERROR(INDEX('المواد الخام'!$B$5:$B$104,MATCH($C537,'المواد الخام'!$A$5:$A$104,0)),IFERROR(INDEX(المنتجات!$C$5:$C$24,MATCH($C537,المنتجات!$A$5:$A$24,0)),"كود غير موجود")))</f>
        <v/>
      </c>
      <c r="E537" s="24"/>
      <c r="F537" s="28" t="str">
        <f aca="false">IF($C537="","",IFERROR(INDEX('المواد الخام'!$D$5:$D$104,MATCH($C537,'المواد الخام'!$A$5:$A$104,0)),"حبة"))</f>
        <v/>
      </c>
      <c r="G537" s="30"/>
      <c r="H537" s="29"/>
      <c r="I537" s="29"/>
    </row>
    <row r="538" customFormat="false" ht="15" hidden="false" customHeight="false" outlineLevel="0" collapsed="false">
      <c r="A538" s="32"/>
      <c r="B538" s="29"/>
      <c r="C538" s="29"/>
      <c r="D538" s="28" t="str">
        <f aca="false">IF($C538="","",IFERROR(INDEX('المواد الخام'!$B$5:$B$104,MATCH($C538,'المواد الخام'!$A$5:$A$104,0)),IFERROR(INDEX(المنتجات!$C$5:$C$24,MATCH($C538,المنتجات!$A$5:$A$24,0)),"كود غير موجود")))</f>
        <v/>
      </c>
      <c r="E538" s="24"/>
      <c r="F538" s="28" t="str">
        <f aca="false">IF($C538="","",IFERROR(INDEX('المواد الخام'!$D$5:$D$104,MATCH($C538,'المواد الخام'!$A$5:$A$104,0)),"حبة"))</f>
        <v/>
      </c>
      <c r="G538" s="30"/>
      <c r="H538" s="29"/>
      <c r="I538" s="29"/>
    </row>
    <row r="539" customFormat="false" ht="15" hidden="false" customHeight="false" outlineLevel="0" collapsed="false">
      <c r="A539" s="32"/>
      <c r="B539" s="29"/>
      <c r="C539" s="29"/>
      <c r="D539" s="28" t="str">
        <f aca="false">IF($C539="","",IFERROR(INDEX('المواد الخام'!$B$5:$B$104,MATCH($C539,'المواد الخام'!$A$5:$A$104,0)),IFERROR(INDEX(المنتجات!$C$5:$C$24,MATCH($C539,المنتجات!$A$5:$A$24,0)),"كود غير موجود")))</f>
        <v/>
      </c>
      <c r="E539" s="24"/>
      <c r="F539" s="28" t="str">
        <f aca="false">IF($C539="","",IFERROR(INDEX('المواد الخام'!$D$5:$D$104,MATCH($C539,'المواد الخام'!$A$5:$A$104,0)),"حبة"))</f>
        <v/>
      </c>
      <c r="G539" s="30"/>
      <c r="H539" s="29"/>
      <c r="I539" s="29"/>
    </row>
    <row r="540" customFormat="false" ht="15" hidden="false" customHeight="false" outlineLevel="0" collapsed="false">
      <c r="A540" s="32"/>
      <c r="B540" s="29"/>
      <c r="C540" s="29"/>
      <c r="D540" s="28" t="str">
        <f aca="false">IF($C540="","",IFERROR(INDEX('المواد الخام'!$B$5:$B$104,MATCH($C540,'المواد الخام'!$A$5:$A$104,0)),IFERROR(INDEX(المنتجات!$C$5:$C$24,MATCH($C540,المنتجات!$A$5:$A$24,0)),"كود غير موجود")))</f>
        <v/>
      </c>
      <c r="E540" s="24"/>
      <c r="F540" s="28" t="str">
        <f aca="false">IF($C540="","",IFERROR(INDEX('المواد الخام'!$D$5:$D$104,MATCH($C540,'المواد الخام'!$A$5:$A$104,0)),"حبة"))</f>
        <v/>
      </c>
      <c r="G540" s="30"/>
      <c r="H540" s="29"/>
      <c r="I540" s="29"/>
    </row>
    <row r="541" customFormat="false" ht="15" hidden="false" customHeight="false" outlineLevel="0" collapsed="false">
      <c r="A541" s="32"/>
      <c r="B541" s="29"/>
      <c r="C541" s="29"/>
      <c r="D541" s="28" t="str">
        <f aca="false">IF($C541="","",IFERROR(INDEX('المواد الخام'!$B$5:$B$104,MATCH($C541,'المواد الخام'!$A$5:$A$104,0)),IFERROR(INDEX(المنتجات!$C$5:$C$24,MATCH($C541,المنتجات!$A$5:$A$24,0)),"كود غير موجود")))</f>
        <v/>
      </c>
      <c r="E541" s="24"/>
      <c r="F541" s="28" t="str">
        <f aca="false">IF($C541="","",IFERROR(INDEX('المواد الخام'!$D$5:$D$104,MATCH($C541,'المواد الخام'!$A$5:$A$104,0)),"حبة"))</f>
        <v/>
      </c>
      <c r="G541" s="30"/>
      <c r="H541" s="29"/>
      <c r="I541" s="29"/>
    </row>
    <row r="542" customFormat="false" ht="15" hidden="false" customHeight="false" outlineLevel="0" collapsed="false">
      <c r="A542" s="32"/>
      <c r="B542" s="29"/>
      <c r="C542" s="29"/>
      <c r="D542" s="28" t="str">
        <f aca="false">IF($C542="","",IFERROR(INDEX('المواد الخام'!$B$5:$B$104,MATCH($C542,'المواد الخام'!$A$5:$A$104,0)),IFERROR(INDEX(المنتجات!$C$5:$C$24,MATCH($C542,المنتجات!$A$5:$A$24,0)),"كود غير موجود")))</f>
        <v/>
      </c>
      <c r="E542" s="24"/>
      <c r="F542" s="28" t="str">
        <f aca="false">IF($C542="","",IFERROR(INDEX('المواد الخام'!$D$5:$D$104,MATCH($C542,'المواد الخام'!$A$5:$A$104,0)),"حبة"))</f>
        <v/>
      </c>
      <c r="G542" s="30"/>
      <c r="H542" s="29"/>
      <c r="I542" s="29"/>
    </row>
    <row r="543" customFormat="false" ht="15" hidden="false" customHeight="false" outlineLevel="0" collapsed="false">
      <c r="A543" s="32"/>
      <c r="B543" s="29"/>
      <c r="C543" s="29"/>
      <c r="D543" s="28" t="str">
        <f aca="false">IF($C543="","",IFERROR(INDEX('المواد الخام'!$B$5:$B$104,MATCH($C543,'المواد الخام'!$A$5:$A$104,0)),IFERROR(INDEX(المنتجات!$C$5:$C$24,MATCH($C543,المنتجات!$A$5:$A$24,0)),"كود غير موجود")))</f>
        <v/>
      </c>
      <c r="E543" s="24"/>
      <c r="F543" s="28" t="str">
        <f aca="false">IF($C543="","",IFERROR(INDEX('المواد الخام'!$D$5:$D$104,MATCH($C543,'المواد الخام'!$A$5:$A$104,0)),"حبة"))</f>
        <v/>
      </c>
      <c r="G543" s="30"/>
      <c r="H543" s="29"/>
      <c r="I543" s="29"/>
    </row>
    <row r="544" customFormat="false" ht="15" hidden="false" customHeight="false" outlineLevel="0" collapsed="false">
      <c r="A544" s="32"/>
      <c r="B544" s="29"/>
      <c r="C544" s="29"/>
      <c r="D544" s="28" t="str">
        <f aca="false">IF($C544="","",IFERROR(INDEX('المواد الخام'!$B$5:$B$104,MATCH($C544,'المواد الخام'!$A$5:$A$104,0)),IFERROR(INDEX(المنتجات!$C$5:$C$24,MATCH($C544,المنتجات!$A$5:$A$24,0)),"كود غير موجود")))</f>
        <v/>
      </c>
      <c r="E544" s="24"/>
      <c r="F544" s="28" t="str">
        <f aca="false">IF($C544="","",IFERROR(INDEX('المواد الخام'!$D$5:$D$104,MATCH($C544,'المواد الخام'!$A$5:$A$104,0)),"حبة"))</f>
        <v/>
      </c>
      <c r="G544" s="30"/>
      <c r="H544" s="29"/>
      <c r="I544" s="29"/>
    </row>
    <row r="545" customFormat="false" ht="15" hidden="false" customHeight="false" outlineLevel="0" collapsed="false">
      <c r="A545" s="32"/>
      <c r="B545" s="29"/>
      <c r="C545" s="29"/>
      <c r="D545" s="28" t="str">
        <f aca="false">IF($C545="","",IFERROR(INDEX('المواد الخام'!$B$5:$B$104,MATCH($C545,'المواد الخام'!$A$5:$A$104,0)),IFERROR(INDEX(المنتجات!$C$5:$C$24,MATCH($C545,المنتجات!$A$5:$A$24,0)),"كود غير موجود")))</f>
        <v/>
      </c>
      <c r="E545" s="24"/>
      <c r="F545" s="28" t="str">
        <f aca="false">IF($C545="","",IFERROR(INDEX('المواد الخام'!$D$5:$D$104,MATCH($C545,'المواد الخام'!$A$5:$A$104,0)),"حبة"))</f>
        <v/>
      </c>
      <c r="G545" s="30"/>
      <c r="H545" s="29"/>
      <c r="I545" s="29"/>
    </row>
    <row r="546" customFormat="false" ht="15" hidden="false" customHeight="false" outlineLevel="0" collapsed="false">
      <c r="A546" s="32"/>
      <c r="B546" s="29"/>
      <c r="C546" s="29"/>
      <c r="D546" s="28" t="str">
        <f aca="false">IF($C546="","",IFERROR(INDEX('المواد الخام'!$B$5:$B$104,MATCH($C546,'المواد الخام'!$A$5:$A$104,0)),IFERROR(INDEX(المنتجات!$C$5:$C$24,MATCH($C546,المنتجات!$A$5:$A$24,0)),"كود غير موجود")))</f>
        <v/>
      </c>
      <c r="E546" s="24"/>
      <c r="F546" s="28" t="str">
        <f aca="false">IF($C546="","",IFERROR(INDEX('المواد الخام'!$D$5:$D$104,MATCH($C546,'المواد الخام'!$A$5:$A$104,0)),"حبة"))</f>
        <v/>
      </c>
      <c r="G546" s="30"/>
      <c r="H546" s="29"/>
      <c r="I546" s="29"/>
    </row>
    <row r="547" customFormat="false" ht="15" hidden="false" customHeight="false" outlineLevel="0" collapsed="false">
      <c r="A547" s="32"/>
      <c r="B547" s="29"/>
      <c r="C547" s="29"/>
      <c r="D547" s="28" t="str">
        <f aca="false">IF($C547="","",IFERROR(INDEX('المواد الخام'!$B$5:$B$104,MATCH($C547,'المواد الخام'!$A$5:$A$104,0)),IFERROR(INDEX(المنتجات!$C$5:$C$24,MATCH($C547,المنتجات!$A$5:$A$24,0)),"كود غير موجود")))</f>
        <v/>
      </c>
      <c r="E547" s="24"/>
      <c r="F547" s="28" t="str">
        <f aca="false">IF($C547="","",IFERROR(INDEX('المواد الخام'!$D$5:$D$104,MATCH($C547,'المواد الخام'!$A$5:$A$104,0)),"حبة"))</f>
        <v/>
      </c>
      <c r="G547" s="30"/>
      <c r="H547" s="29"/>
      <c r="I547" s="29"/>
    </row>
    <row r="548" customFormat="false" ht="15" hidden="false" customHeight="false" outlineLevel="0" collapsed="false">
      <c r="A548" s="32"/>
      <c r="B548" s="29"/>
      <c r="C548" s="29"/>
      <c r="D548" s="28" t="str">
        <f aca="false">IF($C548="","",IFERROR(INDEX('المواد الخام'!$B$5:$B$104,MATCH($C548,'المواد الخام'!$A$5:$A$104,0)),IFERROR(INDEX(المنتجات!$C$5:$C$24,MATCH($C548,المنتجات!$A$5:$A$24,0)),"كود غير موجود")))</f>
        <v/>
      </c>
      <c r="E548" s="24"/>
      <c r="F548" s="28" t="str">
        <f aca="false">IF($C548="","",IFERROR(INDEX('المواد الخام'!$D$5:$D$104,MATCH($C548,'المواد الخام'!$A$5:$A$104,0)),"حبة"))</f>
        <v/>
      </c>
      <c r="G548" s="30"/>
      <c r="H548" s="29"/>
      <c r="I548" s="29"/>
    </row>
    <row r="549" customFormat="false" ht="15" hidden="false" customHeight="false" outlineLevel="0" collapsed="false">
      <c r="A549" s="32"/>
      <c r="B549" s="29"/>
      <c r="C549" s="29"/>
      <c r="D549" s="28" t="str">
        <f aca="false">IF($C549="","",IFERROR(INDEX('المواد الخام'!$B$5:$B$104,MATCH($C549,'المواد الخام'!$A$5:$A$104,0)),IFERROR(INDEX(المنتجات!$C$5:$C$24,MATCH($C549,المنتجات!$A$5:$A$24,0)),"كود غير موجود")))</f>
        <v/>
      </c>
      <c r="E549" s="24"/>
      <c r="F549" s="28" t="str">
        <f aca="false">IF($C549="","",IFERROR(INDEX('المواد الخام'!$D$5:$D$104,MATCH($C549,'المواد الخام'!$A$5:$A$104,0)),"حبة"))</f>
        <v/>
      </c>
      <c r="G549" s="30"/>
      <c r="H549" s="29"/>
      <c r="I549" s="29"/>
    </row>
    <row r="550" customFormat="false" ht="15" hidden="false" customHeight="false" outlineLevel="0" collapsed="false">
      <c r="A550" s="32"/>
      <c r="B550" s="29"/>
      <c r="C550" s="29"/>
      <c r="D550" s="28" t="str">
        <f aca="false">IF($C550="","",IFERROR(INDEX('المواد الخام'!$B$5:$B$104,MATCH($C550,'المواد الخام'!$A$5:$A$104,0)),IFERROR(INDEX(المنتجات!$C$5:$C$24,MATCH($C550,المنتجات!$A$5:$A$24,0)),"كود غير موجود")))</f>
        <v/>
      </c>
      <c r="E550" s="24"/>
      <c r="F550" s="28" t="str">
        <f aca="false">IF($C550="","",IFERROR(INDEX('المواد الخام'!$D$5:$D$104,MATCH($C550,'المواد الخام'!$A$5:$A$104,0)),"حبة"))</f>
        <v/>
      </c>
      <c r="G550" s="30"/>
      <c r="H550" s="29"/>
      <c r="I550" s="29"/>
    </row>
    <row r="551" customFormat="false" ht="15" hidden="false" customHeight="false" outlineLevel="0" collapsed="false">
      <c r="A551" s="32"/>
      <c r="B551" s="29"/>
      <c r="C551" s="29"/>
      <c r="D551" s="28" t="str">
        <f aca="false">IF($C551="","",IFERROR(INDEX('المواد الخام'!$B$5:$B$104,MATCH($C551,'المواد الخام'!$A$5:$A$104,0)),IFERROR(INDEX(المنتجات!$C$5:$C$24,MATCH($C551,المنتجات!$A$5:$A$24,0)),"كود غير موجود")))</f>
        <v/>
      </c>
      <c r="E551" s="24"/>
      <c r="F551" s="28" t="str">
        <f aca="false">IF($C551="","",IFERROR(INDEX('المواد الخام'!$D$5:$D$104,MATCH($C551,'المواد الخام'!$A$5:$A$104,0)),"حبة"))</f>
        <v/>
      </c>
      <c r="G551" s="30"/>
      <c r="H551" s="29"/>
      <c r="I551" s="29"/>
    </row>
    <row r="552" customFormat="false" ht="15" hidden="false" customHeight="false" outlineLevel="0" collapsed="false">
      <c r="A552" s="32"/>
      <c r="B552" s="29"/>
      <c r="C552" s="29"/>
      <c r="D552" s="28" t="str">
        <f aca="false">IF($C552="","",IFERROR(INDEX('المواد الخام'!$B$5:$B$104,MATCH($C552,'المواد الخام'!$A$5:$A$104,0)),IFERROR(INDEX(المنتجات!$C$5:$C$24,MATCH($C552,المنتجات!$A$5:$A$24,0)),"كود غير موجود")))</f>
        <v/>
      </c>
      <c r="E552" s="24"/>
      <c r="F552" s="28" t="str">
        <f aca="false">IF($C552="","",IFERROR(INDEX('المواد الخام'!$D$5:$D$104,MATCH($C552,'المواد الخام'!$A$5:$A$104,0)),"حبة"))</f>
        <v/>
      </c>
      <c r="G552" s="30"/>
      <c r="H552" s="29"/>
      <c r="I552" s="29"/>
    </row>
    <row r="553" customFormat="false" ht="15" hidden="false" customHeight="false" outlineLevel="0" collapsed="false">
      <c r="A553" s="32"/>
      <c r="B553" s="29"/>
      <c r="C553" s="29"/>
      <c r="D553" s="28" t="str">
        <f aca="false">IF($C553="","",IFERROR(INDEX('المواد الخام'!$B$5:$B$104,MATCH($C553,'المواد الخام'!$A$5:$A$104,0)),IFERROR(INDEX(المنتجات!$C$5:$C$24,MATCH($C553,المنتجات!$A$5:$A$24,0)),"كود غير موجود")))</f>
        <v/>
      </c>
      <c r="E553" s="24"/>
      <c r="F553" s="28" t="str">
        <f aca="false">IF($C553="","",IFERROR(INDEX('المواد الخام'!$D$5:$D$104,MATCH($C553,'المواد الخام'!$A$5:$A$104,0)),"حبة"))</f>
        <v/>
      </c>
      <c r="G553" s="30"/>
      <c r="H553" s="29"/>
      <c r="I553" s="29"/>
    </row>
    <row r="554" customFormat="false" ht="15" hidden="false" customHeight="false" outlineLevel="0" collapsed="false">
      <c r="A554" s="32"/>
      <c r="B554" s="29"/>
      <c r="C554" s="29"/>
      <c r="D554" s="28" t="str">
        <f aca="false">IF($C554="","",IFERROR(INDEX('المواد الخام'!$B$5:$B$104,MATCH($C554,'المواد الخام'!$A$5:$A$104,0)),IFERROR(INDEX(المنتجات!$C$5:$C$24,MATCH($C554,المنتجات!$A$5:$A$24,0)),"كود غير موجود")))</f>
        <v/>
      </c>
      <c r="E554" s="24"/>
      <c r="F554" s="28" t="str">
        <f aca="false">IF($C554="","",IFERROR(INDEX('المواد الخام'!$D$5:$D$104,MATCH($C554,'المواد الخام'!$A$5:$A$104,0)),"حبة"))</f>
        <v/>
      </c>
      <c r="G554" s="30"/>
      <c r="H554" s="29"/>
      <c r="I554" s="29"/>
    </row>
    <row r="555" customFormat="false" ht="15" hidden="false" customHeight="false" outlineLevel="0" collapsed="false">
      <c r="A555" s="32"/>
      <c r="B555" s="29"/>
      <c r="C555" s="29"/>
      <c r="D555" s="28" t="str">
        <f aca="false">IF($C555="","",IFERROR(INDEX('المواد الخام'!$B$5:$B$104,MATCH($C555,'المواد الخام'!$A$5:$A$104,0)),IFERROR(INDEX(المنتجات!$C$5:$C$24,MATCH($C555,المنتجات!$A$5:$A$24,0)),"كود غير موجود")))</f>
        <v/>
      </c>
      <c r="E555" s="24"/>
      <c r="F555" s="28" t="str">
        <f aca="false">IF($C555="","",IFERROR(INDEX('المواد الخام'!$D$5:$D$104,MATCH($C555,'المواد الخام'!$A$5:$A$104,0)),"حبة"))</f>
        <v/>
      </c>
      <c r="G555" s="30"/>
      <c r="H555" s="29"/>
      <c r="I555" s="29"/>
    </row>
    <row r="556" customFormat="false" ht="15" hidden="false" customHeight="false" outlineLevel="0" collapsed="false">
      <c r="A556" s="32"/>
      <c r="B556" s="29"/>
      <c r="C556" s="29"/>
      <c r="D556" s="28" t="str">
        <f aca="false">IF($C556="","",IFERROR(INDEX('المواد الخام'!$B$5:$B$104,MATCH($C556,'المواد الخام'!$A$5:$A$104,0)),IFERROR(INDEX(المنتجات!$C$5:$C$24,MATCH($C556,المنتجات!$A$5:$A$24,0)),"كود غير موجود")))</f>
        <v/>
      </c>
      <c r="E556" s="24"/>
      <c r="F556" s="28" t="str">
        <f aca="false">IF($C556="","",IFERROR(INDEX('المواد الخام'!$D$5:$D$104,MATCH($C556,'المواد الخام'!$A$5:$A$104,0)),"حبة"))</f>
        <v/>
      </c>
      <c r="G556" s="30"/>
      <c r="H556" s="29"/>
      <c r="I556" s="29"/>
    </row>
    <row r="557" customFormat="false" ht="15" hidden="false" customHeight="false" outlineLevel="0" collapsed="false">
      <c r="A557" s="32"/>
      <c r="B557" s="29"/>
      <c r="C557" s="29"/>
      <c r="D557" s="28" t="str">
        <f aca="false">IF($C557="","",IFERROR(INDEX('المواد الخام'!$B$5:$B$104,MATCH($C557,'المواد الخام'!$A$5:$A$104,0)),IFERROR(INDEX(المنتجات!$C$5:$C$24,MATCH($C557,المنتجات!$A$5:$A$24,0)),"كود غير موجود")))</f>
        <v/>
      </c>
      <c r="E557" s="24"/>
      <c r="F557" s="28" t="str">
        <f aca="false">IF($C557="","",IFERROR(INDEX('المواد الخام'!$D$5:$D$104,MATCH($C557,'المواد الخام'!$A$5:$A$104,0)),"حبة"))</f>
        <v/>
      </c>
      <c r="G557" s="30"/>
      <c r="H557" s="29"/>
      <c r="I557" s="29"/>
    </row>
    <row r="558" customFormat="false" ht="15" hidden="false" customHeight="false" outlineLevel="0" collapsed="false">
      <c r="A558" s="32"/>
      <c r="B558" s="29"/>
      <c r="C558" s="29"/>
      <c r="D558" s="28" t="str">
        <f aca="false">IF($C558="","",IFERROR(INDEX('المواد الخام'!$B$5:$B$104,MATCH($C558,'المواد الخام'!$A$5:$A$104,0)),IFERROR(INDEX(المنتجات!$C$5:$C$24,MATCH($C558,المنتجات!$A$5:$A$24,0)),"كود غير موجود")))</f>
        <v/>
      </c>
      <c r="E558" s="24"/>
      <c r="F558" s="28" t="str">
        <f aca="false">IF($C558="","",IFERROR(INDEX('المواد الخام'!$D$5:$D$104,MATCH($C558,'المواد الخام'!$A$5:$A$104,0)),"حبة"))</f>
        <v/>
      </c>
      <c r="G558" s="30"/>
      <c r="H558" s="29"/>
      <c r="I558" s="29"/>
    </row>
    <row r="559" customFormat="false" ht="15" hidden="false" customHeight="false" outlineLevel="0" collapsed="false">
      <c r="A559" s="32"/>
      <c r="B559" s="29"/>
      <c r="C559" s="29"/>
      <c r="D559" s="28" t="str">
        <f aca="false">IF($C559="","",IFERROR(INDEX('المواد الخام'!$B$5:$B$104,MATCH($C559,'المواد الخام'!$A$5:$A$104,0)),IFERROR(INDEX(المنتجات!$C$5:$C$24,MATCH($C559,المنتجات!$A$5:$A$24,0)),"كود غير موجود")))</f>
        <v/>
      </c>
      <c r="E559" s="24"/>
      <c r="F559" s="28" t="str">
        <f aca="false">IF($C559="","",IFERROR(INDEX('المواد الخام'!$D$5:$D$104,MATCH($C559,'المواد الخام'!$A$5:$A$104,0)),"حبة"))</f>
        <v/>
      </c>
      <c r="G559" s="30"/>
      <c r="H559" s="29"/>
      <c r="I559" s="29"/>
    </row>
    <row r="560" customFormat="false" ht="15" hidden="false" customHeight="false" outlineLevel="0" collapsed="false">
      <c r="A560" s="32"/>
      <c r="B560" s="29"/>
      <c r="C560" s="29"/>
      <c r="D560" s="28" t="str">
        <f aca="false">IF($C560="","",IFERROR(INDEX('المواد الخام'!$B$5:$B$104,MATCH($C560,'المواد الخام'!$A$5:$A$104,0)),IFERROR(INDEX(المنتجات!$C$5:$C$24,MATCH($C560,المنتجات!$A$5:$A$24,0)),"كود غير موجود")))</f>
        <v/>
      </c>
      <c r="E560" s="24"/>
      <c r="F560" s="28" t="str">
        <f aca="false">IF($C560="","",IFERROR(INDEX('المواد الخام'!$D$5:$D$104,MATCH($C560,'المواد الخام'!$A$5:$A$104,0)),"حبة"))</f>
        <v/>
      </c>
      <c r="G560" s="30"/>
      <c r="H560" s="29"/>
      <c r="I560" s="29"/>
    </row>
    <row r="561" customFormat="false" ht="15" hidden="false" customHeight="false" outlineLevel="0" collapsed="false">
      <c r="A561" s="32"/>
      <c r="B561" s="29"/>
      <c r="C561" s="29"/>
      <c r="D561" s="28" t="str">
        <f aca="false">IF($C561="","",IFERROR(INDEX('المواد الخام'!$B$5:$B$104,MATCH($C561,'المواد الخام'!$A$5:$A$104,0)),IFERROR(INDEX(المنتجات!$C$5:$C$24,MATCH($C561,المنتجات!$A$5:$A$24,0)),"كود غير موجود")))</f>
        <v/>
      </c>
      <c r="E561" s="24"/>
      <c r="F561" s="28" t="str">
        <f aca="false">IF($C561="","",IFERROR(INDEX('المواد الخام'!$D$5:$D$104,MATCH($C561,'المواد الخام'!$A$5:$A$104,0)),"حبة"))</f>
        <v/>
      </c>
      <c r="G561" s="30"/>
      <c r="H561" s="29"/>
      <c r="I561" s="29"/>
    </row>
    <row r="562" customFormat="false" ht="15" hidden="false" customHeight="false" outlineLevel="0" collapsed="false">
      <c r="A562" s="32"/>
      <c r="B562" s="29"/>
      <c r="C562" s="29"/>
      <c r="D562" s="28" t="str">
        <f aca="false">IF($C562="","",IFERROR(INDEX('المواد الخام'!$B$5:$B$104,MATCH($C562,'المواد الخام'!$A$5:$A$104,0)),IFERROR(INDEX(المنتجات!$C$5:$C$24,MATCH($C562,المنتجات!$A$5:$A$24,0)),"كود غير موجود")))</f>
        <v/>
      </c>
      <c r="E562" s="24"/>
      <c r="F562" s="28" t="str">
        <f aca="false">IF($C562="","",IFERROR(INDEX('المواد الخام'!$D$5:$D$104,MATCH($C562,'المواد الخام'!$A$5:$A$104,0)),"حبة"))</f>
        <v/>
      </c>
      <c r="G562" s="30"/>
      <c r="H562" s="29"/>
      <c r="I562" s="29"/>
    </row>
    <row r="563" customFormat="false" ht="15" hidden="false" customHeight="false" outlineLevel="0" collapsed="false">
      <c r="A563" s="32"/>
      <c r="B563" s="29"/>
      <c r="C563" s="29"/>
      <c r="D563" s="28" t="str">
        <f aca="false">IF($C563="","",IFERROR(INDEX('المواد الخام'!$B$5:$B$104,MATCH($C563,'المواد الخام'!$A$5:$A$104,0)),IFERROR(INDEX(المنتجات!$C$5:$C$24,MATCH($C563,المنتجات!$A$5:$A$24,0)),"كود غير موجود")))</f>
        <v/>
      </c>
      <c r="E563" s="24"/>
      <c r="F563" s="28" t="str">
        <f aca="false">IF($C563="","",IFERROR(INDEX('المواد الخام'!$D$5:$D$104,MATCH($C563,'المواد الخام'!$A$5:$A$104,0)),"حبة"))</f>
        <v/>
      </c>
      <c r="G563" s="30"/>
      <c r="H563" s="29"/>
      <c r="I563" s="29"/>
    </row>
    <row r="564" customFormat="false" ht="15" hidden="false" customHeight="false" outlineLevel="0" collapsed="false">
      <c r="A564" s="32"/>
      <c r="B564" s="29"/>
      <c r="C564" s="29"/>
      <c r="D564" s="28" t="str">
        <f aca="false">IF($C564="","",IFERROR(INDEX('المواد الخام'!$B$5:$B$104,MATCH($C564,'المواد الخام'!$A$5:$A$104,0)),IFERROR(INDEX(المنتجات!$C$5:$C$24,MATCH($C564,المنتجات!$A$5:$A$24,0)),"كود غير موجود")))</f>
        <v/>
      </c>
      <c r="E564" s="24"/>
      <c r="F564" s="28" t="str">
        <f aca="false">IF($C564="","",IFERROR(INDEX('المواد الخام'!$D$5:$D$104,MATCH($C564,'المواد الخام'!$A$5:$A$104,0)),"حبة"))</f>
        <v/>
      </c>
      <c r="G564" s="30"/>
      <c r="H564" s="29"/>
      <c r="I564" s="29"/>
    </row>
    <row r="565" customFormat="false" ht="15" hidden="false" customHeight="false" outlineLevel="0" collapsed="false">
      <c r="A565" s="32"/>
      <c r="B565" s="29"/>
      <c r="C565" s="29"/>
      <c r="D565" s="28" t="str">
        <f aca="false">IF($C565="","",IFERROR(INDEX('المواد الخام'!$B$5:$B$104,MATCH($C565,'المواد الخام'!$A$5:$A$104,0)),IFERROR(INDEX(المنتجات!$C$5:$C$24,MATCH($C565,المنتجات!$A$5:$A$24,0)),"كود غير موجود")))</f>
        <v/>
      </c>
      <c r="E565" s="24"/>
      <c r="F565" s="28" t="str">
        <f aca="false">IF($C565="","",IFERROR(INDEX('المواد الخام'!$D$5:$D$104,MATCH($C565,'المواد الخام'!$A$5:$A$104,0)),"حبة"))</f>
        <v/>
      </c>
      <c r="G565" s="30"/>
      <c r="H565" s="29"/>
      <c r="I565" s="29"/>
    </row>
    <row r="566" customFormat="false" ht="15" hidden="false" customHeight="false" outlineLevel="0" collapsed="false">
      <c r="A566" s="32"/>
      <c r="B566" s="29"/>
      <c r="C566" s="29"/>
      <c r="D566" s="28" t="str">
        <f aca="false">IF($C566="","",IFERROR(INDEX('المواد الخام'!$B$5:$B$104,MATCH($C566,'المواد الخام'!$A$5:$A$104,0)),IFERROR(INDEX(المنتجات!$C$5:$C$24,MATCH($C566,المنتجات!$A$5:$A$24,0)),"كود غير موجود")))</f>
        <v/>
      </c>
      <c r="E566" s="24"/>
      <c r="F566" s="28" t="str">
        <f aca="false">IF($C566="","",IFERROR(INDEX('المواد الخام'!$D$5:$D$104,MATCH($C566,'المواد الخام'!$A$5:$A$104,0)),"حبة"))</f>
        <v/>
      </c>
      <c r="G566" s="30"/>
      <c r="H566" s="29"/>
      <c r="I566" s="29"/>
    </row>
    <row r="567" customFormat="false" ht="15" hidden="false" customHeight="false" outlineLevel="0" collapsed="false">
      <c r="A567" s="32"/>
      <c r="B567" s="29"/>
      <c r="C567" s="29"/>
      <c r="D567" s="28" t="str">
        <f aca="false">IF($C567="","",IFERROR(INDEX('المواد الخام'!$B$5:$B$104,MATCH($C567,'المواد الخام'!$A$5:$A$104,0)),IFERROR(INDEX(المنتجات!$C$5:$C$24,MATCH($C567,المنتجات!$A$5:$A$24,0)),"كود غير موجود")))</f>
        <v/>
      </c>
      <c r="E567" s="24"/>
      <c r="F567" s="28" t="str">
        <f aca="false">IF($C567="","",IFERROR(INDEX('المواد الخام'!$D$5:$D$104,MATCH($C567,'المواد الخام'!$A$5:$A$104,0)),"حبة"))</f>
        <v/>
      </c>
      <c r="G567" s="30"/>
      <c r="H567" s="29"/>
      <c r="I567" s="29"/>
    </row>
    <row r="568" customFormat="false" ht="15" hidden="false" customHeight="false" outlineLevel="0" collapsed="false">
      <c r="A568" s="32"/>
      <c r="B568" s="29"/>
      <c r="C568" s="29"/>
      <c r="D568" s="28" t="str">
        <f aca="false">IF($C568="","",IFERROR(INDEX('المواد الخام'!$B$5:$B$104,MATCH($C568,'المواد الخام'!$A$5:$A$104,0)),IFERROR(INDEX(المنتجات!$C$5:$C$24,MATCH($C568,المنتجات!$A$5:$A$24,0)),"كود غير موجود")))</f>
        <v/>
      </c>
      <c r="E568" s="24"/>
      <c r="F568" s="28" t="str">
        <f aca="false">IF($C568="","",IFERROR(INDEX('المواد الخام'!$D$5:$D$104,MATCH($C568,'المواد الخام'!$A$5:$A$104,0)),"حبة"))</f>
        <v/>
      </c>
      <c r="G568" s="30"/>
      <c r="H568" s="29"/>
      <c r="I568" s="29"/>
    </row>
    <row r="569" customFormat="false" ht="15" hidden="false" customHeight="false" outlineLevel="0" collapsed="false">
      <c r="A569" s="32"/>
      <c r="B569" s="29"/>
      <c r="C569" s="29"/>
      <c r="D569" s="28" t="str">
        <f aca="false">IF($C569="","",IFERROR(INDEX('المواد الخام'!$B$5:$B$104,MATCH($C569,'المواد الخام'!$A$5:$A$104,0)),IFERROR(INDEX(المنتجات!$C$5:$C$24,MATCH($C569,المنتجات!$A$5:$A$24,0)),"كود غير موجود")))</f>
        <v/>
      </c>
      <c r="E569" s="24"/>
      <c r="F569" s="28" t="str">
        <f aca="false">IF($C569="","",IFERROR(INDEX('المواد الخام'!$D$5:$D$104,MATCH($C569,'المواد الخام'!$A$5:$A$104,0)),"حبة"))</f>
        <v/>
      </c>
      <c r="G569" s="30"/>
      <c r="H569" s="29"/>
      <c r="I569" s="29"/>
    </row>
    <row r="570" customFormat="false" ht="15" hidden="false" customHeight="false" outlineLevel="0" collapsed="false">
      <c r="A570" s="32"/>
      <c r="B570" s="29"/>
      <c r="C570" s="29"/>
      <c r="D570" s="28" t="str">
        <f aca="false">IF($C570="","",IFERROR(INDEX('المواد الخام'!$B$5:$B$104,MATCH($C570,'المواد الخام'!$A$5:$A$104,0)),IFERROR(INDEX(المنتجات!$C$5:$C$24,MATCH($C570,المنتجات!$A$5:$A$24,0)),"كود غير موجود")))</f>
        <v/>
      </c>
      <c r="E570" s="24"/>
      <c r="F570" s="28" t="str">
        <f aca="false">IF($C570="","",IFERROR(INDEX('المواد الخام'!$D$5:$D$104,MATCH($C570,'المواد الخام'!$A$5:$A$104,0)),"حبة"))</f>
        <v/>
      </c>
      <c r="G570" s="30"/>
      <c r="H570" s="29"/>
      <c r="I570" s="29"/>
    </row>
    <row r="571" customFormat="false" ht="15" hidden="false" customHeight="false" outlineLevel="0" collapsed="false">
      <c r="A571" s="32"/>
      <c r="B571" s="29"/>
      <c r="C571" s="29"/>
      <c r="D571" s="28" t="str">
        <f aca="false">IF($C571="","",IFERROR(INDEX('المواد الخام'!$B$5:$B$104,MATCH($C571,'المواد الخام'!$A$5:$A$104,0)),IFERROR(INDEX(المنتجات!$C$5:$C$24,MATCH($C571,المنتجات!$A$5:$A$24,0)),"كود غير موجود")))</f>
        <v/>
      </c>
      <c r="E571" s="24"/>
      <c r="F571" s="28" t="str">
        <f aca="false">IF($C571="","",IFERROR(INDEX('المواد الخام'!$D$5:$D$104,MATCH($C571,'المواد الخام'!$A$5:$A$104,0)),"حبة"))</f>
        <v/>
      </c>
      <c r="G571" s="30"/>
      <c r="H571" s="29"/>
      <c r="I571" s="29"/>
    </row>
    <row r="572" customFormat="false" ht="15" hidden="false" customHeight="false" outlineLevel="0" collapsed="false">
      <c r="A572" s="32"/>
      <c r="B572" s="29"/>
      <c r="C572" s="29"/>
      <c r="D572" s="28" t="str">
        <f aca="false">IF($C572="","",IFERROR(INDEX('المواد الخام'!$B$5:$B$104,MATCH($C572,'المواد الخام'!$A$5:$A$104,0)),IFERROR(INDEX(المنتجات!$C$5:$C$24,MATCH($C572,المنتجات!$A$5:$A$24,0)),"كود غير موجود")))</f>
        <v/>
      </c>
      <c r="E572" s="24"/>
      <c r="F572" s="28" t="str">
        <f aca="false">IF($C572="","",IFERROR(INDEX('المواد الخام'!$D$5:$D$104,MATCH($C572,'المواد الخام'!$A$5:$A$104,0)),"حبة"))</f>
        <v/>
      </c>
      <c r="G572" s="30"/>
      <c r="H572" s="29"/>
      <c r="I572" s="29"/>
    </row>
    <row r="573" customFormat="false" ht="15" hidden="false" customHeight="false" outlineLevel="0" collapsed="false">
      <c r="A573" s="32"/>
      <c r="B573" s="29"/>
      <c r="C573" s="29"/>
      <c r="D573" s="28" t="str">
        <f aca="false">IF($C573="","",IFERROR(INDEX('المواد الخام'!$B$5:$B$104,MATCH($C573,'المواد الخام'!$A$5:$A$104,0)),IFERROR(INDEX(المنتجات!$C$5:$C$24,MATCH($C573,المنتجات!$A$5:$A$24,0)),"كود غير موجود")))</f>
        <v/>
      </c>
      <c r="E573" s="24"/>
      <c r="F573" s="28" t="str">
        <f aca="false">IF($C573="","",IFERROR(INDEX('المواد الخام'!$D$5:$D$104,MATCH($C573,'المواد الخام'!$A$5:$A$104,0)),"حبة"))</f>
        <v/>
      </c>
      <c r="G573" s="30"/>
      <c r="H573" s="29"/>
      <c r="I573" s="29"/>
    </row>
    <row r="574" customFormat="false" ht="15" hidden="false" customHeight="false" outlineLevel="0" collapsed="false">
      <c r="A574" s="32"/>
      <c r="B574" s="29"/>
      <c r="C574" s="29"/>
      <c r="D574" s="28" t="str">
        <f aca="false">IF($C574="","",IFERROR(INDEX('المواد الخام'!$B$5:$B$104,MATCH($C574,'المواد الخام'!$A$5:$A$104,0)),IFERROR(INDEX(المنتجات!$C$5:$C$24,MATCH($C574,المنتجات!$A$5:$A$24,0)),"كود غير موجود")))</f>
        <v/>
      </c>
      <c r="E574" s="24"/>
      <c r="F574" s="28" t="str">
        <f aca="false">IF($C574="","",IFERROR(INDEX('المواد الخام'!$D$5:$D$104,MATCH($C574,'المواد الخام'!$A$5:$A$104,0)),"حبة"))</f>
        <v/>
      </c>
      <c r="G574" s="30"/>
      <c r="H574" s="29"/>
      <c r="I574" s="29"/>
    </row>
    <row r="575" customFormat="false" ht="15" hidden="false" customHeight="false" outlineLevel="0" collapsed="false">
      <c r="A575" s="32"/>
      <c r="B575" s="29"/>
      <c r="C575" s="29"/>
      <c r="D575" s="28" t="str">
        <f aca="false">IF($C575="","",IFERROR(INDEX('المواد الخام'!$B$5:$B$104,MATCH($C575,'المواد الخام'!$A$5:$A$104,0)),IFERROR(INDEX(المنتجات!$C$5:$C$24,MATCH($C575,المنتجات!$A$5:$A$24,0)),"كود غير موجود")))</f>
        <v/>
      </c>
      <c r="E575" s="24"/>
      <c r="F575" s="28" t="str">
        <f aca="false">IF($C575="","",IFERROR(INDEX('المواد الخام'!$D$5:$D$104,MATCH($C575,'المواد الخام'!$A$5:$A$104,0)),"حبة"))</f>
        <v/>
      </c>
      <c r="G575" s="30"/>
      <c r="H575" s="29"/>
      <c r="I575" s="29"/>
    </row>
    <row r="576" customFormat="false" ht="15" hidden="false" customHeight="false" outlineLevel="0" collapsed="false">
      <c r="A576" s="32"/>
      <c r="B576" s="29"/>
      <c r="C576" s="29"/>
      <c r="D576" s="28" t="str">
        <f aca="false">IF($C576="","",IFERROR(INDEX('المواد الخام'!$B$5:$B$104,MATCH($C576,'المواد الخام'!$A$5:$A$104,0)),IFERROR(INDEX(المنتجات!$C$5:$C$24,MATCH($C576,المنتجات!$A$5:$A$24,0)),"كود غير موجود")))</f>
        <v/>
      </c>
      <c r="E576" s="24"/>
      <c r="F576" s="28" t="str">
        <f aca="false">IF($C576="","",IFERROR(INDEX('المواد الخام'!$D$5:$D$104,MATCH($C576,'المواد الخام'!$A$5:$A$104,0)),"حبة"))</f>
        <v/>
      </c>
      <c r="G576" s="30"/>
      <c r="H576" s="29"/>
      <c r="I576" s="29"/>
    </row>
    <row r="577" customFormat="false" ht="15" hidden="false" customHeight="false" outlineLevel="0" collapsed="false">
      <c r="A577" s="32"/>
      <c r="B577" s="29"/>
      <c r="C577" s="29"/>
      <c r="D577" s="28" t="str">
        <f aca="false">IF($C577="","",IFERROR(INDEX('المواد الخام'!$B$5:$B$104,MATCH($C577,'المواد الخام'!$A$5:$A$104,0)),IFERROR(INDEX(المنتجات!$C$5:$C$24,MATCH($C577,المنتجات!$A$5:$A$24,0)),"كود غير موجود")))</f>
        <v/>
      </c>
      <c r="E577" s="24"/>
      <c r="F577" s="28" t="str">
        <f aca="false">IF($C577="","",IFERROR(INDEX('المواد الخام'!$D$5:$D$104,MATCH($C577,'المواد الخام'!$A$5:$A$104,0)),"حبة"))</f>
        <v/>
      </c>
      <c r="G577" s="30"/>
      <c r="H577" s="29"/>
      <c r="I577" s="29"/>
    </row>
    <row r="578" customFormat="false" ht="15" hidden="false" customHeight="false" outlineLevel="0" collapsed="false">
      <c r="A578" s="32"/>
      <c r="B578" s="29"/>
      <c r="C578" s="29"/>
      <c r="D578" s="28" t="str">
        <f aca="false">IF($C578="","",IFERROR(INDEX('المواد الخام'!$B$5:$B$104,MATCH($C578,'المواد الخام'!$A$5:$A$104,0)),IFERROR(INDEX(المنتجات!$C$5:$C$24,MATCH($C578,المنتجات!$A$5:$A$24,0)),"كود غير موجود")))</f>
        <v/>
      </c>
      <c r="E578" s="24"/>
      <c r="F578" s="28" t="str">
        <f aca="false">IF($C578="","",IFERROR(INDEX('المواد الخام'!$D$5:$D$104,MATCH($C578,'المواد الخام'!$A$5:$A$104,0)),"حبة"))</f>
        <v/>
      </c>
      <c r="G578" s="30"/>
      <c r="H578" s="29"/>
      <c r="I578" s="29"/>
    </row>
    <row r="579" customFormat="false" ht="15" hidden="false" customHeight="false" outlineLevel="0" collapsed="false">
      <c r="A579" s="32"/>
      <c r="B579" s="29"/>
      <c r="C579" s="29"/>
      <c r="D579" s="28" t="str">
        <f aca="false">IF($C579="","",IFERROR(INDEX('المواد الخام'!$B$5:$B$104,MATCH($C579,'المواد الخام'!$A$5:$A$104,0)),IFERROR(INDEX(المنتجات!$C$5:$C$24,MATCH($C579,المنتجات!$A$5:$A$24,0)),"كود غير موجود")))</f>
        <v/>
      </c>
      <c r="E579" s="24"/>
      <c r="F579" s="28" t="str">
        <f aca="false">IF($C579="","",IFERROR(INDEX('المواد الخام'!$D$5:$D$104,MATCH($C579,'المواد الخام'!$A$5:$A$104,0)),"حبة"))</f>
        <v/>
      </c>
      <c r="G579" s="30"/>
      <c r="H579" s="29"/>
      <c r="I579" s="29"/>
    </row>
    <row r="580" customFormat="false" ht="15" hidden="false" customHeight="false" outlineLevel="0" collapsed="false">
      <c r="A580" s="32"/>
      <c r="B580" s="29"/>
      <c r="C580" s="29"/>
      <c r="D580" s="28" t="str">
        <f aca="false">IF($C580="","",IFERROR(INDEX('المواد الخام'!$B$5:$B$104,MATCH($C580,'المواد الخام'!$A$5:$A$104,0)),IFERROR(INDEX(المنتجات!$C$5:$C$24,MATCH($C580,المنتجات!$A$5:$A$24,0)),"كود غير موجود")))</f>
        <v/>
      </c>
      <c r="E580" s="24"/>
      <c r="F580" s="28" t="str">
        <f aca="false">IF($C580="","",IFERROR(INDEX('المواد الخام'!$D$5:$D$104,MATCH($C580,'المواد الخام'!$A$5:$A$104,0)),"حبة"))</f>
        <v/>
      </c>
      <c r="G580" s="30"/>
      <c r="H580" s="29"/>
      <c r="I580" s="29"/>
    </row>
    <row r="581" customFormat="false" ht="15" hidden="false" customHeight="false" outlineLevel="0" collapsed="false">
      <c r="A581" s="32"/>
      <c r="B581" s="29"/>
      <c r="C581" s="29"/>
      <c r="D581" s="28" t="str">
        <f aca="false">IF($C581="","",IFERROR(INDEX('المواد الخام'!$B$5:$B$104,MATCH($C581,'المواد الخام'!$A$5:$A$104,0)),IFERROR(INDEX(المنتجات!$C$5:$C$24,MATCH($C581,المنتجات!$A$5:$A$24,0)),"كود غير موجود")))</f>
        <v/>
      </c>
      <c r="E581" s="24"/>
      <c r="F581" s="28" t="str">
        <f aca="false">IF($C581="","",IFERROR(INDEX('المواد الخام'!$D$5:$D$104,MATCH($C581,'المواد الخام'!$A$5:$A$104,0)),"حبة"))</f>
        <v/>
      </c>
      <c r="G581" s="30"/>
      <c r="H581" s="29"/>
      <c r="I581" s="29"/>
    </row>
    <row r="582" customFormat="false" ht="15" hidden="false" customHeight="false" outlineLevel="0" collapsed="false">
      <c r="A582" s="32"/>
      <c r="B582" s="29"/>
      <c r="C582" s="29"/>
      <c r="D582" s="28" t="str">
        <f aca="false">IF($C582="","",IFERROR(INDEX('المواد الخام'!$B$5:$B$104,MATCH($C582,'المواد الخام'!$A$5:$A$104,0)),IFERROR(INDEX(المنتجات!$C$5:$C$24,MATCH($C582,المنتجات!$A$5:$A$24,0)),"كود غير موجود")))</f>
        <v/>
      </c>
      <c r="E582" s="24"/>
      <c r="F582" s="28" t="str">
        <f aca="false">IF($C582="","",IFERROR(INDEX('المواد الخام'!$D$5:$D$104,MATCH($C582,'المواد الخام'!$A$5:$A$104,0)),"حبة"))</f>
        <v/>
      </c>
      <c r="G582" s="30"/>
      <c r="H582" s="29"/>
      <c r="I582" s="29"/>
    </row>
    <row r="583" customFormat="false" ht="15" hidden="false" customHeight="false" outlineLevel="0" collapsed="false">
      <c r="A583" s="32"/>
      <c r="B583" s="29"/>
      <c r="C583" s="29"/>
      <c r="D583" s="28" t="str">
        <f aca="false">IF($C583="","",IFERROR(INDEX('المواد الخام'!$B$5:$B$104,MATCH($C583,'المواد الخام'!$A$5:$A$104,0)),IFERROR(INDEX(المنتجات!$C$5:$C$24,MATCH($C583,المنتجات!$A$5:$A$24,0)),"كود غير موجود")))</f>
        <v/>
      </c>
      <c r="E583" s="24"/>
      <c r="F583" s="28" t="str">
        <f aca="false">IF($C583="","",IFERROR(INDEX('المواد الخام'!$D$5:$D$104,MATCH($C583,'المواد الخام'!$A$5:$A$104,0)),"حبة"))</f>
        <v/>
      </c>
      <c r="G583" s="30"/>
      <c r="H583" s="29"/>
      <c r="I583" s="29"/>
    </row>
    <row r="584" customFormat="false" ht="15" hidden="false" customHeight="false" outlineLevel="0" collapsed="false">
      <c r="A584" s="32"/>
      <c r="B584" s="29"/>
      <c r="C584" s="29"/>
      <c r="D584" s="28" t="str">
        <f aca="false">IF($C584="","",IFERROR(INDEX('المواد الخام'!$B$5:$B$104,MATCH($C584,'المواد الخام'!$A$5:$A$104,0)),IFERROR(INDEX(المنتجات!$C$5:$C$24,MATCH($C584,المنتجات!$A$5:$A$24,0)),"كود غير موجود")))</f>
        <v/>
      </c>
      <c r="E584" s="24"/>
      <c r="F584" s="28" t="str">
        <f aca="false">IF($C584="","",IFERROR(INDEX('المواد الخام'!$D$5:$D$104,MATCH($C584,'المواد الخام'!$A$5:$A$104,0)),"حبة"))</f>
        <v/>
      </c>
      <c r="G584" s="30"/>
      <c r="H584" s="29"/>
      <c r="I584" s="29"/>
    </row>
    <row r="585" customFormat="false" ht="15" hidden="false" customHeight="false" outlineLevel="0" collapsed="false">
      <c r="A585" s="32"/>
      <c r="B585" s="29"/>
      <c r="C585" s="29"/>
      <c r="D585" s="28" t="str">
        <f aca="false">IF($C585="","",IFERROR(INDEX('المواد الخام'!$B$5:$B$104,MATCH($C585,'المواد الخام'!$A$5:$A$104,0)),IFERROR(INDEX(المنتجات!$C$5:$C$24,MATCH($C585,المنتجات!$A$5:$A$24,0)),"كود غير موجود")))</f>
        <v/>
      </c>
      <c r="E585" s="24"/>
      <c r="F585" s="28" t="str">
        <f aca="false">IF($C585="","",IFERROR(INDEX('المواد الخام'!$D$5:$D$104,MATCH($C585,'المواد الخام'!$A$5:$A$104,0)),"حبة"))</f>
        <v/>
      </c>
      <c r="G585" s="30"/>
      <c r="H585" s="29"/>
      <c r="I585" s="29"/>
    </row>
    <row r="586" customFormat="false" ht="15" hidden="false" customHeight="false" outlineLevel="0" collapsed="false">
      <c r="A586" s="32"/>
      <c r="B586" s="29"/>
      <c r="C586" s="29"/>
      <c r="D586" s="28" t="str">
        <f aca="false">IF($C586="","",IFERROR(INDEX('المواد الخام'!$B$5:$B$104,MATCH($C586,'المواد الخام'!$A$5:$A$104,0)),IFERROR(INDEX(المنتجات!$C$5:$C$24,MATCH($C586,المنتجات!$A$5:$A$24,0)),"كود غير موجود")))</f>
        <v/>
      </c>
      <c r="E586" s="24"/>
      <c r="F586" s="28" t="str">
        <f aca="false">IF($C586="","",IFERROR(INDEX('المواد الخام'!$D$5:$D$104,MATCH($C586,'المواد الخام'!$A$5:$A$104,0)),"حبة"))</f>
        <v/>
      </c>
      <c r="G586" s="30"/>
      <c r="H586" s="29"/>
      <c r="I586" s="29"/>
    </row>
    <row r="587" customFormat="false" ht="15" hidden="false" customHeight="false" outlineLevel="0" collapsed="false">
      <c r="A587" s="32"/>
      <c r="B587" s="29"/>
      <c r="C587" s="29"/>
      <c r="D587" s="28" t="str">
        <f aca="false">IF($C587="","",IFERROR(INDEX('المواد الخام'!$B$5:$B$104,MATCH($C587,'المواد الخام'!$A$5:$A$104,0)),IFERROR(INDEX(المنتجات!$C$5:$C$24,MATCH($C587,المنتجات!$A$5:$A$24,0)),"كود غير موجود")))</f>
        <v/>
      </c>
      <c r="E587" s="24"/>
      <c r="F587" s="28" t="str">
        <f aca="false">IF($C587="","",IFERROR(INDEX('المواد الخام'!$D$5:$D$104,MATCH($C587,'المواد الخام'!$A$5:$A$104,0)),"حبة"))</f>
        <v/>
      </c>
      <c r="G587" s="30"/>
      <c r="H587" s="29"/>
      <c r="I587" s="29"/>
    </row>
    <row r="588" customFormat="false" ht="15" hidden="false" customHeight="false" outlineLevel="0" collapsed="false">
      <c r="A588" s="32"/>
      <c r="B588" s="29"/>
      <c r="C588" s="29"/>
      <c r="D588" s="28" t="str">
        <f aca="false">IF($C588="","",IFERROR(INDEX('المواد الخام'!$B$5:$B$104,MATCH($C588,'المواد الخام'!$A$5:$A$104,0)),IFERROR(INDEX(المنتجات!$C$5:$C$24,MATCH($C588,المنتجات!$A$5:$A$24,0)),"كود غير موجود")))</f>
        <v/>
      </c>
      <c r="E588" s="24"/>
      <c r="F588" s="28" t="str">
        <f aca="false">IF($C588="","",IFERROR(INDEX('المواد الخام'!$D$5:$D$104,MATCH($C588,'المواد الخام'!$A$5:$A$104,0)),"حبة"))</f>
        <v/>
      </c>
      <c r="G588" s="30"/>
      <c r="H588" s="29"/>
      <c r="I588" s="29"/>
    </row>
    <row r="589" customFormat="false" ht="15" hidden="false" customHeight="false" outlineLevel="0" collapsed="false">
      <c r="A589" s="32"/>
      <c r="B589" s="29"/>
      <c r="C589" s="29"/>
      <c r="D589" s="28" t="str">
        <f aca="false">IF($C589="","",IFERROR(INDEX('المواد الخام'!$B$5:$B$104,MATCH($C589,'المواد الخام'!$A$5:$A$104,0)),IFERROR(INDEX(المنتجات!$C$5:$C$24,MATCH($C589,المنتجات!$A$5:$A$24,0)),"كود غير موجود")))</f>
        <v/>
      </c>
      <c r="E589" s="24"/>
      <c r="F589" s="28" t="str">
        <f aca="false">IF($C589="","",IFERROR(INDEX('المواد الخام'!$D$5:$D$104,MATCH($C589,'المواد الخام'!$A$5:$A$104,0)),"حبة"))</f>
        <v/>
      </c>
      <c r="G589" s="30"/>
      <c r="H589" s="29"/>
      <c r="I589" s="29"/>
    </row>
    <row r="590" customFormat="false" ht="15" hidden="false" customHeight="false" outlineLevel="0" collapsed="false">
      <c r="A590" s="32"/>
      <c r="B590" s="29"/>
      <c r="C590" s="29"/>
      <c r="D590" s="28" t="str">
        <f aca="false">IF($C590="","",IFERROR(INDEX('المواد الخام'!$B$5:$B$104,MATCH($C590,'المواد الخام'!$A$5:$A$104,0)),IFERROR(INDEX(المنتجات!$C$5:$C$24,MATCH($C590,المنتجات!$A$5:$A$24,0)),"كود غير موجود")))</f>
        <v/>
      </c>
      <c r="E590" s="24"/>
      <c r="F590" s="28" t="str">
        <f aca="false">IF($C590="","",IFERROR(INDEX('المواد الخام'!$D$5:$D$104,MATCH($C590,'المواد الخام'!$A$5:$A$104,0)),"حبة"))</f>
        <v/>
      </c>
      <c r="G590" s="30"/>
      <c r="H590" s="29"/>
      <c r="I590" s="29"/>
    </row>
    <row r="591" customFormat="false" ht="15" hidden="false" customHeight="false" outlineLevel="0" collapsed="false">
      <c r="A591" s="32"/>
      <c r="B591" s="29"/>
      <c r="C591" s="29"/>
      <c r="D591" s="28" t="str">
        <f aca="false">IF($C591="","",IFERROR(INDEX('المواد الخام'!$B$5:$B$104,MATCH($C591,'المواد الخام'!$A$5:$A$104,0)),IFERROR(INDEX(المنتجات!$C$5:$C$24,MATCH($C591,المنتجات!$A$5:$A$24,0)),"كود غير موجود")))</f>
        <v/>
      </c>
      <c r="E591" s="24"/>
      <c r="F591" s="28" t="str">
        <f aca="false">IF($C591="","",IFERROR(INDEX('المواد الخام'!$D$5:$D$104,MATCH($C591,'المواد الخام'!$A$5:$A$104,0)),"حبة"))</f>
        <v/>
      </c>
      <c r="G591" s="30"/>
      <c r="H591" s="29"/>
      <c r="I591" s="29"/>
    </row>
    <row r="592" customFormat="false" ht="15" hidden="false" customHeight="false" outlineLevel="0" collapsed="false">
      <c r="A592" s="32"/>
      <c r="B592" s="29"/>
      <c r="C592" s="29"/>
      <c r="D592" s="28" t="str">
        <f aca="false">IF($C592="","",IFERROR(INDEX('المواد الخام'!$B$5:$B$104,MATCH($C592,'المواد الخام'!$A$5:$A$104,0)),IFERROR(INDEX(المنتجات!$C$5:$C$24,MATCH($C592,المنتجات!$A$5:$A$24,0)),"كود غير موجود")))</f>
        <v/>
      </c>
      <c r="E592" s="24"/>
      <c r="F592" s="28" t="str">
        <f aca="false">IF($C592="","",IFERROR(INDEX('المواد الخام'!$D$5:$D$104,MATCH($C592,'المواد الخام'!$A$5:$A$104,0)),"حبة"))</f>
        <v/>
      </c>
      <c r="G592" s="30"/>
      <c r="H592" s="29"/>
      <c r="I592" s="29"/>
    </row>
    <row r="593" customFormat="false" ht="15" hidden="false" customHeight="false" outlineLevel="0" collapsed="false">
      <c r="A593" s="32"/>
      <c r="B593" s="29"/>
      <c r="C593" s="29"/>
      <c r="D593" s="28" t="str">
        <f aca="false">IF($C593="","",IFERROR(INDEX('المواد الخام'!$B$5:$B$104,MATCH($C593,'المواد الخام'!$A$5:$A$104,0)),IFERROR(INDEX(المنتجات!$C$5:$C$24,MATCH($C593,المنتجات!$A$5:$A$24,0)),"كود غير موجود")))</f>
        <v/>
      </c>
      <c r="E593" s="24"/>
      <c r="F593" s="28" t="str">
        <f aca="false">IF($C593="","",IFERROR(INDEX('المواد الخام'!$D$5:$D$104,MATCH($C593,'المواد الخام'!$A$5:$A$104,0)),"حبة"))</f>
        <v/>
      </c>
      <c r="G593" s="30"/>
      <c r="H593" s="29"/>
      <c r="I593" s="29"/>
    </row>
    <row r="594" customFormat="false" ht="15" hidden="false" customHeight="false" outlineLevel="0" collapsed="false">
      <c r="A594" s="32"/>
      <c r="B594" s="29"/>
      <c r="C594" s="29"/>
      <c r="D594" s="28" t="str">
        <f aca="false">IF($C594="","",IFERROR(INDEX('المواد الخام'!$B$5:$B$104,MATCH($C594,'المواد الخام'!$A$5:$A$104,0)),IFERROR(INDEX(المنتجات!$C$5:$C$24,MATCH($C594,المنتجات!$A$5:$A$24,0)),"كود غير موجود")))</f>
        <v/>
      </c>
      <c r="E594" s="24"/>
      <c r="F594" s="28" t="str">
        <f aca="false">IF($C594="","",IFERROR(INDEX('المواد الخام'!$D$5:$D$104,MATCH($C594,'المواد الخام'!$A$5:$A$104,0)),"حبة"))</f>
        <v/>
      </c>
      <c r="G594" s="30"/>
      <c r="H594" s="29"/>
      <c r="I594" s="29"/>
    </row>
    <row r="595" customFormat="false" ht="15" hidden="false" customHeight="false" outlineLevel="0" collapsed="false">
      <c r="A595" s="32"/>
      <c r="B595" s="29"/>
      <c r="C595" s="29"/>
      <c r="D595" s="28" t="str">
        <f aca="false">IF($C595="","",IFERROR(INDEX('المواد الخام'!$B$5:$B$104,MATCH($C595,'المواد الخام'!$A$5:$A$104,0)),IFERROR(INDEX(المنتجات!$C$5:$C$24,MATCH($C595,المنتجات!$A$5:$A$24,0)),"كود غير موجود")))</f>
        <v/>
      </c>
      <c r="E595" s="24"/>
      <c r="F595" s="28" t="str">
        <f aca="false">IF($C595="","",IFERROR(INDEX('المواد الخام'!$D$5:$D$104,MATCH($C595,'المواد الخام'!$A$5:$A$104,0)),"حبة"))</f>
        <v/>
      </c>
      <c r="G595" s="30"/>
      <c r="H595" s="29"/>
      <c r="I595" s="29"/>
    </row>
    <row r="596" customFormat="false" ht="15" hidden="false" customHeight="false" outlineLevel="0" collapsed="false">
      <c r="A596" s="32"/>
      <c r="B596" s="29"/>
      <c r="C596" s="29"/>
      <c r="D596" s="28" t="str">
        <f aca="false">IF($C596="","",IFERROR(INDEX('المواد الخام'!$B$5:$B$104,MATCH($C596,'المواد الخام'!$A$5:$A$104,0)),IFERROR(INDEX(المنتجات!$C$5:$C$24,MATCH($C596,المنتجات!$A$5:$A$24,0)),"كود غير موجود")))</f>
        <v/>
      </c>
      <c r="E596" s="24"/>
      <c r="F596" s="28" t="str">
        <f aca="false">IF($C596="","",IFERROR(INDEX('المواد الخام'!$D$5:$D$104,MATCH($C596,'المواد الخام'!$A$5:$A$104,0)),"حبة"))</f>
        <v/>
      </c>
      <c r="G596" s="30"/>
      <c r="H596" s="29"/>
      <c r="I596" s="29"/>
    </row>
    <row r="597" customFormat="false" ht="15" hidden="false" customHeight="false" outlineLevel="0" collapsed="false">
      <c r="A597" s="32"/>
      <c r="B597" s="29"/>
      <c r="C597" s="29"/>
      <c r="D597" s="28" t="str">
        <f aca="false">IF($C597="","",IFERROR(INDEX('المواد الخام'!$B$5:$B$104,MATCH($C597,'المواد الخام'!$A$5:$A$104,0)),IFERROR(INDEX(المنتجات!$C$5:$C$24,MATCH($C597,المنتجات!$A$5:$A$24,0)),"كود غير موجود")))</f>
        <v/>
      </c>
      <c r="E597" s="24"/>
      <c r="F597" s="28" t="str">
        <f aca="false">IF($C597="","",IFERROR(INDEX('المواد الخام'!$D$5:$D$104,MATCH($C597,'المواد الخام'!$A$5:$A$104,0)),"حبة"))</f>
        <v/>
      </c>
      <c r="G597" s="30"/>
      <c r="H597" s="29"/>
      <c r="I597" s="29"/>
    </row>
    <row r="598" customFormat="false" ht="15" hidden="false" customHeight="false" outlineLevel="0" collapsed="false">
      <c r="A598" s="32"/>
      <c r="B598" s="29"/>
      <c r="C598" s="29"/>
      <c r="D598" s="28" t="str">
        <f aca="false">IF($C598="","",IFERROR(INDEX('المواد الخام'!$B$5:$B$104,MATCH($C598,'المواد الخام'!$A$5:$A$104,0)),IFERROR(INDEX(المنتجات!$C$5:$C$24,MATCH($C598,المنتجات!$A$5:$A$24,0)),"كود غير موجود")))</f>
        <v/>
      </c>
      <c r="E598" s="24"/>
      <c r="F598" s="28" t="str">
        <f aca="false">IF($C598="","",IFERROR(INDEX('المواد الخام'!$D$5:$D$104,MATCH($C598,'المواد الخام'!$A$5:$A$104,0)),"حبة"))</f>
        <v/>
      </c>
      <c r="G598" s="30"/>
      <c r="H598" s="29"/>
      <c r="I598" s="29"/>
    </row>
    <row r="599" customFormat="false" ht="15" hidden="false" customHeight="false" outlineLevel="0" collapsed="false">
      <c r="A599" s="32"/>
      <c r="B599" s="29"/>
      <c r="C599" s="29"/>
      <c r="D599" s="28" t="str">
        <f aca="false">IF($C599="","",IFERROR(INDEX('المواد الخام'!$B$5:$B$104,MATCH($C599,'المواد الخام'!$A$5:$A$104,0)),IFERROR(INDEX(المنتجات!$C$5:$C$24,MATCH($C599,المنتجات!$A$5:$A$24,0)),"كود غير موجود")))</f>
        <v/>
      </c>
      <c r="E599" s="24"/>
      <c r="F599" s="28" t="str">
        <f aca="false">IF($C599="","",IFERROR(INDEX('المواد الخام'!$D$5:$D$104,MATCH($C599,'المواد الخام'!$A$5:$A$104,0)),"حبة"))</f>
        <v/>
      </c>
      <c r="G599" s="30"/>
      <c r="H599" s="29"/>
      <c r="I599" s="29"/>
    </row>
    <row r="600" customFormat="false" ht="15" hidden="false" customHeight="false" outlineLevel="0" collapsed="false">
      <c r="A600" s="32"/>
      <c r="B600" s="29"/>
      <c r="C600" s="29"/>
      <c r="D600" s="28" t="str">
        <f aca="false">IF($C600="","",IFERROR(INDEX('المواد الخام'!$B$5:$B$104,MATCH($C600,'المواد الخام'!$A$5:$A$104,0)),IFERROR(INDEX(المنتجات!$C$5:$C$24,MATCH($C600,المنتجات!$A$5:$A$24,0)),"كود غير موجود")))</f>
        <v/>
      </c>
      <c r="E600" s="24"/>
      <c r="F600" s="28" t="str">
        <f aca="false">IF($C600="","",IFERROR(INDEX('المواد الخام'!$D$5:$D$104,MATCH($C600,'المواد الخام'!$A$5:$A$104,0)),"حبة"))</f>
        <v/>
      </c>
      <c r="G600" s="30"/>
      <c r="H600" s="29"/>
      <c r="I600" s="29"/>
    </row>
    <row r="601" customFormat="false" ht="15" hidden="false" customHeight="false" outlineLevel="0" collapsed="false">
      <c r="A601" s="32"/>
      <c r="B601" s="29"/>
      <c r="C601" s="29"/>
      <c r="D601" s="28" t="str">
        <f aca="false">IF($C601="","",IFERROR(INDEX('المواد الخام'!$B$5:$B$104,MATCH($C601,'المواد الخام'!$A$5:$A$104,0)),IFERROR(INDEX(المنتجات!$C$5:$C$24,MATCH($C601,المنتجات!$A$5:$A$24,0)),"كود غير موجود")))</f>
        <v/>
      </c>
      <c r="E601" s="24"/>
      <c r="F601" s="28" t="str">
        <f aca="false">IF($C601="","",IFERROR(INDEX('المواد الخام'!$D$5:$D$104,MATCH($C601,'المواد الخام'!$A$5:$A$104,0)),"حبة"))</f>
        <v/>
      </c>
      <c r="G601" s="30"/>
      <c r="H601" s="29"/>
      <c r="I601" s="29"/>
    </row>
    <row r="602" customFormat="false" ht="15" hidden="false" customHeight="false" outlineLevel="0" collapsed="false">
      <c r="A602" s="32"/>
      <c r="B602" s="29"/>
      <c r="C602" s="29"/>
      <c r="D602" s="28" t="str">
        <f aca="false">IF($C602="","",IFERROR(INDEX('المواد الخام'!$B$5:$B$104,MATCH($C602,'المواد الخام'!$A$5:$A$104,0)),IFERROR(INDEX(المنتجات!$C$5:$C$24,MATCH($C602,المنتجات!$A$5:$A$24,0)),"كود غير موجود")))</f>
        <v/>
      </c>
      <c r="E602" s="24"/>
      <c r="F602" s="28" t="str">
        <f aca="false">IF($C602="","",IFERROR(INDEX('المواد الخام'!$D$5:$D$104,MATCH($C602,'المواد الخام'!$A$5:$A$104,0)),"حبة"))</f>
        <v/>
      </c>
      <c r="G602" s="30"/>
      <c r="H602" s="29"/>
      <c r="I602" s="29"/>
    </row>
    <row r="603" customFormat="false" ht="15" hidden="false" customHeight="false" outlineLevel="0" collapsed="false">
      <c r="A603" s="32"/>
      <c r="B603" s="29"/>
      <c r="C603" s="29"/>
      <c r="D603" s="28" t="str">
        <f aca="false">IF($C603="","",IFERROR(INDEX('المواد الخام'!$B$5:$B$104,MATCH($C603,'المواد الخام'!$A$5:$A$104,0)),IFERROR(INDEX(المنتجات!$C$5:$C$24,MATCH($C603,المنتجات!$A$5:$A$24,0)),"كود غير موجود")))</f>
        <v/>
      </c>
      <c r="E603" s="24"/>
      <c r="F603" s="28" t="str">
        <f aca="false">IF($C603="","",IFERROR(INDEX('المواد الخام'!$D$5:$D$104,MATCH($C603,'المواد الخام'!$A$5:$A$104,0)),"حبة"))</f>
        <v/>
      </c>
      <c r="G603" s="30"/>
      <c r="H603" s="29"/>
      <c r="I603" s="29"/>
    </row>
    <row r="604" customFormat="false" ht="15" hidden="false" customHeight="false" outlineLevel="0" collapsed="false">
      <c r="A604" s="32"/>
      <c r="B604" s="29"/>
      <c r="C604" s="29"/>
      <c r="D604" s="28" t="str">
        <f aca="false">IF($C604="","",IFERROR(INDEX('المواد الخام'!$B$5:$B$104,MATCH($C604,'المواد الخام'!$A$5:$A$104,0)),IFERROR(INDEX(المنتجات!$C$5:$C$24,MATCH($C604,المنتجات!$A$5:$A$24,0)),"كود غير موجود")))</f>
        <v/>
      </c>
      <c r="E604" s="24"/>
      <c r="F604" s="28" t="str">
        <f aca="false">IF($C604="","",IFERROR(INDEX('المواد الخام'!$D$5:$D$104,MATCH($C604,'المواد الخام'!$A$5:$A$104,0)),"حبة"))</f>
        <v/>
      </c>
      <c r="G604" s="30"/>
      <c r="H604" s="29"/>
      <c r="I604" s="29"/>
    </row>
    <row r="605" customFormat="false" ht="15" hidden="false" customHeight="false" outlineLevel="0" collapsed="false">
      <c r="A605" s="32"/>
      <c r="B605" s="29"/>
      <c r="C605" s="29"/>
      <c r="D605" s="28" t="str">
        <f aca="false">IF($C605="","",IFERROR(INDEX('المواد الخام'!$B$5:$B$104,MATCH($C605,'المواد الخام'!$A$5:$A$104,0)),IFERROR(INDEX(المنتجات!$C$5:$C$24,MATCH($C605,المنتجات!$A$5:$A$24,0)),"كود غير موجود")))</f>
        <v/>
      </c>
      <c r="E605" s="24"/>
      <c r="F605" s="28" t="str">
        <f aca="false">IF($C605="","",IFERROR(INDEX('المواد الخام'!$D$5:$D$104,MATCH($C605,'المواد الخام'!$A$5:$A$104,0)),"حبة"))</f>
        <v/>
      </c>
      <c r="G605" s="30"/>
      <c r="H605" s="29"/>
      <c r="I605" s="29"/>
    </row>
    <row r="606" customFormat="false" ht="15" hidden="false" customHeight="false" outlineLevel="0" collapsed="false">
      <c r="A606" s="32"/>
      <c r="B606" s="29"/>
      <c r="C606" s="29"/>
      <c r="D606" s="28" t="str">
        <f aca="false">IF($C606="","",IFERROR(INDEX('المواد الخام'!$B$5:$B$104,MATCH($C606,'المواد الخام'!$A$5:$A$104,0)),IFERROR(INDEX(المنتجات!$C$5:$C$24,MATCH($C606,المنتجات!$A$5:$A$24,0)),"كود غير موجود")))</f>
        <v/>
      </c>
      <c r="E606" s="24"/>
      <c r="F606" s="28" t="str">
        <f aca="false">IF($C606="","",IFERROR(INDEX('المواد الخام'!$D$5:$D$104,MATCH($C606,'المواد الخام'!$A$5:$A$104,0)),"حبة"))</f>
        <v/>
      </c>
      <c r="G606" s="30"/>
      <c r="H606" s="29"/>
      <c r="I606" s="29"/>
    </row>
    <row r="607" customFormat="false" ht="15" hidden="false" customHeight="false" outlineLevel="0" collapsed="false">
      <c r="A607" s="32"/>
      <c r="B607" s="29"/>
      <c r="C607" s="29"/>
      <c r="D607" s="28" t="str">
        <f aca="false">IF($C607="","",IFERROR(INDEX('المواد الخام'!$B$5:$B$104,MATCH($C607,'المواد الخام'!$A$5:$A$104,0)),IFERROR(INDEX(المنتجات!$C$5:$C$24,MATCH($C607,المنتجات!$A$5:$A$24,0)),"كود غير موجود")))</f>
        <v/>
      </c>
      <c r="E607" s="24"/>
      <c r="F607" s="28" t="str">
        <f aca="false">IF($C607="","",IFERROR(INDEX('المواد الخام'!$D$5:$D$104,MATCH($C607,'المواد الخام'!$A$5:$A$104,0)),"حبة"))</f>
        <v/>
      </c>
      <c r="G607" s="30"/>
      <c r="H607" s="29"/>
      <c r="I607" s="29"/>
    </row>
    <row r="608" customFormat="false" ht="15" hidden="false" customHeight="false" outlineLevel="0" collapsed="false">
      <c r="A608" s="32"/>
      <c r="B608" s="29"/>
      <c r="C608" s="29"/>
      <c r="D608" s="28" t="str">
        <f aca="false">IF($C608="","",IFERROR(INDEX('المواد الخام'!$B$5:$B$104,MATCH($C608,'المواد الخام'!$A$5:$A$104,0)),IFERROR(INDEX(المنتجات!$C$5:$C$24,MATCH($C608,المنتجات!$A$5:$A$24,0)),"كود غير موجود")))</f>
        <v/>
      </c>
      <c r="E608" s="24"/>
      <c r="F608" s="28" t="str">
        <f aca="false">IF($C608="","",IFERROR(INDEX('المواد الخام'!$D$5:$D$104,MATCH($C608,'المواد الخام'!$A$5:$A$104,0)),"حبة"))</f>
        <v/>
      </c>
      <c r="G608" s="30"/>
      <c r="H608" s="29"/>
      <c r="I608" s="29"/>
    </row>
    <row r="609" customFormat="false" ht="15" hidden="false" customHeight="false" outlineLevel="0" collapsed="false">
      <c r="A609" s="32"/>
      <c r="B609" s="29"/>
      <c r="C609" s="29"/>
      <c r="D609" s="28" t="str">
        <f aca="false">IF($C609="","",IFERROR(INDEX('المواد الخام'!$B$5:$B$104,MATCH($C609,'المواد الخام'!$A$5:$A$104,0)),IFERROR(INDEX(المنتجات!$C$5:$C$24,MATCH($C609,المنتجات!$A$5:$A$24,0)),"كود غير موجود")))</f>
        <v/>
      </c>
      <c r="E609" s="24"/>
      <c r="F609" s="28" t="str">
        <f aca="false">IF($C609="","",IFERROR(INDEX('المواد الخام'!$D$5:$D$104,MATCH($C609,'المواد الخام'!$A$5:$A$104,0)),"حبة"))</f>
        <v/>
      </c>
      <c r="G609" s="30"/>
      <c r="H609" s="29"/>
      <c r="I609" s="29"/>
    </row>
    <row r="610" customFormat="false" ht="15" hidden="false" customHeight="false" outlineLevel="0" collapsed="false">
      <c r="A610" s="32"/>
      <c r="B610" s="29"/>
      <c r="C610" s="29"/>
      <c r="D610" s="28" t="str">
        <f aca="false">IF($C610="","",IFERROR(INDEX('المواد الخام'!$B$5:$B$104,MATCH($C610,'المواد الخام'!$A$5:$A$104,0)),IFERROR(INDEX(المنتجات!$C$5:$C$24,MATCH($C610,المنتجات!$A$5:$A$24,0)),"كود غير موجود")))</f>
        <v/>
      </c>
      <c r="E610" s="24"/>
      <c r="F610" s="28" t="str">
        <f aca="false">IF($C610="","",IFERROR(INDEX('المواد الخام'!$D$5:$D$104,MATCH($C610,'المواد الخام'!$A$5:$A$104,0)),"حبة"))</f>
        <v/>
      </c>
      <c r="G610" s="30"/>
      <c r="H610" s="29"/>
      <c r="I610" s="29"/>
    </row>
    <row r="611" customFormat="false" ht="15" hidden="false" customHeight="false" outlineLevel="0" collapsed="false">
      <c r="A611" s="32"/>
      <c r="B611" s="29"/>
      <c r="C611" s="29"/>
      <c r="D611" s="28" t="str">
        <f aca="false">IF($C611="","",IFERROR(INDEX('المواد الخام'!$B$5:$B$104,MATCH($C611,'المواد الخام'!$A$5:$A$104,0)),IFERROR(INDEX(المنتجات!$C$5:$C$24,MATCH($C611,المنتجات!$A$5:$A$24,0)),"كود غير موجود")))</f>
        <v/>
      </c>
      <c r="E611" s="24"/>
      <c r="F611" s="28" t="str">
        <f aca="false">IF($C611="","",IFERROR(INDEX('المواد الخام'!$D$5:$D$104,MATCH($C611,'المواد الخام'!$A$5:$A$104,0)),"حبة"))</f>
        <v/>
      </c>
      <c r="G611" s="30"/>
      <c r="H611" s="29"/>
      <c r="I611" s="29"/>
    </row>
    <row r="612" customFormat="false" ht="15" hidden="false" customHeight="false" outlineLevel="0" collapsed="false">
      <c r="A612" s="32"/>
      <c r="B612" s="29"/>
      <c r="C612" s="29"/>
      <c r="D612" s="28" t="str">
        <f aca="false">IF($C612="","",IFERROR(INDEX('المواد الخام'!$B$5:$B$104,MATCH($C612,'المواد الخام'!$A$5:$A$104,0)),IFERROR(INDEX(المنتجات!$C$5:$C$24,MATCH($C612,المنتجات!$A$5:$A$24,0)),"كود غير موجود")))</f>
        <v/>
      </c>
      <c r="E612" s="24"/>
      <c r="F612" s="28" t="str">
        <f aca="false">IF($C612="","",IFERROR(INDEX('المواد الخام'!$D$5:$D$104,MATCH($C612,'المواد الخام'!$A$5:$A$104,0)),"حبة"))</f>
        <v/>
      </c>
      <c r="G612" s="30"/>
      <c r="H612" s="29"/>
      <c r="I612" s="29"/>
    </row>
    <row r="613" customFormat="false" ht="15" hidden="false" customHeight="false" outlineLevel="0" collapsed="false">
      <c r="A613" s="32"/>
      <c r="B613" s="29"/>
      <c r="C613" s="29"/>
      <c r="D613" s="28" t="str">
        <f aca="false">IF($C613="","",IFERROR(INDEX('المواد الخام'!$B$5:$B$104,MATCH($C613,'المواد الخام'!$A$5:$A$104,0)),IFERROR(INDEX(المنتجات!$C$5:$C$24,MATCH($C613,المنتجات!$A$5:$A$24,0)),"كود غير موجود")))</f>
        <v/>
      </c>
      <c r="E613" s="24"/>
      <c r="F613" s="28" t="str">
        <f aca="false">IF($C613="","",IFERROR(INDEX('المواد الخام'!$D$5:$D$104,MATCH($C613,'المواد الخام'!$A$5:$A$104,0)),"حبة"))</f>
        <v/>
      </c>
      <c r="G613" s="30"/>
      <c r="H613" s="29"/>
      <c r="I613" s="29"/>
    </row>
    <row r="614" customFormat="false" ht="15" hidden="false" customHeight="false" outlineLevel="0" collapsed="false">
      <c r="A614" s="32"/>
      <c r="B614" s="29"/>
      <c r="C614" s="29"/>
      <c r="D614" s="28" t="str">
        <f aca="false">IF($C614="","",IFERROR(INDEX('المواد الخام'!$B$5:$B$104,MATCH($C614,'المواد الخام'!$A$5:$A$104,0)),IFERROR(INDEX(المنتجات!$C$5:$C$24,MATCH($C614,المنتجات!$A$5:$A$24,0)),"كود غير موجود")))</f>
        <v/>
      </c>
      <c r="E614" s="24"/>
      <c r="F614" s="28" t="str">
        <f aca="false">IF($C614="","",IFERROR(INDEX('المواد الخام'!$D$5:$D$104,MATCH($C614,'المواد الخام'!$A$5:$A$104,0)),"حبة"))</f>
        <v/>
      </c>
      <c r="G614" s="30"/>
      <c r="H614" s="29"/>
      <c r="I614" s="29"/>
    </row>
    <row r="615" customFormat="false" ht="15" hidden="false" customHeight="false" outlineLevel="0" collapsed="false">
      <c r="A615" s="32"/>
      <c r="B615" s="29"/>
      <c r="C615" s="29"/>
      <c r="D615" s="28" t="str">
        <f aca="false">IF($C615="","",IFERROR(INDEX('المواد الخام'!$B$5:$B$104,MATCH($C615,'المواد الخام'!$A$5:$A$104,0)),IFERROR(INDEX(المنتجات!$C$5:$C$24,MATCH($C615,المنتجات!$A$5:$A$24,0)),"كود غير موجود")))</f>
        <v/>
      </c>
      <c r="E615" s="24"/>
      <c r="F615" s="28" t="str">
        <f aca="false">IF($C615="","",IFERROR(INDEX('المواد الخام'!$D$5:$D$104,MATCH($C615,'المواد الخام'!$A$5:$A$104,0)),"حبة"))</f>
        <v/>
      </c>
      <c r="G615" s="30"/>
      <c r="H615" s="29"/>
      <c r="I615" s="29"/>
    </row>
    <row r="616" customFormat="false" ht="15" hidden="false" customHeight="false" outlineLevel="0" collapsed="false">
      <c r="A616" s="32"/>
      <c r="B616" s="29"/>
      <c r="C616" s="29"/>
      <c r="D616" s="28" t="str">
        <f aca="false">IF($C616="","",IFERROR(INDEX('المواد الخام'!$B$5:$B$104,MATCH($C616,'المواد الخام'!$A$5:$A$104,0)),IFERROR(INDEX(المنتجات!$C$5:$C$24,MATCH($C616,المنتجات!$A$5:$A$24,0)),"كود غير موجود")))</f>
        <v/>
      </c>
      <c r="E616" s="24"/>
      <c r="F616" s="28" t="str">
        <f aca="false">IF($C616="","",IFERROR(INDEX('المواد الخام'!$D$5:$D$104,MATCH($C616,'المواد الخام'!$A$5:$A$104,0)),"حبة"))</f>
        <v/>
      </c>
      <c r="G616" s="30"/>
      <c r="H616" s="29"/>
      <c r="I616" s="29"/>
    </row>
    <row r="617" customFormat="false" ht="15" hidden="false" customHeight="false" outlineLevel="0" collapsed="false">
      <c r="A617" s="32"/>
      <c r="B617" s="29"/>
      <c r="C617" s="29"/>
      <c r="D617" s="28" t="str">
        <f aca="false">IF($C617="","",IFERROR(INDEX('المواد الخام'!$B$5:$B$104,MATCH($C617,'المواد الخام'!$A$5:$A$104,0)),IFERROR(INDEX(المنتجات!$C$5:$C$24,MATCH($C617,المنتجات!$A$5:$A$24,0)),"كود غير موجود")))</f>
        <v/>
      </c>
      <c r="E617" s="24"/>
      <c r="F617" s="28" t="str">
        <f aca="false">IF($C617="","",IFERROR(INDEX('المواد الخام'!$D$5:$D$104,MATCH($C617,'المواد الخام'!$A$5:$A$104,0)),"حبة"))</f>
        <v/>
      </c>
      <c r="G617" s="30"/>
      <c r="H617" s="29"/>
      <c r="I617" s="29"/>
    </row>
    <row r="618" customFormat="false" ht="15" hidden="false" customHeight="false" outlineLevel="0" collapsed="false">
      <c r="A618" s="32"/>
      <c r="B618" s="29"/>
      <c r="C618" s="29"/>
      <c r="D618" s="28" t="str">
        <f aca="false">IF($C618="","",IFERROR(INDEX('المواد الخام'!$B$5:$B$104,MATCH($C618,'المواد الخام'!$A$5:$A$104,0)),IFERROR(INDEX(المنتجات!$C$5:$C$24,MATCH($C618,المنتجات!$A$5:$A$24,0)),"كود غير موجود")))</f>
        <v/>
      </c>
      <c r="E618" s="24"/>
      <c r="F618" s="28" t="str">
        <f aca="false">IF($C618="","",IFERROR(INDEX('المواد الخام'!$D$5:$D$104,MATCH($C618,'المواد الخام'!$A$5:$A$104,0)),"حبة"))</f>
        <v/>
      </c>
      <c r="G618" s="30"/>
      <c r="H618" s="29"/>
      <c r="I618" s="29"/>
    </row>
    <row r="619" customFormat="false" ht="15" hidden="false" customHeight="false" outlineLevel="0" collapsed="false">
      <c r="A619" s="32"/>
      <c r="B619" s="29"/>
      <c r="C619" s="29"/>
      <c r="D619" s="28" t="str">
        <f aca="false">IF($C619="","",IFERROR(INDEX('المواد الخام'!$B$5:$B$104,MATCH($C619,'المواد الخام'!$A$5:$A$104,0)),IFERROR(INDEX(المنتجات!$C$5:$C$24,MATCH($C619,المنتجات!$A$5:$A$24,0)),"كود غير موجود")))</f>
        <v/>
      </c>
      <c r="E619" s="24"/>
      <c r="F619" s="28" t="str">
        <f aca="false">IF($C619="","",IFERROR(INDEX('المواد الخام'!$D$5:$D$104,MATCH($C619,'المواد الخام'!$A$5:$A$104,0)),"حبة"))</f>
        <v/>
      </c>
      <c r="G619" s="30"/>
      <c r="H619" s="29"/>
      <c r="I619" s="29"/>
    </row>
    <row r="620" customFormat="false" ht="15" hidden="false" customHeight="false" outlineLevel="0" collapsed="false">
      <c r="A620" s="32"/>
      <c r="B620" s="29"/>
      <c r="C620" s="29"/>
      <c r="D620" s="28" t="str">
        <f aca="false">IF($C620="","",IFERROR(INDEX('المواد الخام'!$B$5:$B$104,MATCH($C620,'المواد الخام'!$A$5:$A$104,0)),IFERROR(INDEX(المنتجات!$C$5:$C$24,MATCH($C620,المنتجات!$A$5:$A$24,0)),"كود غير موجود")))</f>
        <v/>
      </c>
      <c r="E620" s="24"/>
      <c r="F620" s="28" t="str">
        <f aca="false">IF($C620="","",IFERROR(INDEX('المواد الخام'!$D$5:$D$104,MATCH($C620,'المواد الخام'!$A$5:$A$104,0)),"حبة"))</f>
        <v/>
      </c>
      <c r="G620" s="30"/>
      <c r="H620" s="29"/>
      <c r="I620" s="29"/>
    </row>
    <row r="621" customFormat="false" ht="15" hidden="false" customHeight="false" outlineLevel="0" collapsed="false">
      <c r="A621" s="32"/>
      <c r="B621" s="29"/>
      <c r="C621" s="29"/>
      <c r="D621" s="28" t="str">
        <f aca="false">IF($C621="","",IFERROR(INDEX('المواد الخام'!$B$5:$B$104,MATCH($C621,'المواد الخام'!$A$5:$A$104,0)),IFERROR(INDEX(المنتجات!$C$5:$C$24,MATCH($C621,المنتجات!$A$5:$A$24,0)),"كود غير موجود")))</f>
        <v/>
      </c>
      <c r="E621" s="24"/>
      <c r="F621" s="28" t="str">
        <f aca="false">IF($C621="","",IFERROR(INDEX('المواد الخام'!$D$5:$D$104,MATCH($C621,'المواد الخام'!$A$5:$A$104,0)),"حبة"))</f>
        <v/>
      </c>
      <c r="G621" s="30"/>
      <c r="H621" s="29"/>
      <c r="I621" s="29"/>
    </row>
    <row r="622" customFormat="false" ht="15" hidden="false" customHeight="false" outlineLevel="0" collapsed="false">
      <c r="A622" s="32"/>
      <c r="B622" s="29"/>
      <c r="C622" s="29"/>
      <c r="D622" s="28" t="str">
        <f aca="false">IF($C622="","",IFERROR(INDEX('المواد الخام'!$B$5:$B$104,MATCH($C622,'المواد الخام'!$A$5:$A$104,0)),IFERROR(INDEX(المنتجات!$C$5:$C$24,MATCH($C622,المنتجات!$A$5:$A$24,0)),"كود غير موجود")))</f>
        <v/>
      </c>
      <c r="E622" s="24"/>
      <c r="F622" s="28" t="str">
        <f aca="false">IF($C622="","",IFERROR(INDEX('المواد الخام'!$D$5:$D$104,MATCH($C622,'المواد الخام'!$A$5:$A$104,0)),"حبة"))</f>
        <v/>
      </c>
      <c r="G622" s="30"/>
      <c r="H622" s="29"/>
      <c r="I622" s="29"/>
    </row>
    <row r="623" customFormat="false" ht="15" hidden="false" customHeight="false" outlineLevel="0" collapsed="false">
      <c r="A623" s="32"/>
      <c r="B623" s="29"/>
      <c r="C623" s="29"/>
      <c r="D623" s="28" t="str">
        <f aca="false">IF($C623="","",IFERROR(INDEX('المواد الخام'!$B$5:$B$104,MATCH($C623,'المواد الخام'!$A$5:$A$104,0)),IFERROR(INDEX(المنتجات!$C$5:$C$24,MATCH($C623,المنتجات!$A$5:$A$24,0)),"كود غير موجود")))</f>
        <v/>
      </c>
      <c r="E623" s="24"/>
      <c r="F623" s="28" t="str">
        <f aca="false">IF($C623="","",IFERROR(INDEX('المواد الخام'!$D$5:$D$104,MATCH($C623,'المواد الخام'!$A$5:$A$104,0)),"حبة"))</f>
        <v/>
      </c>
      <c r="G623" s="30"/>
      <c r="H623" s="29"/>
      <c r="I623" s="29"/>
    </row>
    <row r="624" customFormat="false" ht="15" hidden="false" customHeight="false" outlineLevel="0" collapsed="false">
      <c r="A624" s="32"/>
      <c r="B624" s="29"/>
      <c r="C624" s="29"/>
      <c r="D624" s="28" t="str">
        <f aca="false">IF($C624="","",IFERROR(INDEX('المواد الخام'!$B$5:$B$104,MATCH($C624,'المواد الخام'!$A$5:$A$104,0)),IFERROR(INDEX(المنتجات!$C$5:$C$24,MATCH($C624,المنتجات!$A$5:$A$24,0)),"كود غير موجود")))</f>
        <v/>
      </c>
      <c r="E624" s="24"/>
      <c r="F624" s="28" t="str">
        <f aca="false">IF($C624="","",IFERROR(INDEX('المواد الخام'!$D$5:$D$104,MATCH($C624,'المواد الخام'!$A$5:$A$104,0)),"حبة"))</f>
        <v/>
      </c>
      <c r="G624" s="30"/>
      <c r="H624" s="29"/>
      <c r="I624" s="29"/>
    </row>
    <row r="625" customFormat="false" ht="15" hidden="false" customHeight="false" outlineLevel="0" collapsed="false">
      <c r="A625" s="32"/>
      <c r="B625" s="29"/>
      <c r="C625" s="29"/>
      <c r="D625" s="28" t="str">
        <f aca="false">IF($C625="","",IFERROR(INDEX('المواد الخام'!$B$5:$B$104,MATCH($C625,'المواد الخام'!$A$5:$A$104,0)),IFERROR(INDEX(المنتجات!$C$5:$C$24,MATCH($C625,المنتجات!$A$5:$A$24,0)),"كود غير موجود")))</f>
        <v/>
      </c>
      <c r="E625" s="24"/>
      <c r="F625" s="28" t="str">
        <f aca="false">IF($C625="","",IFERROR(INDEX('المواد الخام'!$D$5:$D$104,MATCH($C625,'المواد الخام'!$A$5:$A$104,0)),"حبة"))</f>
        <v/>
      </c>
      <c r="G625" s="30"/>
      <c r="H625" s="29"/>
      <c r="I625" s="29"/>
    </row>
    <row r="626" customFormat="false" ht="15" hidden="false" customHeight="false" outlineLevel="0" collapsed="false">
      <c r="A626" s="32"/>
      <c r="B626" s="29"/>
      <c r="C626" s="29"/>
      <c r="D626" s="28" t="str">
        <f aca="false">IF($C626="","",IFERROR(INDEX('المواد الخام'!$B$5:$B$104,MATCH($C626,'المواد الخام'!$A$5:$A$104,0)),IFERROR(INDEX(المنتجات!$C$5:$C$24,MATCH($C626,المنتجات!$A$5:$A$24,0)),"كود غير موجود")))</f>
        <v/>
      </c>
      <c r="E626" s="24"/>
      <c r="F626" s="28" t="str">
        <f aca="false">IF($C626="","",IFERROR(INDEX('المواد الخام'!$D$5:$D$104,MATCH($C626,'المواد الخام'!$A$5:$A$104,0)),"حبة"))</f>
        <v/>
      </c>
      <c r="G626" s="30"/>
      <c r="H626" s="29"/>
      <c r="I626" s="29"/>
    </row>
    <row r="627" customFormat="false" ht="15" hidden="false" customHeight="false" outlineLevel="0" collapsed="false">
      <c r="A627" s="32"/>
      <c r="B627" s="29"/>
      <c r="C627" s="29"/>
      <c r="D627" s="28" t="str">
        <f aca="false">IF($C627="","",IFERROR(INDEX('المواد الخام'!$B$5:$B$104,MATCH($C627,'المواد الخام'!$A$5:$A$104,0)),IFERROR(INDEX(المنتجات!$C$5:$C$24,MATCH($C627,المنتجات!$A$5:$A$24,0)),"كود غير موجود")))</f>
        <v/>
      </c>
      <c r="E627" s="24"/>
      <c r="F627" s="28" t="str">
        <f aca="false">IF($C627="","",IFERROR(INDEX('المواد الخام'!$D$5:$D$104,MATCH($C627,'المواد الخام'!$A$5:$A$104,0)),"حبة"))</f>
        <v/>
      </c>
      <c r="G627" s="30"/>
      <c r="H627" s="29"/>
      <c r="I627" s="29"/>
    </row>
    <row r="628" customFormat="false" ht="15" hidden="false" customHeight="false" outlineLevel="0" collapsed="false">
      <c r="A628" s="32"/>
      <c r="B628" s="29"/>
      <c r="C628" s="29"/>
      <c r="D628" s="28" t="str">
        <f aca="false">IF($C628="","",IFERROR(INDEX('المواد الخام'!$B$5:$B$104,MATCH($C628,'المواد الخام'!$A$5:$A$104,0)),IFERROR(INDEX(المنتجات!$C$5:$C$24,MATCH($C628,المنتجات!$A$5:$A$24,0)),"كود غير موجود")))</f>
        <v/>
      </c>
      <c r="E628" s="24"/>
      <c r="F628" s="28" t="str">
        <f aca="false">IF($C628="","",IFERROR(INDEX('المواد الخام'!$D$5:$D$104,MATCH($C628,'المواد الخام'!$A$5:$A$104,0)),"حبة"))</f>
        <v/>
      </c>
      <c r="G628" s="30"/>
      <c r="H628" s="29"/>
      <c r="I628" s="29"/>
    </row>
    <row r="629" customFormat="false" ht="15" hidden="false" customHeight="false" outlineLevel="0" collapsed="false">
      <c r="A629" s="32"/>
      <c r="B629" s="29"/>
      <c r="C629" s="29"/>
      <c r="D629" s="28" t="str">
        <f aca="false">IF($C629="","",IFERROR(INDEX('المواد الخام'!$B$5:$B$104,MATCH($C629,'المواد الخام'!$A$5:$A$104,0)),IFERROR(INDEX(المنتجات!$C$5:$C$24,MATCH($C629,المنتجات!$A$5:$A$24,0)),"كود غير موجود")))</f>
        <v/>
      </c>
      <c r="E629" s="24"/>
      <c r="F629" s="28" t="str">
        <f aca="false">IF($C629="","",IFERROR(INDEX('المواد الخام'!$D$5:$D$104,MATCH($C629,'المواد الخام'!$A$5:$A$104,0)),"حبة"))</f>
        <v/>
      </c>
      <c r="G629" s="30"/>
      <c r="H629" s="29"/>
      <c r="I629" s="29"/>
    </row>
    <row r="630" customFormat="false" ht="15" hidden="false" customHeight="false" outlineLevel="0" collapsed="false">
      <c r="A630" s="32"/>
      <c r="B630" s="29"/>
      <c r="C630" s="29"/>
      <c r="D630" s="28" t="str">
        <f aca="false">IF($C630="","",IFERROR(INDEX('المواد الخام'!$B$5:$B$104,MATCH($C630,'المواد الخام'!$A$5:$A$104,0)),IFERROR(INDEX(المنتجات!$C$5:$C$24,MATCH($C630,المنتجات!$A$5:$A$24,0)),"كود غير موجود")))</f>
        <v/>
      </c>
      <c r="E630" s="24"/>
      <c r="F630" s="28" t="str">
        <f aca="false">IF($C630="","",IFERROR(INDEX('المواد الخام'!$D$5:$D$104,MATCH($C630,'المواد الخام'!$A$5:$A$104,0)),"حبة"))</f>
        <v/>
      </c>
      <c r="G630" s="30"/>
      <c r="H630" s="29"/>
      <c r="I630" s="29"/>
    </row>
    <row r="631" customFormat="false" ht="15" hidden="false" customHeight="false" outlineLevel="0" collapsed="false">
      <c r="A631" s="32"/>
      <c r="B631" s="29"/>
      <c r="C631" s="29"/>
      <c r="D631" s="28" t="str">
        <f aca="false">IF($C631="","",IFERROR(INDEX('المواد الخام'!$B$5:$B$104,MATCH($C631,'المواد الخام'!$A$5:$A$104,0)),IFERROR(INDEX(المنتجات!$C$5:$C$24,MATCH($C631,المنتجات!$A$5:$A$24,0)),"كود غير موجود")))</f>
        <v/>
      </c>
      <c r="E631" s="24"/>
      <c r="F631" s="28" t="str">
        <f aca="false">IF($C631="","",IFERROR(INDEX('المواد الخام'!$D$5:$D$104,MATCH($C631,'المواد الخام'!$A$5:$A$104,0)),"حبة"))</f>
        <v/>
      </c>
      <c r="G631" s="30"/>
      <c r="H631" s="29"/>
      <c r="I631" s="29"/>
    </row>
    <row r="632" customFormat="false" ht="15" hidden="false" customHeight="false" outlineLevel="0" collapsed="false">
      <c r="A632" s="32"/>
      <c r="B632" s="29"/>
      <c r="C632" s="29"/>
      <c r="D632" s="28" t="str">
        <f aca="false">IF($C632="","",IFERROR(INDEX('المواد الخام'!$B$5:$B$104,MATCH($C632,'المواد الخام'!$A$5:$A$104,0)),IFERROR(INDEX(المنتجات!$C$5:$C$24,MATCH($C632,المنتجات!$A$5:$A$24,0)),"كود غير موجود")))</f>
        <v/>
      </c>
      <c r="E632" s="24"/>
      <c r="F632" s="28" t="str">
        <f aca="false">IF($C632="","",IFERROR(INDEX('المواد الخام'!$D$5:$D$104,MATCH($C632,'المواد الخام'!$A$5:$A$104,0)),"حبة"))</f>
        <v/>
      </c>
      <c r="G632" s="30"/>
      <c r="H632" s="29"/>
      <c r="I632" s="29"/>
    </row>
    <row r="633" customFormat="false" ht="15" hidden="false" customHeight="false" outlineLevel="0" collapsed="false">
      <c r="A633" s="32"/>
      <c r="B633" s="29"/>
      <c r="C633" s="29"/>
      <c r="D633" s="28" t="str">
        <f aca="false">IF($C633="","",IFERROR(INDEX('المواد الخام'!$B$5:$B$104,MATCH($C633,'المواد الخام'!$A$5:$A$104,0)),IFERROR(INDEX(المنتجات!$C$5:$C$24,MATCH($C633,المنتجات!$A$5:$A$24,0)),"كود غير موجود")))</f>
        <v/>
      </c>
      <c r="E633" s="24"/>
      <c r="F633" s="28" t="str">
        <f aca="false">IF($C633="","",IFERROR(INDEX('المواد الخام'!$D$5:$D$104,MATCH($C633,'المواد الخام'!$A$5:$A$104,0)),"حبة"))</f>
        <v/>
      </c>
      <c r="G633" s="30"/>
      <c r="H633" s="29"/>
      <c r="I633" s="29"/>
    </row>
    <row r="634" customFormat="false" ht="15" hidden="false" customHeight="false" outlineLevel="0" collapsed="false">
      <c r="A634" s="32"/>
      <c r="B634" s="29"/>
      <c r="C634" s="29"/>
      <c r="D634" s="28" t="str">
        <f aca="false">IF($C634="","",IFERROR(INDEX('المواد الخام'!$B$5:$B$104,MATCH($C634,'المواد الخام'!$A$5:$A$104,0)),IFERROR(INDEX(المنتجات!$C$5:$C$24,MATCH($C634,المنتجات!$A$5:$A$24,0)),"كود غير موجود")))</f>
        <v/>
      </c>
      <c r="E634" s="24"/>
      <c r="F634" s="28" t="str">
        <f aca="false">IF($C634="","",IFERROR(INDEX('المواد الخام'!$D$5:$D$104,MATCH($C634,'المواد الخام'!$A$5:$A$104,0)),"حبة"))</f>
        <v/>
      </c>
      <c r="G634" s="30"/>
      <c r="H634" s="29"/>
      <c r="I634" s="29"/>
    </row>
    <row r="635" customFormat="false" ht="15" hidden="false" customHeight="false" outlineLevel="0" collapsed="false">
      <c r="A635" s="32"/>
      <c r="B635" s="29"/>
      <c r="C635" s="29"/>
      <c r="D635" s="28" t="str">
        <f aca="false">IF($C635="","",IFERROR(INDEX('المواد الخام'!$B$5:$B$104,MATCH($C635,'المواد الخام'!$A$5:$A$104,0)),IFERROR(INDEX(المنتجات!$C$5:$C$24,MATCH($C635,المنتجات!$A$5:$A$24,0)),"كود غير موجود")))</f>
        <v/>
      </c>
      <c r="E635" s="24"/>
      <c r="F635" s="28" t="str">
        <f aca="false">IF($C635="","",IFERROR(INDEX('المواد الخام'!$D$5:$D$104,MATCH($C635,'المواد الخام'!$A$5:$A$104,0)),"حبة"))</f>
        <v/>
      </c>
      <c r="G635" s="30"/>
      <c r="H635" s="29"/>
      <c r="I635" s="29"/>
    </row>
    <row r="636" customFormat="false" ht="15" hidden="false" customHeight="false" outlineLevel="0" collapsed="false">
      <c r="A636" s="32"/>
      <c r="B636" s="29"/>
      <c r="C636" s="29"/>
      <c r="D636" s="28" t="str">
        <f aca="false">IF($C636="","",IFERROR(INDEX('المواد الخام'!$B$5:$B$104,MATCH($C636,'المواد الخام'!$A$5:$A$104,0)),IFERROR(INDEX(المنتجات!$C$5:$C$24,MATCH($C636,المنتجات!$A$5:$A$24,0)),"كود غير موجود")))</f>
        <v/>
      </c>
      <c r="E636" s="24"/>
      <c r="F636" s="28" t="str">
        <f aca="false">IF($C636="","",IFERROR(INDEX('المواد الخام'!$D$5:$D$104,MATCH($C636,'المواد الخام'!$A$5:$A$104,0)),"حبة"))</f>
        <v/>
      </c>
      <c r="G636" s="30"/>
      <c r="H636" s="29"/>
      <c r="I636" s="29"/>
    </row>
    <row r="637" customFormat="false" ht="15" hidden="false" customHeight="false" outlineLevel="0" collapsed="false">
      <c r="A637" s="32"/>
      <c r="B637" s="29"/>
      <c r="C637" s="29"/>
      <c r="D637" s="28" t="str">
        <f aca="false">IF($C637="","",IFERROR(INDEX('المواد الخام'!$B$5:$B$104,MATCH($C637,'المواد الخام'!$A$5:$A$104,0)),IFERROR(INDEX(المنتجات!$C$5:$C$24,MATCH($C637,المنتجات!$A$5:$A$24,0)),"كود غير موجود")))</f>
        <v/>
      </c>
      <c r="E637" s="24"/>
      <c r="F637" s="28" t="str">
        <f aca="false">IF($C637="","",IFERROR(INDEX('المواد الخام'!$D$5:$D$104,MATCH($C637,'المواد الخام'!$A$5:$A$104,0)),"حبة"))</f>
        <v/>
      </c>
      <c r="G637" s="30"/>
      <c r="H637" s="29"/>
      <c r="I637" s="29"/>
    </row>
    <row r="638" customFormat="false" ht="15" hidden="false" customHeight="false" outlineLevel="0" collapsed="false">
      <c r="A638" s="32"/>
      <c r="B638" s="29"/>
      <c r="C638" s="29"/>
      <c r="D638" s="28" t="str">
        <f aca="false">IF($C638="","",IFERROR(INDEX('المواد الخام'!$B$5:$B$104,MATCH($C638,'المواد الخام'!$A$5:$A$104,0)),IFERROR(INDEX(المنتجات!$C$5:$C$24,MATCH($C638,المنتجات!$A$5:$A$24,0)),"كود غير موجود")))</f>
        <v/>
      </c>
      <c r="E638" s="24"/>
      <c r="F638" s="28" t="str">
        <f aca="false">IF($C638="","",IFERROR(INDEX('المواد الخام'!$D$5:$D$104,MATCH($C638,'المواد الخام'!$A$5:$A$104,0)),"حبة"))</f>
        <v/>
      </c>
      <c r="G638" s="30"/>
      <c r="H638" s="29"/>
      <c r="I638" s="29"/>
    </row>
    <row r="639" customFormat="false" ht="15" hidden="false" customHeight="false" outlineLevel="0" collapsed="false">
      <c r="A639" s="32"/>
      <c r="B639" s="29"/>
      <c r="C639" s="29"/>
      <c r="D639" s="28" t="str">
        <f aca="false">IF($C639="","",IFERROR(INDEX('المواد الخام'!$B$5:$B$104,MATCH($C639,'المواد الخام'!$A$5:$A$104,0)),IFERROR(INDEX(المنتجات!$C$5:$C$24,MATCH($C639,المنتجات!$A$5:$A$24,0)),"كود غير موجود")))</f>
        <v/>
      </c>
      <c r="E639" s="24"/>
      <c r="F639" s="28" t="str">
        <f aca="false">IF($C639="","",IFERROR(INDEX('المواد الخام'!$D$5:$D$104,MATCH($C639,'المواد الخام'!$A$5:$A$104,0)),"حبة"))</f>
        <v/>
      </c>
      <c r="G639" s="30"/>
      <c r="H639" s="29"/>
      <c r="I639" s="29"/>
    </row>
    <row r="640" customFormat="false" ht="15" hidden="false" customHeight="false" outlineLevel="0" collapsed="false">
      <c r="A640" s="32"/>
      <c r="B640" s="29"/>
      <c r="C640" s="29"/>
      <c r="D640" s="28" t="str">
        <f aca="false">IF($C640="","",IFERROR(INDEX('المواد الخام'!$B$5:$B$104,MATCH($C640,'المواد الخام'!$A$5:$A$104,0)),IFERROR(INDEX(المنتجات!$C$5:$C$24,MATCH($C640,المنتجات!$A$5:$A$24,0)),"كود غير موجود")))</f>
        <v/>
      </c>
      <c r="E640" s="24"/>
      <c r="F640" s="28" t="str">
        <f aca="false">IF($C640="","",IFERROR(INDEX('المواد الخام'!$D$5:$D$104,MATCH($C640,'المواد الخام'!$A$5:$A$104,0)),"حبة"))</f>
        <v/>
      </c>
      <c r="G640" s="30"/>
      <c r="H640" s="29"/>
      <c r="I640" s="29"/>
    </row>
    <row r="641" customFormat="false" ht="15" hidden="false" customHeight="false" outlineLevel="0" collapsed="false">
      <c r="A641" s="32"/>
      <c r="B641" s="29"/>
      <c r="C641" s="29"/>
      <c r="D641" s="28" t="str">
        <f aca="false">IF($C641="","",IFERROR(INDEX('المواد الخام'!$B$5:$B$104,MATCH($C641,'المواد الخام'!$A$5:$A$104,0)),IFERROR(INDEX(المنتجات!$C$5:$C$24,MATCH($C641,المنتجات!$A$5:$A$24,0)),"كود غير موجود")))</f>
        <v/>
      </c>
      <c r="E641" s="24"/>
      <c r="F641" s="28" t="str">
        <f aca="false">IF($C641="","",IFERROR(INDEX('المواد الخام'!$D$5:$D$104,MATCH($C641,'المواد الخام'!$A$5:$A$104,0)),"حبة"))</f>
        <v/>
      </c>
      <c r="G641" s="30"/>
      <c r="H641" s="29"/>
      <c r="I641" s="29"/>
    </row>
    <row r="642" customFormat="false" ht="15" hidden="false" customHeight="false" outlineLevel="0" collapsed="false">
      <c r="A642" s="32"/>
      <c r="B642" s="29"/>
      <c r="C642" s="29"/>
      <c r="D642" s="28" t="str">
        <f aca="false">IF($C642="","",IFERROR(INDEX('المواد الخام'!$B$5:$B$104,MATCH($C642,'المواد الخام'!$A$5:$A$104,0)),IFERROR(INDEX(المنتجات!$C$5:$C$24,MATCH($C642,المنتجات!$A$5:$A$24,0)),"كود غير موجود")))</f>
        <v/>
      </c>
      <c r="E642" s="24"/>
      <c r="F642" s="28" t="str">
        <f aca="false">IF($C642="","",IFERROR(INDEX('المواد الخام'!$D$5:$D$104,MATCH($C642,'المواد الخام'!$A$5:$A$104,0)),"حبة"))</f>
        <v/>
      </c>
      <c r="G642" s="30"/>
      <c r="H642" s="29"/>
      <c r="I642" s="29"/>
    </row>
    <row r="643" customFormat="false" ht="15" hidden="false" customHeight="false" outlineLevel="0" collapsed="false">
      <c r="A643" s="32"/>
      <c r="B643" s="29"/>
      <c r="C643" s="29"/>
      <c r="D643" s="28" t="str">
        <f aca="false">IF($C643="","",IFERROR(INDEX('المواد الخام'!$B$5:$B$104,MATCH($C643,'المواد الخام'!$A$5:$A$104,0)),IFERROR(INDEX(المنتجات!$C$5:$C$24,MATCH($C643,المنتجات!$A$5:$A$24,0)),"كود غير موجود")))</f>
        <v/>
      </c>
      <c r="E643" s="24"/>
      <c r="F643" s="28" t="str">
        <f aca="false">IF($C643="","",IFERROR(INDEX('المواد الخام'!$D$5:$D$104,MATCH($C643,'المواد الخام'!$A$5:$A$104,0)),"حبة"))</f>
        <v/>
      </c>
      <c r="G643" s="30"/>
      <c r="H643" s="29"/>
      <c r="I643" s="29"/>
    </row>
    <row r="644" customFormat="false" ht="15" hidden="false" customHeight="false" outlineLevel="0" collapsed="false">
      <c r="A644" s="32"/>
      <c r="B644" s="29"/>
      <c r="C644" s="29"/>
      <c r="D644" s="28" t="str">
        <f aca="false">IF($C644="","",IFERROR(INDEX('المواد الخام'!$B$5:$B$104,MATCH($C644,'المواد الخام'!$A$5:$A$104,0)),IFERROR(INDEX(المنتجات!$C$5:$C$24,MATCH($C644,المنتجات!$A$5:$A$24,0)),"كود غير موجود")))</f>
        <v/>
      </c>
      <c r="E644" s="24"/>
      <c r="F644" s="28" t="str">
        <f aca="false">IF($C644="","",IFERROR(INDEX('المواد الخام'!$D$5:$D$104,MATCH($C644,'المواد الخام'!$A$5:$A$104,0)),"حبة"))</f>
        <v/>
      </c>
      <c r="G644" s="30"/>
      <c r="H644" s="29"/>
      <c r="I644" s="29"/>
    </row>
    <row r="645" customFormat="false" ht="15" hidden="false" customHeight="false" outlineLevel="0" collapsed="false">
      <c r="A645" s="32"/>
      <c r="B645" s="29"/>
      <c r="C645" s="29"/>
      <c r="D645" s="28" t="str">
        <f aca="false">IF($C645="","",IFERROR(INDEX('المواد الخام'!$B$5:$B$104,MATCH($C645,'المواد الخام'!$A$5:$A$104,0)),IFERROR(INDEX(المنتجات!$C$5:$C$24,MATCH($C645,المنتجات!$A$5:$A$24,0)),"كود غير موجود")))</f>
        <v/>
      </c>
      <c r="E645" s="24"/>
      <c r="F645" s="28" t="str">
        <f aca="false">IF($C645="","",IFERROR(INDEX('المواد الخام'!$D$5:$D$104,MATCH($C645,'المواد الخام'!$A$5:$A$104,0)),"حبة"))</f>
        <v/>
      </c>
      <c r="G645" s="30"/>
      <c r="H645" s="29"/>
      <c r="I645" s="29"/>
    </row>
    <row r="646" customFormat="false" ht="15" hidden="false" customHeight="false" outlineLevel="0" collapsed="false">
      <c r="A646" s="32"/>
      <c r="B646" s="29"/>
      <c r="C646" s="29"/>
      <c r="D646" s="28" t="str">
        <f aca="false">IF($C646="","",IFERROR(INDEX('المواد الخام'!$B$5:$B$104,MATCH($C646,'المواد الخام'!$A$5:$A$104,0)),IFERROR(INDEX(المنتجات!$C$5:$C$24,MATCH($C646,المنتجات!$A$5:$A$24,0)),"كود غير موجود")))</f>
        <v/>
      </c>
      <c r="E646" s="24"/>
      <c r="F646" s="28" t="str">
        <f aca="false">IF($C646="","",IFERROR(INDEX('المواد الخام'!$D$5:$D$104,MATCH($C646,'المواد الخام'!$A$5:$A$104,0)),"حبة"))</f>
        <v/>
      </c>
      <c r="G646" s="30"/>
      <c r="H646" s="29"/>
      <c r="I646" s="29"/>
    </row>
    <row r="647" customFormat="false" ht="15" hidden="false" customHeight="false" outlineLevel="0" collapsed="false">
      <c r="A647" s="32"/>
      <c r="B647" s="29"/>
      <c r="C647" s="29"/>
      <c r="D647" s="28" t="str">
        <f aca="false">IF($C647="","",IFERROR(INDEX('المواد الخام'!$B$5:$B$104,MATCH($C647,'المواد الخام'!$A$5:$A$104,0)),IFERROR(INDEX(المنتجات!$C$5:$C$24,MATCH($C647,المنتجات!$A$5:$A$24,0)),"كود غير موجود")))</f>
        <v/>
      </c>
      <c r="E647" s="24"/>
      <c r="F647" s="28" t="str">
        <f aca="false">IF($C647="","",IFERROR(INDEX('المواد الخام'!$D$5:$D$104,MATCH($C647,'المواد الخام'!$A$5:$A$104,0)),"حبة"))</f>
        <v/>
      </c>
      <c r="G647" s="30"/>
      <c r="H647" s="29"/>
      <c r="I647" s="29"/>
    </row>
    <row r="648" customFormat="false" ht="15" hidden="false" customHeight="false" outlineLevel="0" collapsed="false">
      <c r="A648" s="32"/>
      <c r="B648" s="29"/>
      <c r="C648" s="29"/>
      <c r="D648" s="28" t="str">
        <f aca="false">IF($C648="","",IFERROR(INDEX('المواد الخام'!$B$5:$B$104,MATCH($C648,'المواد الخام'!$A$5:$A$104,0)),IFERROR(INDEX(المنتجات!$C$5:$C$24,MATCH($C648,المنتجات!$A$5:$A$24,0)),"كود غير موجود")))</f>
        <v/>
      </c>
      <c r="E648" s="24"/>
      <c r="F648" s="28" t="str">
        <f aca="false">IF($C648="","",IFERROR(INDEX('المواد الخام'!$D$5:$D$104,MATCH($C648,'المواد الخام'!$A$5:$A$104,0)),"حبة"))</f>
        <v/>
      </c>
      <c r="G648" s="30"/>
      <c r="H648" s="29"/>
      <c r="I648" s="29"/>
    </row>
    <row r="649" customFormat="false" ht="15" hidden="false" customHeight="false" outlineLevel="0" collapsed="false">
      <c r="A649" s="32"/>
      <c r="B649" s="29"/>
      <c r="C649" s="29"/>
      <c r="D649" s="28" t="str">
        <f aca="false">IF($C649="","",IFERROR(INDEX('المواد الخام'!$B$5:$B$104,MATCH($C649,'المواد الخام'!$A$5:$A$104,0)),IFERROR(INDEX(المنتجات!$C$5:$C$24,MATCH($C649,المنتجات!$A$5:$A$24,0)),"كود غير موجود")))</f>
        <v/>
      </c>
      <c r="E649" s="24"/>
      <c r="F649" s="28" t="str">
        <f aca="false">IF($C649="","",IFERROR(INDEX('المواد الخام'!$D$5:$D$104,MATCH($C649,'المواد الخام'!$A$5:$A$104,0)),"حبة"))</f>
        <v/>
      </c>
      <c r="G649" s="30"/>
      <c r="H649" s="29"/>
      <c r="I649" s="29"/>
    </row>
    <row r="650" customFormat="false" ht="15" hidden="false" customHeight="false" outlineLevel="0" collapsed="false">
      <c r="A650" s="32"/>
      <c r="B650" s="29"/>
      <c r="C650" s="29"/>
      <c r="D650" s="28" t="str">
        <f aca="false">IF($C650="","",IFERROR(INDEX('المواد الخام'!$B$5:$B$104,MATCH($C650,'المواد الخام'!$A$5:$A$104,0)),IFERROR(INDEX(المنتجات!$C$5:$C$24,MATCH($C650,المنتجات!$A$5:$A$24,0)),"كود غير موجود")))</f>
        <v/>
      </c>
      <c r="E650" s="24"/>
      <c r="F650" s="28" t="str">
        <f aca="false">IF($C650="","",IFERROR(INDEX('المواد الخام'!$D$5:$D$104,MATCH($C650,'المواد الخام'!$A$5:$A$104,0)),"حبة"))</f>
        <v/>
      </c>
      <c r="G650" s="30"/>
      <c r="H650" s="29"/>
      <c r="I650" s="29"/>
    </row>
    <row r="651" customFormat="false" ht="15" hidden="false" customHeight="false" outlineLevel="0" collapsed="false">
      <c r="A651" s="32"/>
      <c r="B651" s="29"/>
      <c r="C651" s="29"/>
      <c r="D651" s="28" t="str">
        <f aca="false">IF($C651="","",IFERROR(INDEX('المواد الخام'!$B$5:$B$104,MATCH($C651,'المواد الخام'!$A$5:$A$104,0)),IFERROR(INDEX(المنتجات!$C$5:$C$24,MATCH($C651,المنتجات!$A$5:$A$24,0)),"كود غير موجود")))</f>
        <v/>
      </c>
      <c r="E651" s="24"/>
      <c r="F651" s="28" t="str">
        <f aca="false">IF($C651="","",IFERROR(INDEX('المواد الخام'!$D$5:$D$104,MATCH($C651,'المواد الخام'!$A$5:$A$104,0)),"حبة"))</f>
        <v/>
      </c>
      <c r="G651" s="30"/>
      <c r="H651" s="29"/>
      <c r="I651" s="29"/>
    </row>
    <row r="652" customFormat="false" ht="15" hidden="false" customHeight="false" outlineLevel="0" collapsed="false">
      <c r="A652" s="32"/>
      <c r="B652" s="29"/>
      <c r="C652" s="29"/>
      <c r="D652" s="28" t="str">
        <f aca="false">IF($C652="","",IFERROR(INDEX('المواد الخام'!$B$5:$B$104,MATCH($C652,'المواد الخام'!$A$5:$A$104,0)),IFERROR(INDEX(المنتجات!$C$5:$C$24,MATCH($C652,المنتجات!$A$5:$A$24,0)),"كود غير موجود")))</f>
        <v/>
      </c>
      <c r="E652" s="24"/>
      <c r="F652" s="28" t="str">
        <f aca="false">IF($C652="","",IFERROR(INDEX('المواد الخام'!$D$5:$D$104,MATCH($C652,'المواد الخام'!$A$5:$A$104,0)),"حبة"))</f>
        <v/>
      </c>
      <c r="G652" s="30"/>
      <c r="H652" s="29"/>
      <c r="I652" s="29"/>
    </row>
    <row r="653" customFormat="false" ht="15" hidden="false" customHeight="false" outlineLevel="0" collapsed="false">
      <c r="A653" s="32"/>
      <c r="B653" s="29"/>
      <c r="C653" s="29"/>
      <c r="D653" s="28" t="str">
        <f aca="false">IF($C653="","",IFERROR(INDEX('المواد الخام'!$B$5:$B$104,MATCH($C653,'المواد الخام'!$A$5:$A$104,0)),IFERROR(INDEX(المنتجات!$C$5:$C$24,MATCH($C653,المنتجات!$A$5:$A$24,0)),"كود غير موجود")))</f>
        <v/>
      </c>
      <c r="E653" s="24"/>
      <c r="F653" s="28" t="str">
        <f aca="false">IF($C653="","",IFERROR(INDEX('المواد الخام'!$D$5:$D$104,MATCH($C653,'المواد الخام'!$A$5:$A$104,0)),"حبة"))</f>
        <v/>
      </c>
      <c r="G653" s="30"/>
      <c r="H653" s="29"/>
      <c r="I653" s="29"/>
    </row>
    <row r="654" customFormat="false" ht="15" hidden="false" customHeight="false" outlineLevel="0" collapsed="false">
      <c r="A654" s="32"/>
      <c r="B654" s="29"/>
      <c r="C654" s="29"/>
      <c r="D654" s="28" t="str">
        <f aca="false">IF($C654="","",IFERROR(INDEX('المواد الخام'!$B$5:$B$104,MATCH($C654,'المواد الخام'!$A$5:$A$104,0)),IFERROR(INDEX(المنتجات!$C$5:$C$24,MATCH($C654,المنتجات!$A$5:$A$24,0)),"كود غير موجود")))</f>
        <v/>
      </c>
      <c r="E654" s="24"/>
      <c r="F654" s="28" t="str">
        <f aca="false">IF($C654="","",IFERROR(INDEX('المواد الخام'!$D$5:$D$104,MATCH($C654,'المواد الخام'!$A$5:$A$104,0)),"حبة"))</f>
        <v/>
      </c>
      <c r="G654" s="30"/>
      <c r="H654" s="29"/>
      <c r="I654" s="29"/>
    </row>
    <row r="655" customFormat="false" ht="15" hidden="false" customHeight="false" outlineLevel="0" collapsed="false">
      <c r="A655" s="32"/>
      <c r="B655" s="29"/>
      <c r="C655" s="29"/>
      <c r="D655" s="28" t="str">
        <f aca="false">IF($C655="","",IFERROR(INDEX('المواد الخام'!$B$5:$B$104,MATCH($C655,'المواد الخام'!$A$5:$A$104,0)),IFERROR(INDEX(المنتجات!$C$5:$C$24,MATCH($C655,المنتجات!$A$5:$A$24,0)),"كود غير موجود")))</f>
        <v/>
      </c>
      <c r="E655" s="24"/>
      <c r="F655" s="28" t="str">
        <f aca="false">IF($C655="","",IFERROR(INDEX('المواد الخام'!$D$5:$D$104,MATCH($C655,'المواد الخام'!$A$5:$A$104,0)),"حبة"))</f>
        <v/>
      </c>
      <c r="G655" s="30"/>
      <c r="H655" s="29"/>
      <c r="I655" s="29"/>
    </row>
    <row r="656" customFormat="false" ht="15" hidden="false" customHeight="false" outlineLevel="0" collapsed="false">
      <c r="A656" s="32"/>
      <c r="B656" s="29"/>
      <c r="C656" s="29"/>
      <c r="D656" s="28" t="str">
        <f aca="false">IF($C656="","",IFERROR(INDEX('المواد الخام'!$B$5:$B$104,MATCH($C656,'المواد الخام'!$A$5:$A$104,0)),IFERROR(INDEX(المنتجات!$C$5:$C$24,MATCH($C656,المنتجات!$A$5:$A$24,0)),"كود غير موجود")))</f>
        <v/>
      </c>
      <c r="E656" s="24"/>
      <c r="F656" s="28" t="str">
        <f aca="false">IF($C656="","",IFERROR(INDEX('المواد الخام'!$D$5:$D$104,MATCH($C656,'المواد الخام'!$A$5:$A$104,0)),"حبة"))</f>
        <v/>
      </c>
      <c r="G656" s="30"/>
      <c r="H656" s="29"/>
      <c r="I656" s="29"/>
    </row>
    <row r="657" customFormat="false" ht="15" hidden="false" customHeight="false" outlineLevel="0" collapsed="false">
      <c r="A657" s="32"/>
      <c r="B657" s="29"/>
      <c r="C657" s="29"/>
      <c r="D657" s="28" t="str">
        <f aca="false">IF($C657="","",IFERROR(INDEX('المواد الخام'!$B$5:$B$104,MATCH($C657,'المواد الخام'!$A$5:$A$104,0)),IFERROR(INDEX(المنتجات!$C$5:$C$24,MATCH($C657,المنتجات!$A$5:$A$24,0)),"كود غير موجود")))</f>
        <v/>
      </c>
      <c r="E657" s="24"/>
      <c r="F657" s="28" t="str">
        <f aca="false">IF($C657="","",IFERROR(INDEX('المواد الخام'!$D$5:$D$104,MATCH($C657,'المواد الخام'!$A$5:$A$104,0)),"حبة"))</f>
        <v/>
      </c>
      <c r="G657" s="30"/>
      <c r="H657" s="29"/>
      <c r="I657" s="29"/>
    </row>
    <row r="658" customFormat="false" ht="15" hidden="false" customHeight="false" outlineLevel="0" collapsed="false">
      <c r="A658" s="32"/>
      <c r="B658" s="29"/>
      <c r="C658" s="29"/>
      <c r="D658" s="28" t="str">
        <f aca="false">IF($C658="","",IFERROR(INDEX('المواد الخام'!$B$5:$B$104,MATCH($C658,'المواد الخام'!$A$5:$A$104,0)),IFERROR(INDEX(المنتجات!$C$5:$C$24,MATCH($C658,المنتجات!$A$5:$A$24,0)),"كود غير موجود")))</f>
        <v/>
      </c>
      <c r="E658" s="24"/>
      <c r="F658" s="28" t="str">
        <f aca="false">IF($C658="","",IFERROR(INDEX('المواد الخام'!$D$5:$D$104,MATCH($C658,'المواد الخام'!$A$5:$A$104,0)),"حبة"))</f>
        <v/>
      </c>
      <c r="G658" s="30"/>
      <c r="H658" s="29"/>
      <c r="I658" s="29"/>
    </row>
    <row r="659" customFormat="false" ht="15" hidden="false" customHeight="false" outlineLevel="0" collapsed="false">
      <c r="A659" s="32"/>
      <c r="B659" s="29"/>
      <c r="C659" s="29"/>
      <c r="D659" s="28" t="str">
        <f aca="false">IF($C659="","",IFERROR(INDEX('المواد الخام'!$B$5:$B$104,MATCH($C659,'المواد الخام'!$A$5:$A$104,0)),IFERROR(INDEX(المنتجات!$C$5:$C$24,MATCH($C659,المنتجات!$A$5:$A$24,0)),"كود غير موجود")))</f>
        <v/>
      </c>
      <c r="E659" s="24"/>
      <c r="F659" s="28" t="str">
        <f aca="false">IF($C659="","",IFERROR(INDEX('المواد الخام'!$D$5:$D$104,MATCH($C659,'المواد الخام'!$A$5:$A$104,0)),"حبة"))</f>
        <v/>
      </c>
      <c r="G659" s="30"/>
      <c r="H659" s="29"/>
      <c r="I659" s="29"/>
    </row>
    <row r="660" customFormat="false" ht="15" hidden="false" customHeight="false" outlineLevel="0" collapsed="false">
      <c r="A660" s="32"/>
      <c r="B660" s="29"/>
      <c r="C660" s="29"/>
      <c r="D660" s="28" t="str">
        <f aca="false">IF($C660="","",IFERROR(INDEX('المواد الخام'!$B$5:$B$104,MATCH($C660,'المواد الخام'!$A$5:$A$104,0)),IFERROR(INDEX(المنتجات!$C$5:$C$24,MATCH($C660,المنتجات!$A$5:$A$24,0)),"كود غير موجود")))</f>
        <v/>
      </c>
      <c r="E660" s="24"/>
      <c r="F660" s="28" t="str">
        <f aca="false">IF($C660="","",IFERROR(INDEX('المواد الخام'!$D$5:$D$104,MATCH($C660,'المواد الخام'!$A$5:$A$104,0)),"حبة"))</f>
        <v/>
      </c>
      <c r="G660" s="30"/>
      <c r="H660" s="29"/>
      <c r="I660" s="29"/>
    </row>
    <row r="661" customFormat="false" ht="15" hidden="false" customHeight="false" outlineLevel="0" collapsed="false">
      <c r="A661" s="32"/>
      <c r="B661" s="29"/>
      <c r="C661" s="29"/>
      <c r="D661" s="28" t="str">
        <f aca="false">IF($C661="","",IFERROR(INDEX('المواد الخام'!$B$5:$B$104,MATCH($C661,'المواد الخام'!$A$5:$A$104,0)),IFERROR(INDEX(المنتجات!$C$5:$C$24,MATCH($C661,المنتجات!$A$5:$A$24,0)),"كود غير موجود")))</f>
        <v/>
      </c>
      <c r="E661" s="24"/>
      <c r="F661" s="28" t="str">
        <f aca="false">IF($C661="","",IFERROR(INDEX('المواد الخام'!$D$5:$D$104,MATCH($C661,'المواد الخام'!$A$5:$A$104,0)),"حبة"))</f>
        <v/>
      </c>
      <c r="G661" s="30"/>
      <c r="H661" s="29"/>
      <c r="I661" s="29"/>
    </row>
    <row r="662" customFormat="false" ht="15" hidden="false" customHeight="false" outlineLevel="0" collapsed="false">
      <c r="A662" s="32"/>
      <c r="B662" s="29"/>
      <c r="C662" s="29"/>
      <c r="D662" s="28" t="str">
        <f aca="false">IF($C662="","",IFERROR(INDEX('المواد الخام'!$B$5:$B$104,MATCH($C662,'المواد الخام'!$A$5:$A$104,0)),IFERROR(INDEX(المنتجات!$C$5:$C$24,MATCH($C662,المنتجات!$A$5:$A$24,0)),"كود غير موجود")))</f>
        <v/>
      </c>
      <c r="E662" s="24"/>
      <c r="F662" s="28" t="str">
        <f aca="false">IF($C662="","",IFERROR(INDEX('المواد الخام'!$D$5:$D$104,MATCH($C662,'المواد الخام'!$A$5:$A$104,0)),"حبة"))</f>
        <v/>
      </c>
      <c r="G662" s="30"/>
      <c r="H662" s="29"/>
      <c r="I662" s="29"/>
    </row>
    <row r="663" customFormat="false" ht="15" hidden="false" customHeight="false" outlineLevel="0" collapsed="false">
      <c r="A663" s="32"/>
      <c r="B663" s="29"/>
      <c r="C663" s="29"/>
      <c r="D663" s="28" t="str">
        <f aca="false">IF($C663="","",IFERROR(INDEX('المواد الخام'!$B$5:$B$104,MATCH($C663,'المواد الخام'!$A$5:$A$104,0)),IFERROR(INDEX(المنتجات!$C$5:$C$24,MATCH($C663,المنتجات!$A$5:$A$24,0)),"كود غير موجود")))</f>
        <v/>
      </c>
      <c r="E663" s="24"/>
      <c r="F663" s="28" t="str">
        <f aca="false">IF($C663="","",IFERROR(INDEX('المواد الخام'!$D$5:$D$104,MATCH($C663,'المواد الخام'!$A$5:$A$104,0)),"حبة"))</f>
        <v/>
      </c>
      <c r="G663" s="30"/>
      <c r="H663" s="29"/>
      <c r="I663" s="29"/>
    </row>
    <row r="664" customFormat="false" ht="15" hidden="false" customHeight="false" outlineLevel="0" collapsed="false">
      <c r="A664" s="32"/>
      <c r="B664" s="29"/>
      <c r="C664" s="29"/>
      <c r="D664" s="28" t="str">
        <f aca="false">IF($C664="","",IFERROR(INDEX('المواد الخام'!$B$5:$B$104,MATCH($C664,'المواد الخام'!$A$5:$A$104,0)),IFERROR(INDEX(المنتجات!$C$5:$C$24,MATCH($C664,المنتجات!$A$5:$A$24,0)),"كود غير موجود")))</f>
        <v/>
      </c>
      <c r="E664" s="24"/>
      <c r="F664" s="28" t="str">
        <f aca="false">IF($C664="","",IFERROR(INDEX('المواد الخام'!$D$5:$D$104,MATCH($C664,'المواد الخام'!$A$5:$A$104,0)),"حبة"))</f>
        <v/>
      </c>
      <c r="G664" s="30"/>
      <c r="H664" s="29"/>
      <c r="I664" s="29"/>
    </row>
    <row r="665" customFormat="false" ht="15" hidden="false" customHeight="false" outlineLevel="0" collapsed="false">
      <c r="A665" s="32"/>
      <c r="B665" s="29"/>
      <c r="C665" s="29"/>
      <c r="D665" s="28" t="str">
        <f aca="false">IF($C665="","",IFERROR(INDEX('المواد الخام'!$B$5:$B$104,MATCH($C665,'المواد الخام'!$A$5:$A$104,0)),IFERROR(INDEX(المنتجات!$C$5:$C$24,MATCH($C665,المنتجات!$A$5:$A$24,0)),"كود غير موجود")))</f>
        <v/>
      </c>
      <c r="E665" s="24"/>
      <c r="F665" s="28" t="str">
        <f aca="false">IF($C665="","",IFERROR(INDEX('المواد الخام'!$D$5:$D$104,MATCH($C665,'المواد الخام'!$A$5:$A$104,0)),"حبة"))</f>
        <v/>
      </c>
      <c r="G665" s="30"/>
      <c r="H665" s="29"/>
      <c r="I665" s="29"/>
    </row>
    <row r="666" customFormat="false" ht="15" hidden="false" customHeight="false" outlineLevel="0" collapsed="false">
      <c r="A666" s="32"/>
      <c r="B666" s="29"/>
      <c r="C666" s="29"/>
      <c r="D666" s="28" t="str">
        <f aca="false">IF($C666="","",IFERROR(INDEX('المواد الخام'!$B$5:$B$104,MATCH($C666,'المواد الخام'!$A$5:$A$104,0)),IFERROR(INDEX(المنتجات!$C$5:$C$24,MATCH($C666,المنتجات!$A$5:$A$24,0)),"كود غير موجود")))</f>
        <v/>
      </c>
      <c r="E666" s="24"/>
      <c r="F666" s="28" t="str">
        <f aca="false">IF($C666="","",IFERROR(INDEX('المواد الخام'!$D$5:$D$104,MATCH($C666,'المواد الخام'!$A$5:$A$104,0)),"حبة"))</f>
        <v/>
      </c>
      <c r="G666" s="30"/>
      <c r="H666" s="29"/>
      <c r="I666" s="29"/>
    </row>
    <row r="667" customFormat="false" ht="15" hidden="false" customHeight="false" outlineLevel="0" collapsed="false">
      <c r="A667" s="32"/>
      <c r="B667" s="29"/>
      <c r="C667" s="29"/>
      <c r="D667" s="28" t="str">
        <f aca="false">IF($C667="","",IFERROR(INDEX('المواد الخام'!$B$5:$B$104,MATCH($C667,'المواد الخام'!$A$5:$A$104,0)),IFERROR(INDEX(المنتجات!$C$5:$C$24,MATCH($C667,المنتجات!$A$5:$A$24,0)),"كود غير موجود")))</f>
        <v/>
      </c>
      <c r="E667" s="24"/>
      <c r="F667" s="28" t="str">
        <f aca="false">IF($C667="","",IFERROR(INDEX('المواد الخام'!$D$5:$D$104,MATCH($C667,'المواد الخام'!$A$5:$A$104,0)),"حبة"))</f>
        <v/>
      </c>
      <c r="G667" s="30"/>
      <c r="H667" s="29"/>
      <c r="I667" s="29"/>
    </row>
    <row r="668" customFormat="false" ht="15" hidden="false" customHeight="false" outlineLevel="0" collapsed="false">
      <c r="A668" s="32"/>
      <c r="B668" s="29"/>
      <c r="C668" s="29"/>
      <c r="D668" s="28" t="str">
        <f aca="false">IF($C668="","",IFERROR(INDEX('المواد الخام'!$B$5:$B$104,MATCH($C668,'المواد الخام'!$A$5:$A$104,0)),IFERROR(INDEX(المنتجات!$C$5:$C$24,MATCH($C668,المنتجات!$A$5:$A$24,0)),"كود غير موجود")))</f>
        <v/>
      </c>
      <c r="E668" s="24"/>
      <c r="F668" s="28" t="str">
        <f aca="false">IF($C668="","",IFERROR(INDEX('المواد الخام'!$D$5:$D$104,MATCH($C668,'المواد الخام'!$A$5:$A$104,0)),"حبة"))</f>
        <v/>
      </c>
      <c r="G668" s="30"/>
      <c r="H668" s="29"/>
      <c r="I668" s="29"/>
    </row>
    <row r="669" customFormat="false" ht="15" hidden="false" customHeight="false" outlineLevel="0" collapsed="false">
      <c r="A669" s="32"/>
      <c r="B669" s="29"/>
      <c r="C669" s="29"/>
      <c r="D669" s="28" t="str">
        <f aca="false">IF($C669="","",IFERROR(INDEX('المواد الخام'!$B$5:$B$104,MATCH($C669,'المواد الخام'!$A$5:$A$104,0)),IFERROR(INDEX(المنتجات!$C$5:$C$24,MATCH($C669,المنتجات!$A$5:$A$24,0)),"كود غير موجود")))</f>
        <v/>
      </c>
      <c r="E669" s="24"/>
      <c r="F669" s="28" t="str">
        <f aca="false">IF($C669="","",IFERROR(INDEX('المواد الخام'!$D$5:$D$104,MATCH($C669,'المواد الخام'!$A$5:$A$104,0)),"حبة"))</f>
        <v/>
      </c>
      <c r="G669" s="30"/>
      <c r="H669" s="29"/>
      <c r="I669" s="29"/>
    </row>
    <row r="670" customFormat="false" ht="15" hidden="false" customHeight="false" outlineLevel="0" collapsed="false">
      <c r="A670" s="32"/>
      <c r="B670" s="29"/>
      <c r="C670" s="29"/>
      <c r="D670" s="28" t="str">
        <f aca="false">IF($C670="","",IFERROR(INDEX('المواد الخام'!$B$5:$B$104,MATCH($C670,'المواد الخام'!$A$5:$A$104,0)),IFERROR(INDEX(المنتجات!$C$5:$C$24,MATCH($C670,المنتجات!$A$5:$A$24,0)),"كود غير موجود")))</f>
        <v/>
      </c>
      <c r="E670" s="24"/>
      <c r="F670" s="28" t="str">
        <f aca="false">IF($C670="","",IFERROR(INDEX('المواد الخام'!$D$5:$D$104,MATCH($C670,'المواد الخام'!$A$5:$A$104,0)),"حبة"))</f>
        <v/>
      </c>
      <c r="G670" s="30"/>
      <c r="H670" s="29"/>
      <c r="I670" s="29"/>
    </row>
    <row r="671" customFormat="false" ht="15" hidden="false" customHeight="false" outlineLevel="0" collapsed="false">
      <c r="A671" s="32"/>
      <c r="B671" s="29"/>
      <c r="C671" s="29"/>
      <c r="D671" s="28" t="str">
        <f aca="false">IF($C671="","",IFERROR(INDEX('المواد الخام'!$B$5:$B$104,MATCH($C671,'المواد الخام'!$A$5:$A$104,0)),IFERROR(INDEX(المنتجات!$C$5:$C$24,MATCH($C671,المنتجات!$A$5:$A$24,0)),"كود غير موجود")))</f>
        <v/>
      </c>
      <c r="E671" s="24"/>
      <c r="F671" s="28" t="str">
        <f aca="false">IF($C671="","",IFERROR(INDEX('المواد الخام'!$D$5:$D$104,MATCH($C671,'المواد الخام'!$A$5:$A$104,0)),"حبة"))</f>
        <v/>
      </c>
      <c r="G671" s="30"/>
      <c r="H671" s="29"/>
      <c r="I671" s="29"/>
    </row>
    <row r="672" customFormat="false" ht="15" hidden="false" customHeight="false" outlineLevel="0" collapsed="false">
      <c r="A672" s="32"/>
      <c r="B672" s="29"/>
      <c r="C672" s="29"/>
      <c r="D672" s="28" t="str">
        <f aca="false">IF($C672="","",IFERROR(INDEX('المواد الخام'!$B$5:$B$104,MATCH($C672,'المواد الخام'!$A$5:$A$104,0)),IFERROR(INDEX(المنتجات!$C$5:$C$24,MATCH($C672,المنتجات!$A$5:$A$24,0)),"كود غير موجود")))</f>
        <v/>
      </c>
      <c r="E672" s="24"/>
      <c r="F672" s="28" t="str">
        <f aca="false">IF($C672="","",IFERROR(INDEX('المواد الخام'!$D$5:$D$104,MATCH($C672,'المواد الخام'!$A$5:$A$104,0)),"حبة"))</f>
        <v/>
      </c>
      <c r="G672" s="30"/>
      <c r="H672" s="29"/>
      <c r="I672" s="29"/>
    </row>
    <row r="673" customFormat="false" ht="15" hidden="false" customHeight="false" outlineLevel="0" collapsed="false">
      <c r="A673" s="32"/>
      <c r="B673" s="29"/>
      <c r="C673" s="29"/>
      <c r="D673" s="28" t="str">
        <f aca="false">IF($C673="","",IFERROR(INDEX('المواد الخام'!$B$5:$B$104,MATCH($C673,'المواد الخام'!$A$5:$A$104,0)),IFERROR(INDEX(المنتجات!$C$5:$C$24,MATCH($C673,المنتجات!$A$5:$A$24,0)),"كود غير موجود")))</f>
        <v/>
      </c>
      <c r="E673" s="24"/>
      <c r="F673" s="28" t="str">
        <f aca="false">IF($C673="","",IFERROR(INDEX('المواد الخام'!$D$5:$D$104,MATCH($C673,'المواد الخام'!$A$5:$A$104,0)),"حبة"))</f>
        <v/>
      </c>
      <c r="G673" s="30"/>
      <c r="H673" s="29"/>
      <c r="I673" s="29"/>
    </row>
    <row r="674" customFormat="false" ht="15" hidden="false" customHeight="false" outlineLevel="0" collapsed="false">
      <c r="A674" s="32"/>
      <c r="B674" s="29"/>
      <c r="C674" s="29"/>
      <c r="D674" s="28" t="str">
        <f aca="false">IF($C674="","",IFERROR(INDEX('المواد الخام'!$B$5:$B$104,MATCH($C674,'المواد الخام'!$A$5:$A$104,0)),IFERROR(INDEX(المنتجات!$C$5:$C$24,MATCH($C674,المنتجات!$A$5:$A$24,0)),"كود غير موجود")))</f>
        <v/>
      </c>
      <c r="E674" s="24"/>
      <c r="F674" s="28" t="str">
        <f aca="false">IF($C674="","",IFERROR(INDEX('المواد الخام'!$D$5:$D$104,MATCH($C674,'المواد الخام'!$A$5:$A$104,0)),"حبة"))</f>
        <v/>
      </c>
      <c r="G674" s="30"/>
      <c r="H674" s="29"/>
      <c r="I674" s="29"/>
    </row>
    <row r="675" customFormat="false" ht="15" hidden="false" customHeight="false" outlineLevel="0" collapsed="false">
      <c r="A675" s="32"/>
      <c r="B675" s="29"/>
      <c r="C675" s="29"/>
      <c r="D675" s="28" t="str">
        <f aca="false">IF($C675="","",IFERROR(INDEX('المواد الخام'!$B$5:$B$104,MATCH($C675,'المواد الخام'!$A$5:$A$104,0)),IFERROR(INDEX(المنتجات!$C$5:$C$24,MATCH($C675,المنتجات!$A$5:$A$24,0)),"كود غير موجود")))</f>
        <v/>
      </c>
      <c r="E675" s="24"/>
      <c r="F675" s="28" t="str">
        <f aca="false">IF($C675="","",IFERROR(INDEX('المواد الخام'!$D$5:$D$104,MATCH($C675,'المواد الخام'!$A$5:$A$104,0)),"حبة"))</f>
        <v/>
      </c>
      <c r="G675" s="30"/>
      <c r="H675" s="29"/>
      <c r="I675" s="29"/>
    </row>
    <row r="676" customFormat="false" ht="15" hidden="false" customHeight="false" outlineLevel="0" collapsed="false">
      <c r="A676" s="32"/>
      <c r="B676" s="29"/>
      <c r="C676" s="29"/>
      <c r="D676" s="28" t="str">
        <f aca="false">IF($C676="","",IFERROR(INDEX('المواد الخام'!$B$5:$B$104,MATCH($C676,'المواد الخام'!$A$5:$A$104,0)),IFERROR(INDEX(المنتجات!$C$5:$C$24,MATCH($C676,المنتجات!$A$5:$A$24,0)),"كود غير موجود")))</f>
        <v/>
      </c>
      <c r="E676" s="24"/>
      <c r="F676" s="28" t="str">
        <f aca="false">IF($C676="","",IFERROR(INDEX('المواد الخام'!$D$5:$D$104,MATCH($C676,'المواد الخام'!$A$5:$A$104,0)),"حبة"))</f>
        <v/>
      </c>
      <c r="G676" s="30"/>
      <c r="H676" s="29"/>
      <c r="I676" s="29"/>
    </row>
    <row r="677" customFormat="false" ht="15" hidden="false" customHeight="false" outlineLevel="0" collapsed="false">
      <c r="A677" s="32"/>
      <c r="B677" s="29"/>
      <c r="C677" s="29"/>
      <c r="D677" s="28" t="str">
        <f aca="false">IF($C677="","",IFERROR(INDEX('المواد الخام'!$B$5:$B$104,MATCH($C677,'المواد الخام'!$A$5:$A$104,0)),IFERROR(INDEX(المنتجات!$C$5:$C$24,MATCH($C677,المنتجات!$A$5:$A$24,0)),"كود غير موجود")))</f>
        <v/>
      </c>
      <c r="E677" s="24"/>
      <c r="F677" s="28" t="str">
        <f aca="false">IF($C677="","",IFERROR(INDEX('المواد الخام'!$D$5:$D$104,MATCH($C677,'المواد الخام'!$A$5:$A$104,0)),"حبة"))</f>
        <v/>
      </c>
      <c r="G677" s="30"/>
      <c r="H677" s="29"/>
      <c r="I677" s="29"/>
    </row>
    <row r="678" customFormat="false" ht="15" hidden="false" customHeight="false" outlineLevel="0" collapsed="false">
      <c r="A678" s="32"/>
      <c r="B678" s="29"/>
      <c r="C678" s="29"/>
      <c r="D678" s="28" t="str">
        <f aca="false">IF($C678="","",IFERROR(INDEX('المواد الخام'!$B$5:$B$104,MATCH($C678,'المواد الخام'!$A$5:$A$104,0)),IFERROR(INDEX(المنتجات!$C$5:$C$24,MATCH($C678,المنتجات!$A$5:$A$24,0)),"كود غير موجود")))</f>
        <v/>
      </c>
      <c r="E678" s="24"/>
      <c r="F678" s="28" t="str">
        <f aca="false">IF($C678="","",IFERROR(INDEX('المواد الخام'!$D$5:$D$104,MATCH($C678,'المواد الخام'!$A$5:$A$104,0)),"حبة"))</f>
        <v/>
      </c>
      <c r="G678" s="30"/>
      <c r="H678" s="29"/>
      <c r="I678" s="29"/>
    </row>
    <row r="679" customFormat="false" ht="15" hidden="false" customHeight="false" outlineLevel="0" collapsed="false">
      <c r="A679" s="32"/>
      <c r="B679" s="29"/>
      <c r="C679" s="29"/>
      <c r="D679" s="28" t="str">
        <f aca="false">IF($C679="","",IFERROR(INDEX('المواد الخام'!$B$5:$B$104,MATCH($C679,'المواد الخام'!$A$5:$A$104,0)),IFERROR(INDEX(المنتجات!$C$5:$C$24,MATCH($C679,المنتجات!$A$5:$A$24,0)),"كود غير موجود")))</f>
        <v/>
      </c>
      <c r="E679" s="24"/>
      <c r="F679" s="28" t="str">
        <f aca="false">IF($C679="","",IFERROR(INDEX('المواد الخام'!$D$5:$D$104,MATCH($C679,'المواد الخام'!$A$5:$A$104,0)),"حبة"))</f>
        <v/>
      </c>
      <c r="G679" s="30"/>
      <c r="H679" s="29"/>
      <c r="I679" s="29"/>
    </row>
    <row r="680" customFormat="false" ht="15" hidden="false" customHeight="false" outlineLevel="0" collapsed="false">
      <c r="A680" s="32"/>
      <c r="B680" s="29"/>
      <c r="C680" s="29"/>
      <c r="D680" s="28" t="str">
        <f aca="false">IF($C680="","",IFERROR(INDEX('المواد الخام'!$B$5:$B$104,MATCH($C680,'المواد الخام'!$A$5:$A$104,0)),IFERROR(INDEX(المنتجات!$C$5:$C$24,MATCH($C680,المنتجات!$A$5:$A$24,0)),"كود غير موجود")))</f>
        <v/>
      </c>
      <c r="E680" s="24"/>
      <c r="F680" s="28" t="str">
        <f aca="false">IF($C680="","",IFERROR(INDEX('المواد الخام'!$D$5:$D$104,MATCH($C680,'المواد الخام'!$A$5:$A$104,0)),"حبة"))</f>
        <v/>
      </c>
      <c r="G680" s="30"/>
      <c r="H680" s="29"/>
      <c r="I680" s="29"/>
    </row>
    <row r="681" customFormat="false" ht="15" hidden="false" customHeight="false" outlineLevel="0" collapsed="false">
      <c r="A681" s="32"/>
      <c r="B681" s="29"/>
      <c r="C681" s="29"/>
      <c r="D681" s="28" t="str">
        <f aca="false">IF($C681="","",IFERROR(INDEX('المواد الخام'!$B$5:$B$104,MATCH($C681,'المواد الخام'!$A$5:$A$104,0)),IFERROR(INDEX(المنتجات!$C$5:$C$24,MATCH($C681,المنتجات!$A$5:$A$24,0)),"كود غير موجود")))</f>
        <v/>
      </c>
      <c r="E681" s="24"/>
      <c r="F681" s="28" t="str">
        <f aca="false">IF($C681="","",IFERROR(INDEX('المواد الخام'!$D$5:$D$104,MATCH($C681,'المواد الخام'!$A$5:$A$104,0)),"حبة"))</f>
        <v/>
      </c>
      <c r="G681" s="30"/>
      <c r="H681" s="29"/>
      <c r="I681" s="29"/>
    </row>
    <row r="682" customFormat="false" ht="15" hidden="false" customHeight="false" outlineLevel="0" collapsed="false">
      <c r="A682" s="32"/>
      <c r="B682" s="29"/>
      <c r="C682" s="29"/>
      <c r="D682" s="28" t="str">
        <f aca="false">IF($C682="","",IFERROR(INDEX('المواد الخام'!$B$5:$B$104,MATCH($C682,'المواد الخام'!$A$5:$A$104,0)),IFERROR(INDEX(المنتجات!$C$5:$C$24,MATCH($C682,المنتجات!$A$5:$A$24,0)),"كود غير موجود")))</f>
        <v/>
      </c>
      <c r="E682" s="24"/>
      <c r="F682" s="28" t="str">
        <f aca="false">IF($C682="","",IFERROR(INDEX('المواد الخام'!$D$5:$D$104,MATCH($C682,'المواد الخام'!$A$5:$A$104,0)),"حبة"))</f>
        <v/>
      </c>
      <c r="G682" s="30"/>
      <c r="H682" s="29"/>
      <c r="I682" s="29"/>
    </row>
    <row r="683" customFormat="false" ht="15" hidden="false" customHeight="false" outlineLevel="0" collapsed="false">
      <c r="A683" s="32"/>
      <c r="B683" s="29"/>
      <c r="C683" s="29"/>
      <c r="D683" s="28" t="str">
        <f aca="false">IF($C683="","",IFERROR(INDEX('المواد الخام'!$B$5:$B$104,MATCH($C683,'المواد الخام'!$A$5:$A$104,0)),IFERROR(INDEX(المنتجات!$C$5:$C$24,MATCH($C683,المنتجات!$A$5:$A$24,0)),"كود غير موجود")))</f>
        <v/>
      </c>
      <c r="E683" s="24"/>
      <c r="F683" s="28" t="str">
        <f aca="false">IF($C683="","",IFERROR(INDEX('المواد الخام'!$D$5:$D$104,MATCH($C683,'المواد الخام'!$A$5:$A$104,0)),"حبة"))</f>
        <v/>
      </c>
      <c r="G683" s="30"/>
      <c r="H683" s="29"/>
      <c r="I683" s="29"/>
    </row>
    <row r="684" customFormat="false" ht="15" hidden="false" customHeight="false" outlineLevel="0" collapsed="false">
      <c r="A684" s="32"/>
      <c r="B684" s="29"/>
      <c r="C684" s="29"/>
      <c r="D684" s="28" t="str">
        <f aca="false">IF($C684="","",IFERROR(INDEX('المواد الخام'!$B$5:$B$104,MATCH($C684,'المواد الخام'!$A$5:$A$104,0)),IFERROR(INDEX(المنتجات!$C$5:$C$24,MATCH($C684,المنتجات!$A$5:$A$24,0)),"كود غير موجود")))</f>
        <v/>
      </c>
      <c r="E684" s="24"/>
      <c r="F684" s="28" t="str">
        <f aca="false">IF($C684="","",IFERROR(INDEX('المواد الخام'!$D$5:$D$104,MATCH($C684,'المواد الخام'!$A$5:$A$104,0)),"حبة"))</f>
        <v/>
      </c>
      <c r="G684" s="30"/>
      <c r="H684" s="29"/>
      <c r="I684" s="29"/>
    </row>
    <row r="685" customFormat="false" ht="15" hidden="false" customHeight="false" outlineLevel="0" collapsed="false">
      <c r="A685" s="32"/>
      <c r="B685" s="29"/>
      <c r="C685" s="29"/>
      <c r="D685" s="28" t="str">
        <f aca="false">IF($C685="","",IFERROR(INDEX('المواد الخام'!$B$5:$B$104,MATCH($C685,'المواد الخام'!$A$5:$A$104,0)),IFERROR(INDEX(المنتجات!$C$5:$C$24,MATCH($C685,المنتجات!$A$5:$A$24,0)),"كود غير موجود")))</f>
        <v/>
      </c>
      <c r="E685" s="24"/>
      <c r="F685" s="28" t="str">
        <f aca="false">IF($C685="","",IFERROR(INDEX('المواد الخام'!$D$5:$D$104,MATCH($C685,'المواد الخام'!$A$5:$A$104,0)),"حبة"))</f>
        <v/>
      </c>
      <c r="G685" s="30"/>
      <c r="H685" s="29"/>
      <c r="I685" s="29"/>
    </row>
    <row r="686" customFormat="false" ht="15" hidden="false" customHeight="false" outlineLevel="0" collapsed="false">
      <c r="A686" s="32"/>
      <c r="B686" s="29"/>
      <c r="C686" s="29"/>
      <c r="D686" s="28" t="str">
        <f aca="false">IF($C686="","",IFERROR(INDEX('المواد الخام'!$B$5:$B$104,MATCH($C686,'المواد الخام'!$A$5:$A$104,0)),IFERROR(INDEX(المنتجات!$C$5:$C$24,MATCH($C686,المنتجات!$A$5:$A$24,0)),"كود غير موجود")))</f>
        <v/>
      </c>
      <c r="E686" s="24"/>
      <c r="F686" s="28" t="str">
        <f aca="false">IF($C686="","",IFERROR(INDEX('المواد الخام'!$D$5:$D$104,MATCH($C686,'المواد الخام'!$A$5:$A$104,0)),"حبة"))</f>
        <v/>
      </c>
      <c r="G686" s="30"/>
      <c r="H686" s="29"/>
      <c r="I686" s="29"/>
    </row>
    <row r="687" customFormat="false" ht="15" hidden="false" customHeight="false" outlineLevel="0" collapsed="false">
      <c r="A687" s="32"/>
      <c r="B687" s="29"/>
      <c r="C687" s="29"/>
      <c r="D687" s="28" t="str">
        <f aca="false">IF($C687="","",IFERROR(INDEX('المواد الخام'!$B$5:$B$104,MATCH($C687,'المواد الخام'!$A$5:$A$104,0)),IFERROR(INDEX(المنتجات!$C$5:$C$24,MATCH($C687,المنتجات!$A$5:$A$24,0)),"كود غير موجود")))</f>
        <v/>
      </c>
      <c r="E687" s="24"/>
      <c r="F687" s="28" t="str">
        <f aca="false">IF($C687="","",IFERROR(INDEX('المواد الخام'!$D$5:$D$104,MATCH($C687,'المواد الخام'!$A$5:$A$104,0)),"حبة"))</f>
        <v/>
      </c>
      <c r="G687" s="30"/>
      <c r="H687" s="29"/>
      <c r="I687" s="29"/>
    </row>
    <row r="688" customFormat="false" ht="15" hidden="false" customHeight="false" outlineLevel="0" collapsed="false">
      <c r="A688" s="32"/>
      <c r="B688" s="29"/>
      <c r="C688" s="29"/>
      <c r="D688" s="28" t="str">
        <f aca="false">IF($C688="","",IFERROR(INDEX('المواد الخام'!$B$5:$B$104,MATCH($C688,'المواد الخام'!$A$5:$A$104,0)),IFERROR(INDEX(المنتجات!$C$5:$C$24,MATCH($C688,المنتجات!$A$5:$A$24,0)),"كود غير موجود")))</f>
        <v/>
      </c>
      <c r="E688" s="24"/>
      <c r="F688" s="28" t="str">
        <f aca="false">IF($C688="","",IFERROR(INDEX('المواد الخام'!$D$5:$D$104,MATCH($C688,'المواد الخام'!$A$5:$A$104,0)),"حبة"))</f>
        <v/>
      </c>
      <c r="G688" s="30"/>
      <c r="H688" s="29"/>
      <c r="I688" s="29"/>
    </row>
    <row r="689" customFormat="false" ht="15" hidden="false" customHeight="false" outlineLevel="0" collapsed="false">
      <c r="A689" s="32"/>
      <c r="B689" s="29"/>
      <c r="C689" s="29"/>
      <c r="D689" s="28" t="str">
        <f aca="false">IF($C689="","",IFERROR(INDEX('المواد الخام'!$B$5:$B$104,MATCH($C689,'المواد الخام'!$A$5:$A$104,0)),IFERROR(INDEX(المنتجات!$C$5:$C$24,MATCH($C689,المنتجات!$A$5:$A$24,0)),"كود غير موجود")))</f>
        <v/>
      </c>
      <c r="E689" s="24"/>
      <c r="F689" s="28" t="str">
        <f aca="false">IF($C689="","",IFERROR(INDEX('المواد الخام'!$D$5:$D$104,MATCH($C689,'المواد الخام'!$A$5:$A$104,0)),"حبة"))</f>
        <v/>
      </c>
      <c r="G689" s="30"/>
      <c r="H689" s="29"/>
      <c r="I689" s="29"/>
    </row>
    <row r="690" customFormat="false" ht="15" hidden="false" customHeight="false" outlineLevel="0" collapsed="false">
      <c r="A690" s="32"/>
      <c r="B690" s="29"/>
      <c r="C690" s="29"/>
      <c r="D690" s="28" t="str">
        <f aca="false">IF($C690="","",IFERROR(INDEX('المواد الخام'!$B$5:$B$104,MATCH($C690,'المواد الخام'!$A$5:$A$104,0)),IFERROR(INDEX(المنتجات!$C$5:$C$24,MATCH($C690,المنتجات!$A$5:$A$24,0)),"كود غير موجود")))</f>
        <v/>
      </c>
      <c r="E690" s="24"/>
      <c r="F690" s="28" t="str">
        <f aca="false">IF($C690="","",IFERROR(INDEX('المواد الخام'!$D$5:$D$104,MATCH($C690,'المواد الخام'!$A$5:$A$104,0)),"حبة"))</f>
        <v/>
      </c>
      <c r="G690" s="30"/>
      <c r="H690" s="29"/>
      <c r="I690" s="29"/>
    </row>
    <row r="691" customFormat="false" ht="15" hidden="false" customHeight="false" outlineLevel="0" collapsed="false">
      <c r="A691" s="32"/>
      <c r="B691" s="29"/>
      <c r="C691" s="29"/>
      <c r="D691" s="28" t="str">
        <f aca="false">IF($C691="","",IFERROR(INDEX('المواد الخام'!$B$5:$B$104,MATCH($C691,'المواد الخام'!$A$5:$A$104,0)),IFERROR(INDEX(المنتجات!$C$5:$C$24,MATCH($C691,المنتجات!$A$5:$A$24,0)),"كود غير موجود")))</f>
        <v/>
      </c>
      <c r="E691" s="24"/>
      <c r="F691" s="28" t="str">
        <f aca="false">IF($C691="","",IFERROR(INDEX('المواد الخام'!$D$5:$D$104,MATCH($C691,'المواد الخام'!$A$5:$A$104,0)),"حبة"))</f>
        <v/>
      </c>
      <c r="G691" s="30"/>
      <c r="H691" s="29"/>
      <c r="I691" s="29"/>
    </row>
    <row r="692" customFormat="false" ht="15" hidden="false" customHeight="false" outlineLevel="0" collapsed="false">
      <c r="A692" s="32"/>
      <c r="B692" s="29"/>
      <c r="C692" s="29"/>
      <c r="D692" s="28" t="str">
        <f aca="false">IF($C692="","",IFERROR(INDEX('المواد الخام'!$B$5:$B$104,MATCH($C692,'المواد الخام'!$A$5:$A$104,0)),IFERROR(INDEX(المنتجات!$C$5:$C$24,MATCH($C692,المنتجات!$A$5:$A$24,0)),"كود غير موجود")))</f>
        <v/>
      </c>
      <c r="E692" s="24"/>
      <c r="F692" s="28" t="str">
        <f aca="false">IF($C692="","",IFERROR(INDEX('المواد الخام'!$D$5:$D$104,MATCH($C692,'المواد الخام'!$A$5:$A$104,0)),"حبة"))</f>
        <v/>
      </c>
      <c r="G692" s="30"/>
      <c r="H692" s="29"/>
      <c r="I692" s="29"/>
    </row>
    <row r="693" customFormat="false" ht="15" hidden="false" customHeight="false" outlineLevel="0" collapsed="false">
      <c r="A693" s="32"/>
      <c r="B693" s="29"/>
      <c r="C693" s="29"/>
      <c r="D693" s="28" t="str">
        <f aca="false">IF($C693="","",IFERROR(INDEX('المواد الخام'!$B$5:$B$104,MATCH($C693,'المواد الخام'!$A$5:$A$104,0)),IFERROR(INDEX(المنتجات!$C$5:$C$24,MATCH($C693,المنتجات!$A$5:$A$24,0)),"كود غير موجود")))</f>
        <v/>
      </c>
      <c r="E693" s="24"/>
      <c r="F693" s="28" t="str">
        <f aca="false">IF($C693="","",IFERROR(INDEX('المواد الخام'!$D$5:$D$104,MATCH($C693,'المواد الخام'!$A$5:$A$104,0)),"حبة"))</f>
        <v/>
      </c>
      <c r="G693" s="30"/>
      <c r="H693" s="29"/>
      <c r="I693" s="29"/>
    </row>
    <row r="694" customFormat="false" ht="15" hidden="false" customHeight="false" outlineLevel="0" collapsed="false">
      <c r="A694" s="32"/>
      <c r="B694" s="29"/>
      <c r="C694" s="29"/>
      <c r="D694" s="28" t="str">
        <f aca="false">IF($C694="","",IFERROR(INDEX('المواد الخام'!$B$5:$B$104,MATCH($C694,'المواد الخام'!$A$5:$A$104,0)),IFERROR(INDEX(المنتجات!$C$5:$C$24,MATCH($C694,المنتجات!$A$5:$A$24,0)),"كود غير موجود")))</f>
        <v/>
      </c>
      <c r="E694" s="24"/>
      <c r="F694" s="28" t="str">
        <f aca="false">IF($C694="","",IFERROR(INDEX('المواد الخام'!$D$5:$D$104,MATCH($C694,'المواد الخام'!$A$5:$A$104,0)),"حبة"))</f>
        <v/>
      </c>
      <c r="G694" s="30"/>
      <c r="H694" s="29"/>
      <c r="I694" s="29"/>
    </row>
    <row r="695" customFormat="false" ht="15" hidden="false" customHeight="false" outlineLevel="0" collapsed="false">
      <c r="A695" s="32"/>
      <c r="B695" s="29"/>
      <c r="C695" s="29"/>
      <c r="D695" s="28" t="str">
        <f aca="false">IF($C695="","",IFERROR(INDEX('المواد الخام'!$B$5:$B$104,MATCH($C695,'المواد الخام'!$A$5:$A$104,0)),IFERROR(INDEX(المنتجات!$C$5:$C$24,MATCH($C695,المنتجات!$A$5:$A$24,0)),"كود غير موجود")))</f>
        <v/>
      </c>
      <c r="E695" s="24"/>
      <c r="F695" s="28" t="str">
        <f aca="false">IF($C695="","",IFERROR(INDEX('المواد الخام'!$D$5:$D$104,MATCH($C695,'المواد الخام'!$A$5:$A$104,0)),"حبة"))</f>
        <v/>
      </c>
      <c r="G695" s="30"/>
      <c r="H695" s="29"/>
      <c r="I695" s="29"/>
    </row>
    <row r="696" customFormat="false" ht="15" hidden="false" customHeight="false" outlineLevel="0" collapsed="false">
      <c r="A696" s="32"/>
      <c r="B696" s="29"/>
      <c r="C696" s="29"/>
      <c r="D696" s="28" t="str">
        <f aca="false">IF($C696="","",IFERROR(INDEX('المواد الخام'!$B$5:$B$104,MATCH($C696,'المواد الخام'!$A$5:$A$104,0)),IFERROR(INDEX(المنتجات!$C$5:$C$24,MATCH($C696,المنتجات!$A$5:$A$24,0)),"كود غير موجود")))</f>
        <v/>
      </c>
      <c r="E696" s="24"/>
      <c r="F696" s="28" t="str">
        <f aca="false">IF($C696="","",IFERROR(INDEX('المواد الخام'!$D$5:$D$104,MATCH($C696,'المواد الخام'!$A$5:$A$104,0)),"حبة"))</f>
        <v/>
      </c>
      <c r="G696" s="30"/>
      <c r="H696" s="29"/>
      <c r="I696" s="29"/>
    </row>
    <row r="697" customFormat="false" ht="15" hidden="false" customHeight="false" outlineLevel="0" collapsed="false">
      <c r="A697" s="32"/>
      <c r="B697" s="29"/>
      <c r="C697" s="29"/>
      <c r="D697" s="28" t="str">
        <f aca="false">IF($C697="","",IFERROR(INDEX('المواد الخام'!$B$5:$B$104,MATCH($C697,'المواد الخام'!$A$5:$A$104,0)),IFERROR(INDEX(المنتجات!$C$5:$C$24,MATCH($C697,المنتجات!$A$5:$A$24,0)),"كود غير موجود")))</f>
        <v/>
      </c>
      <c r="E697" s="24"/>
      <c r="F697" s="28" t="str">
        <f aca="false">IF($C697="","",IFERROR(INDEX('المواد الخام'!$D$5:$D$104,MATCH($C697,'المواد الخام'!$A$5:$A$104,0)),"حبة"))</f>
        <v/>
      </c>
      <c r="G697" s="30"/>
      <c r="H697" s="29"/>
      <c r="I697" s="29"/>
    </row>
    <row r="698" customFormat="false" ht="15" hidden="false" customHeight="false" outlineLevel="0" collapsed="false">
      <c r="A698" s="32"/>
      <c r="B698" s="29"/>
      <c r="C698" s="29"/>
      <c r="D698" s="28" t="str">
        <f aca="false">IF($C698="","",IFERROR(INDEX('المواد الخام'!$B$5:$B$104,MATCH($C698,'المواد الخام'!$A$5:$A$104,0)),IFERROR(INDEX(المنتجات!$C$5:$C$24,MATCH($C698,المنتجات!$A$5:$A$24,0)),"كود غير موجود")))</f>
        <v/>
      </c>
      <c r="E698" s="24"/>
      <c r="F698" s="28" t="str">
        <f aca="false">IF($C698="","",IFERROR(INDEX('المواد الخام'!$D$5:$D$104,MATCH($C698,'المواد الخام'!$A$5:$A$104,0)),"حبة"))</f>
        <v/>
      </c>
      <c r="G698" s="30"/>
      <c r="H698" s="29"/>
      <c r="I698" s="29"/>
    </row>
    <row r="699" customFormat="false" ht="15" hidden="false" customHeight="false" outlineLevel="0" collapsed="false">
      <c r="A699" s="32"/>
      <c r="B699" s="29"/>
      <c r="C699" s="29"/>
      <c r="D699" s="28" t="str">
        <f aca="false">IF($C699="","",IFERROR(INDEX('المواد الخام'!$B$5:$B$104,MATCH($C699,'المواد الخام'!$A$5:$A$104,0)),IFERROR(INDEX(المنتجات!$C$5:$C$24,MATCH($C699,المنتجات!$A$5:$A$24,0)),"كود غير موجود")))</f>
        <v/>
      </c>
      <c r="E699" s="24"/>
      <c r="F699" s="28" t="str">
        <f aca="false">IF($C699="","",IFERROR(INDEX('المواد الخام'!$D$5:$D$104,MATCH($C699,'المواد الخام'!$A$5:$A$104,0)),"حبة"))</f>
        <v/>
      </c>
      <c r="G699" s="30"/>
      <c r="H699" s="29"/>
      <c r="I699" s="29"/>
    </row>
    <row r="700" customFormat="false" ht="15" hidden="false" customHeight="false" outlineLevel="0" collapsed="false">
      <c r="A700" s="32"/>
      <c r="B700" s="29"/>
      <c r="C700" s="29"/>
      <c r="D700" s="28" t="str">
        <f aca="false">IF($C700="","",IFERROR(INDEX('المواد الخام'!$B$5:$B$104,MATCH($C700,'المواد الخام'!$A$5:$A$104,0)),IFERROR(INDEX(المنتجات!$C$5:$C$24,MATCH($C700,المنتجات!$A$5:$A$24,0)),"كود غير موجود")))</f>
        <v/>
      </c>
      <c r="E700" s="24"/>
      <c r="F700" s="28" t="str">
        <f aca="false">IF($C700="","",IFERROR(INDEX('المواد الخام'!$D$5:$D$104,MATCH($C700,'المواد الخام'!$A$5:$A$104,0)),"حبة"))</f>
        <v/>
      </c>
      <c r="G700" s="30"/>
      <c r="H700" s="29"/>
      <c r="I700" s="29"/>
    </row>
    <row r="701" customFormat="false" ht="15" hidden="false" customHeight="false" outlineLevel="0" collapsed="false">
      <c r="A701" s="32"/>
      <c r="B701" s="29"/>
      <c r="C701" s="29"/>
      <c r="D701" s="28" t="str">
        <f aca="false">IF($C701="","",IFERROR(INDEX('المواد الخام'!$B$5:$B$104,MATCH($C701,'المواد الخام'!$A$5:$A$104,0)),IFERROR(INDEX(المنتجات!$C$5:$C$24,MATCH($C701,المنتجات!$A$5:$A$24,0)),"كود غير موجود")))</f>
        <v/>
      </c>
      <c r="E701" s="24"/>
      <c r="F701" s="28" t="str">
        <f aca="false">IF($C701="","",IFERROR(INDEX('المواد الخام'!$D$5:$D$104,MATCH($C701,'المواد الخام'!$A$5:$A$104,0)),"حبة"))</f>
        <v/>
      </c>
      <c r="G701" s="30"/>
      <c r="H701" s="29"/>
      <c r="I701" s="29"/>
    </row>
    <row r="702" customFormat="false" ht="15" hidden="false" customHeight="false" outlineLevel="0" collapsed="false">
      <c r="A702" s="32"/>
      <c r="B702" s="29"/>
      <c r="C702" s="29"/>
      <c r="D702" s="28" t="str">
        <f aca="false">IF($C702="","",IFERROR(INDEX('المواد الخام'!$B$5:$B$104,MATCH($C702,'المواد الخام'!$A$5:$A$104,0)),IFERROR(INDEX(المنتجات!$C$5:$C$24,MATCH($C702,المنتجات!$A$5:$A$24,0)),"كود غير موجود")))</f>
        <v/>
      </c>
      <c r="E702" s="24"/>
      <c r="F702" s="28" t="str">
        <f aca="false">IF($C702="","",IFERROR(INDEX('المواد الخام'!$D$5:$D$104,MATCH($C702,'المواد الخام'!$A$5:$A$104,0)),"حبة"))</f>
        <v/>
      </c>
      <c r="G702" s="30"/>
      <c r="H702" s="29"/>
      <c r="I702" s="29"/>
    </row>
    <row r="703" customFormat="false" ht="15" hidden="false" customHeight="false" outlineLevel="0" collapsed="false">
      <c r="A703" s="32"/>
      <c r="B703" s="29"/>
      <c r="C703" s="29"/>
      <c r="D703" s="28" t="str">
        <f aca="false">IF($C703="","",IFERROR(INDEX('المواد الخام'!$B$5:$B$104,MATCH($C703,'المواد الخام'!$A$5:$A$104,0)),IFERROR(INDEX(المنتجات!$C$5:$C$24,MATCH($C703,المنتجات!$A$5:$A$24,0)),"كود غير موجود")))</f>
        <v/>
      </c>
      <c r="E703" s="24"/>
      <c r="F703" s="28" t="str">
        <f aca="false">IF($C703="","",IFERROR(INDEX('المواد الخام'!$D$5:$D$104,MATCH($C703,'المواد الخام'!$A$5:$A$104,0)),"حبة"))</f>
        <v/>
      </c>
      <c r="G703" s="30"/>
      <c r="H703" s="29"/>
      <c r="I703" s="29"/>
    </row>
    <row r="704" customFormat="false" ht="15" hidden="false" customHeight="false" outlineLevel="0" collapsed="false">
      <c r="A704" s="32"/>
      <c r="B704" s="29"/>
      <c r="C704" s="29"/>
      <c r="D704" s="28" t="str">
        <f aca="false">IF($C704="","",IFERROR(INDEX('المواد الخام'!$B$5:$B$104,MATCH($C704,'المواد الخام'!$A$5:$A$104,0)),IFERROR(INDEX(المنتجات!$C$5:$C$24,MATCH($C704,المنتجات!$A$5:$A$24,0)),"كود غير موجود")))</f>
        <v/>
      </c>
      <c r="E704" s="24"/>
      <c r="F704" s="28" t="str">
        <f aca="false">IF($C704="","",IFERROR(INDEX('المواد الخام'!$D$5:$D$104,MATCH($C704,'المواد الخام'!$A$5:$A$104,0)),"حبة"))</f>
        <v/>
      </c>
      <c r="G704" s="30"/>
      <c r="H704" s="29"/>
      <c r="I704" s="29"/>
    </row>
    <row r="705" customFormat="false" ht="15" hidden="false" customHeight="false" outlineLevel="0" collapsed="false">
      <c r="A705" s="32"/>
      <c r="B705" s="29"/>
      <c r="C705" s="29"/>
      <c r="D705" s="28" t="str">
        <f aca="false">IF($C705="","",IFERROR(INDEX('المواد الخام'!$B$5:$B$104,MATCH($C705,'المواد الخام'!$A$5:$A$104,0)),IFERROR(INDEX(المنتجات!$C$5:$C$24,MATCH($C705,المنتجات!$A$5:$A$24,0)),"كود غير موجود")))</f>
        <v/>
      </c>
      <c r="E705" s="24"/>
      <c r="F705" s="28" t="str">
        <f aca="false">IF($C705="","",IFERROR(INDEX('المواد الخام'!$D$5:$D$104,MATCH($C705,'المواد الخام'!$A$5:$A$104,0)),"حبة"))</f>
        <v/>
      </c>
      <c r="G705" s="30"/>
      <c r="H705" s="29"/>
      <c r="I705" s="29"/>
    </row>
    <row r="706" customFormat="false" ht="15" hidden="false" customHeight="false" outlineLevel="0" collapsed="false">
      <c r="A706" s="32"/>
      <c r="B706" s="29"/>
      <c r="C706" s="29"/>
      <c r="D706" s="28" t="str">
        <f aca="false">IF($C706="","",IFERROR(INDEX('المواد الخام'!$B$5:$B$104,MATCH($C706,'المواد الخام'!$A$5:$A$104,0)),IFERROR(INDEX(المنتجات!$C$5:$C$24,MATCH($C706,المنتجات!$A$5:$A$24,0)),"كود غير موجود")))</f>
        <v/>
      </c>
      <c r="E706" s="24"/>
      <c r="F706" s="28" t="str">
        <f aca="false">IF($C706="","",IFERROR(INDEX('المواد الخام'!$D$5:$D$104,MATCH($C706,'المواد الخام'!$A$5:$A$104,0)),"حبة"))</f>
        <v/>
      </c>
      <c r="G706" s="30"/>
      <c r="H706" s="29"/>
      <c r="I706" s="29"/>
    </row>
    <row r="707" customFormat="false" ht="15" hidden="false" customHeight="false" outlineLevel="0" collapsed="false">
      <c r="A707" s="32"/>
      <c r="B707" s="29"/>
      <c r="C707" s="29"/>
      <c r="D707" s="28" t="str">
        <f aca="false">IF($C707="","",IFERROR(INDEX('المواد الخام'!$B$5:$B$104,MATCH($C707,'المواد الخام'!$A$5:$A$104,0)),IFERROR(INDEX(المنتجات!$C$5:$C$24,MATCH($C707,المنتجات!$A$5:$A$24,0)),"كود غير موجود")))</f>
        <v/>
      </c>
      <c r="E707" s="24"/>
      <c r="F707" s="28" t="str">
        <f aca="false">IF($C707="","",IFERROR(INDEX('المواد الخام'!$D$5:$D$104,MATCH($C707,'المواد الخام'!$A$5:$A$104,0)),"حبة"))</f>
        <v/>
      </c>
      <c r="G707" s="30"/>
      <c r="H707" s="29"/>
      <c r="I707" s="29"/>
    </row>
    <row r="708" customFormat="false" ht="15" hidden="false" customHeight="false" outlineLevel="0" collapsed="false">
      <c r="A708" s="32"/>
      <c r="B708" s="29"/>
      <c r="C708" s="29"/>
      <c r="D708" s="28" t="str">
        <f aca="false">IF($C708="","",IFERROR(INDEX('المواد الخام'!$B$5:$B$104,MATCH($C708,'المواد الخام'!$A$5:$A$104,0)),IFERROR(INDEX(المنتجات!$C$5:$C$24,MATCH($C708,المنتجات!$A$5:$A$24,0)),"كود غير موجود")))</f>
        <v/>
      </c>
      <c r="E708" s="24"/>
      <c r="F708" s="28" t="str">
        <f aca="false">IF($C708="","",IFERROR(INDEX('المواد الخام'!$D$5:$D$104,MATCH($C708,'المواد الخام'!$A$5:$A$104,0)),"حبة"))</f>
        <v/>
      </c>
      <c r="G708" s="30"/>
      <c r="H708" s="29"/>
      <c r="I708" s="29"/>
    </row>
    <row r="709" customFormat="false" ht="15" hidden="false" customHeight="false" outlineLevel="0" collapsed="false">
      <c r="A709" s="32"/>
      <c r="B709" s="29"/>
      <c r="C709" s="29"/>
      <c r="D709" s="28" t="str">
        <f aca="false">IF($C709="","",IFERROR(INDEX('المواد الخام'!$B$5:$B$104,MATCH($C709,'المواد الخام'!$A$5:$A$104,0)),IFERROR(INDEX(المنتجات!$C$5:$C$24,MATCH($C709,المنتجات!$A$5:$A$24,0)),"كود غير موجود")))</f>
        <v/>
      </c>
      <c r="E709" s="24"/>
      <c r="F709" s="28" t="str">
        <f aca="false">IF($C709="","",IFERROR(INDEX('المواد الخام'!$D$5:$D$104,MATCH($C709,'المواد الخام'!$A$5:$A$104,0)),"حبة"))</f>
        <v/>
      </c>
      <c r="G709" s="30"/>
      <c r="H709" s="29"/>
      <c r="I709" s="29"/>
    </row>
    <row r="710" customFormat="false" ht="15" hidden="false" customHeight="false" outlineLevel="0" collapsed="false">
      <c r="A710" s="32"/>
      <c r="B710" s="29"/>
      <c r="C710" s="29"/>
      <c r="D710" s="28" t="str">
        <f aca="false">IF($C710="","",IFERROR(INDEX('المواد الخام'!$B$5:$B$104,MATCH($C710,'المواد الخام'!$A$5:$A$104,0)),IFERROR(INDEX(المنتجات!$C$5:$C$24,MATCH($C710,المنتجات!$A$5:$A$24,0)),"كود غير موجود")))</f>
        <v/>
      </c>
      <c r="E710" s="24"/>
      <c r="F710" s="28" t="str">
        <f aca="false">IF($C710="","",IFERROR(INDEX('المواد الخام'!$D$5:$D$104,MATCH($C710,'المواد الخام'!$A$5:$A$104,0)),"حبة"))</f>
        <v/>
      </c>
      <c r="G710" s="30"/>
      <c r="H710" s="29"/>
      <c r="I710" s="29"/>
    </row>
    <row r="711" customFormat="false" ht="15" hidden="false" customHeight="false" outlineLevel="0" collapsed="false">
      <c r="A711" s="32"/>
      <c r="B711" s="29"/>
      <c r="C711" s="29"/>
      <c r="D711" s="28" t="str">
        <f aca="false">IF($C711="","",IFERROR(INDEX('المواد الخام'!$B$5:$B$104,MATCH($C711,'المواد الخام'!$A$5:$A$104,0)),IFERROR(INDEX(المنتجات!$C$5:$C$24,MATCH($C711,المنتجات!$A$5:$A$24,0)),"كود غير موجود")))</f>
        <v/>
      </c>
      <c r="E711" s="24"/>
      <c r="F711" s="28" t="str">
        <f aca="false">IF($C711="","",IFERROR(INDEX('المواد الخام'!$D$5:$D$104,MATCH($C711,'المواد الخام'!$A$5:$A$104,0)),"حبة"))</f>
        <v/>
      </c>
      <c r="G711" s="30"/>
      <c r="H711" s="29"/>
      <c r="I711" s="29"/>
    </row>
    <row r="712" customFormat="false" ht="15" hidden="false" customHeight="false" outlineLevel="0" collapsed="false">
      <c r="A712" s="32"/>
      <c r="B712" s="29"/>
      <c r="C712" s="29"/>
      <c r="D712" s="28" t="str">
        <f aca="false">IF($C712="","",IFERROR(INDEX('المواد الخام'!$B$5:$B$104,MATCH($C712,'المواد الخام'!$A$5:$A$104,0)),IFERROR(INDEX(المنتجات!$C$5:$C$24,MATCH($C712,المنتجات!$A$5:$A$24,0)),"كود غير موجود")))</f>
        <v/>
      </c>
      <c r="E712" s="24"/>
      <c r="F712" s="28" t="str">
        <f aca="false">IF($C712="","",IFERROR(INDEX('المواد الخام'!$D$5:$D$104,MATCH($C712,'المواد الخام'!$A$5:$A$104,0)),"حبة"))</f>
        <v/>
      </c>
      <c r="G712" s="30"/>
      <c r="H712" s="29"/>
      <c r="I712" s="29"/>
    </row>
    <row r="713" customFormat="false" ht="15" hidden="false" customHeight="false" outlineLevel="0" collapsed="false">
      <c r="A713" s="32"/>
      <c r="B713" s="29"/>
      <c r="C713" s="29"/>
      <c r="D713" s="28" t="str">
        <f aca="false">IF($C713="","",IFERROR(INDEX('المواد الخام'!$B$5:$B$104,MATCH($C713,'المواد الخام'!$A$5:$A$104,0)),IFERROR(INDEX(المنتجات!$C$5:$C$24,MATCH($C713,المنتجات!$A$5:$A$24,0)),"كود غير موجود")))</f>
        <v/>
      </c>
      <c r="E713" s="24"/>
      <c r="F713" s="28" t="str">
        <f aca="false">IF($C713="","",IFERROR(INDEX('المواد الخام'!$D$5:$D$104,MATCH($C713,'المواد الخام'!$A$5:$A$104,0)),"حبة"))</f>
        <v/>
      </c>
      <c r="G713" s="30"/>
      <c r="H713" s="29"/>
      <c r="I713" s="29"/>
    </row>
    <row r="714" customFormat="false" ht="15" hidden="false" customHeight="false" outlineLevel="0" collapsed="false">
      <c r="A714" s="32"/>
      <c r="B714" s="29"/>
      <c r="C714" s="29"/>
      <c r="D714" s="28" t="str">
        <f aca="false">IF($C714="","",IFERROR(INDEX('المواد الخام'!$B$5:$B$104,MATCH($C714,'المواد الخام'!$A$5:$A$104,0)),IFERROR(INDEX(المنتجات!$C$5:$C$24,MATCH($C714,المنتجات!$A$5:$A$24,0)),"كود غير موجود")))</f>
        <v/>
      </c>
      <c r="E714" s="24"/>
      <c r="F714" s="28" t="str">
        <f aca="false">IF($C714="","",IFERROR(INDEX('المواد الخام'!$D$5:$D$104,MATCH($C714,'المواد الخام'!$A$5:$A$104,0)),"حبة"))</f>
        <v/>
      </c>
      <c r="G714" s="30"/>
      <c r="H714" s="29"/>
      <c r="I714" s="29"/>
    </row>
    <row r="715" customFormat="false" ht="15" hidden="false" customHeight="false" outlineLevel="0" collapsed="false">
      <c r="A715" s="32"/>
      <c r="B715" s="29"/>
      <c r="C715" s="29"/>
      <c r="D715" s="28" t="str">
        <f aca="false">IF($C715="","",IFERROR(INDEX('المواد الخام'!$B$5:$B$104,MATCH($C715,'المواد الخام'!$A$5:$A$104,0)),IFERROR(INDEX(المنتجات!$C$5:$C$24,MATCH($C715,المنتجات!$A$5:$A$24,0)),"كود غير موجود")))</f>
        <v/>
      </c>
      <c r="E715" s="24"/>
      <c r="F715" s="28" t="str">
        <f aca="false">IF($C715="","",IFERROR(INDEX('المواد الخام'!$D$5:$D$104,MATCH($C715,'المواد الخام'!$A$5:$A$104,0)),"حبة"))</f>
        <v/>
      </c>
      <c r="G715" s="30"/>
      <c r="H715" s="29"/>
      <c r="I715" s="29"/>
    </row>
    <row r="716" customFormat="false" ht="15" hidden="false" customHeight="false" outlineLevel="0" collapsed="false">
      <c r="A716" s="32"/>
      <c r="B716" s="29"/>
      <c r="C716" s="29"/>
      <c r="D716" s="28" t="str">
        <f aca="false">IF($C716="","",IFERROR(INDEX('المواد الخام'!$B$5:$B$104,MATCH($C716,'المواد الخام'!$A$5:$A$104,0)),IFERROR(INDEX(المنتجات!$C$5:$C$24,MATCH($C716,المنتجات!$A$5:$A$24,0)),"كود غير موجود")))</f>
        <v/>
      </c>
      <c r="E716" s="24"/>
      <c r="F716" s="28" t="str">
        <f aca="false">IF($C716="","",IFERROR(INDEX('المواد الخام'!$D$5:$D$104,MATCH($C716,'المواد الخام'!$A$5:$A$104,0)),"حبة"))</f>
        <v/>
      </c>
      <c r="G716" s="30"/>
      <c r="H716" s="29"/>
      <c r="I716" s="29"/>
    </row>
    <row r="717" customFormat="false" ht="15" hidden="false" customHeight="false" outlineLevel="0" collapsed="false">
      <c r="A717" s="32"/>
      <c r="B717" s="29"/>
      <c r="C717" s="29"/>
      <c r="D717" s="28" t="str">
        <f aca="false">IF($C717="","",IFERROR(INDEX('المواد الخام'!$B$5:$B$104,MATCH($C717,'المواد الخام'!$A$5:$A$104,0)),IFERROR(INDEX(المنتجات!$C$5:$C$24,MATCH($C717,المنتجات!$A$5:$A$24,0)),"كود غير موجود")))</f>
        <v/>
      </c>
      <c r="E717" s="24"/>
      <c r="F717" s="28" t="str">
        <f aca="false">IF($C717="","",IFERROR(INDEX('المواد الخام'!$D$5:$D$104,MATCH($C717,'المواد الخام'!$A$5:$A$104,0)),"حبة"))</f>
        <v/>
      </c>
      <c r="G717" s="30"/>
      <c r="H717" s="29"/>
      <c r="I717" s="29"/>
    </row>
    <row r="718" customFormat="false" ht="15" hidden="false" customHeight="false" outlineLevel="0" collapsed="false">
      <c r="A718" s="32"/>
      <c r="B718" s="29"/>
      <c r="C718" s="29"/>
      <c r="D718" s="28" t="str">
        <f aca="false">IF($C718="","",IFERROR(INDEX('المواد الخام'!$B$5:$B$104,MATCH($C718,'المواد الخام'!$A$5:$A$104,0)),IFERROR(INDEX(المنتجات!$C$5:$C$24,MATCH($C718,المنتجات!$A$5:$A$24,0)),"كود غير موجود")))</f>
        <v/>
      </c>
      <c r="E718" s="24"/>
      <c r="F718" s="28" t="str">
        <f aca="false">IF($C718="","",IFERROR(INDEX('المواد الخام'!$D$5:$D$104,MATCH($C718,'المواد الخام'!$A$5:$A$104,0)),"حبة"))</f>
        <v/>
      </c>
      <c r="G718" s="30"/>
      <c r="H718" s="29"/>
      <c r="I718" s="29"/>
    </row>
    <row r="719" customFormat="false" ht="15" hidden="false" customHeight="false" outlineLevel="0" collapsed="false">
      <c r="A719" s="32"/>
      <c r="B719" s="29"/>
      <c r="C719" s="29"/>
      <c r="D719" s="28" t="str">
        <f aca="false">IF($C719="","",IFERROR(INDEX('المواد الخام'!$B$5:$B$104,MATCH($C719,'المواد الخام'!$A$5:$A$104,0)),IFERROR(INDEX(المنتجات!$C$5:$C$24,MATCH($C719,المنتجات!$A$5:$A$24,0)),"كود غير موجود")))</f>
        <v/>
      </c>
      <c r="E719" s="24"/>
      <c r="F719" s="28" t="str">
        <f aca="false">IF($C719="","",IFERROR(INDEX('المواد الخام'!$D$5:$D$104,MATCH($C719,'المواد الخام'!$A$5:$A$104,0)),"حبة"))</f>
        <v/>
      </c>
      <c r="G719" s="30"/>
      <c r="H719" s="29"/>
      <c r="I719" s="29"/>
    </row>
    <row r="720" customFormat="false" ht="15" hidden="false" customHeight="false" outlineLevel="0" collapsed="false">
      <c r="A720" s="32"/>
      <c r="B720" s="29"/>
      <c r="C720" s="29"/>
      <c r="D720" s="28" t="str">
        <f aca="false">IF($C720="","",IFERROR(INDEX('المواد الخام'!$B$5:$B$104,MATCH($C720,'المواد الخام'!$A$5:$A$104,0)),IFERROR(INDEX(المنتجات!$C$5:$C$24,MATCH($C720,المنتجات!$A$5:$A$24,0)),"كود غير موجود")))</f>
        <v/>
      </c>
      <c r="E720" s="24"/>
      <c r="F720" s="28" t="str">
        <f aca="false">IF($C720="","",IFERROR(INDEX('المواد الخام'!$D$5:$D$104,MATCH($C720,'المواد الخام'!$A$5:$A$104,0)),"حبة"))</f>
        <v/>
      </c>
      <c r="G720" s="30"/>
      <c r="H720" s="29"/>
      <c r="I720" s="29"/>
    </row>
    <row r="721" customFormat="false" ht="15" hidden="false" customHeight="false" outlineLevel="0" collapsed="false">
      <c r="A721" s="32"/>
      <c r="B721" s="29"/>
      <c r="C721" s="29"/>
      <c r="D721" s="28" t="str">
        <f aca="false">IF($C721="","",IFERROR(INDEX('المواد الخام'!$B$5:$B$104,MATCH($C721,'المواد الخام'!$A$5:$A$104,0)),IFERROR(INDEX(المنتجات!$C$5:$C$24,MATCH($C721,المنتجات!$A$5:$A$24,0)),"كود غير موجود")))</f>
        <v/>
      </c>
      <c r="E721" s="24"/>
      <c r="F721" s="28" t="str">
        <f aca="false">IF($C721="","",IFERROR(INDEX('المواد الخام'!$D$5:$D$104,MATCH($C721,'المواد الخام'!$A$5:$A$104,0)),"حبة"))</f>
        <v/>
      </c>
      <c r="G721" s="30"/>
      <c r="H721" s="29"/>
      <c r="I721" s="29"/>
    </row>
    <row r="722" customFormat="false" ht="15" hidden="false" customHeight="false" outlineLevel="0" collapsed="false">
      <c r="A722" s="32"/>
      <c r="B722" s="29"/>
      <c r="C722" s="29"/>
      <c r="D722" s="28" t="str">
        <f aca="false">IF($C722="","",IFERROR(INDEX('المواد الخام'!$B$5:$B$104,MATCH($C722,'المواد الخام'!$A$5:$A$104,0)),IFERROR(INDEX(المنتجات!$C$5:$C$24,MATCH($C722,المنتجات!$A$5:$A$24,0)),"كود غير موجود")))</f>
        <v/>
      </c>
      <c r="E722" s="24"/>
      <c r="F722" s="28" t="str">
        <f aca="false">IF($C722="","",IFERROR(INDEX('المواد الخام'!$D$5:$D$104,MATCH($C722,'المواد الخام'!$A$5:$A$104,0)),"حبة"))</f>
        <v/>
      </c>
      <c r="G722" s="30"/>
      <c r="H722" s="29"/>
      <c r="I722" s="29"/>
    </row>
    <row r="723" customFormat="false" ht="15" hidden="false" customHeight="false" outlineLevel="0" collapsed="false">
      <c r="A723" s="32"/>
      <c r="B723" s="29"/>
      <c r="C723" s="29"/>
      <c r="D723" s="28" t="str">
        <f aca="false">IF($C723="","",IFERROR(INDEX('المواد الخام'!$B$5:$B$104,MATCH($C723,'المواد الخام'!$A$5:$A$104,0)),IFERROR(INDEX(المنتجات!$C$5:$C$24,MATCH($C723,المنتجات!$A$5:$A$24,0)),"كود غير موجود")))</f>
        <v/>
      </c>
      <c r="E723" s="24"/>
      <c r="F723" s="28" t="str">
        <f aca="false">IF($C723="","",IFERROR(INDEX('المواد الخام'!$D$5:$D$104,MATCH($C723,'المواد الخام'!$A$5:$A$104,0)),"حبة"))</f>
        <v/>
      </c>
      <c r="G723" s="30"/>
      <c r="H723" s="29"/>
      <c r="I723" s="29"/>
    </row>
    <row r="724" customFormat="false" ht="15" hidden="false" customHeight="false" outlineLevel="0" collapsed="false">
      <c r="A724" s="32"/>
      <c r="B724" s="29"/>
      <c r="C724" s="29"/>
      <c r="D724" s="28" t="str">
        <f aca="false">IF($C724="","",IFERROR(INDEX('المواد الخام'!$B$5:$B$104,MATCH($C724,'المواد الخام'!$A$5:$A$104,0)),IFERROR(INDEX(المنتجات!$C$5:$C$24,MATCH($C724,المنتجات!$A$5:$A$24,0)),"كود غير موجود")))</f>
        <v/>
      </c>
      <c r="E724" s="24"/>
      <c r="F724" s="28" t="str">
        <f aca="false">IF($C724="","",IFERROR(INDEX('المواد الخام'!$D$5:$D$104,MATCH($C724,'المواد الخام'!$A$5:$A$104,0)),"حبة"))</f>
        <v/>
      </c>
      <c r="G724" s="30"/>
      <c r="H724" s="29"/>
      <c r="I724" s="29"/>
    </row>
    <row r="725" customFormat="false" ht="15" hidden="false" customHeight="false" outlineLevel="0" collapsed="false">
      <c r="A725" s="32"/>
      <c r="B725" s="29"/>
      <c r="C725" s="29"/>
      <c r="D725" s="28" t="str">
        <f aca="false">IF($C725="","",IFERROR(INDEX('المواد الخام'!$B$5:$B$104,MATCH($C725,'المواد الخام'!$A$5:$A$104,0)),IFERROR(INDEX(المنتجات!$C$5:$C$24,MATCH($C725,المنتجات!$A$5:$A$24,0)),"كود غير موجود")))</f>
        <v/>
      </c>
      <c r="E725" s="24"/>
      <c r="F725" s="28" t="str">
        <f aca="false">IF($C725="","",IFERROR(INDEX('المواد الخام'!$D$5:$D$104,MATCH($C725,'المواد الخام'!$A$5:$A$104,0)),"حبة"))</f>
        <v/>
      </c>
      <c r="G725" s="30"/>
      <c r="H725" s="29"/>
      <c r="I725" s="29"/>
    </row>
    <row r="726" customFormat="false" ht="15" hidden="false" customHeight="false" outlineLevel="0" collapsed="false">
      <c r="A726" s="32"/>
      <c r="B726" s="29"/>
      <c r="C726" s="29"/>
      <c r="D726" s="28" t="str">
        <f aca="false">IF($C726="","",IFERROR(INDEX('المواد الخام'!$B$5:$B$104,MATCH($C726,'المواد الخام'!$A$5:$A$104,0)),IFERROR(INDEX(المنتجات!$C$5:$C$24,MATCH($C726,المنتجات!$A$5:$A$24,0)),"كود غير موجود")))</f>
        <v/>
      </c>
      <c r="E726" s="24"/>
      <c r="F726" s="28" t="str">
        <f aca="false">IF($C726="","",IFERROR(INDEX('المواد الخام'!$D$5:$D$104,MATCH($C726,'المواد الخام'!$A$5:$A$104,0)),"حبة"))</f>
        <v/>
      </c>
      <c r="G726" s="30"/>
      <c r="H726" s="29"/>
      <c r="I726" s="29"/>
    </row>
    <row r="727" customFormat="false" ht="15" hidden="false" customHeight="false" outlineLevel="0" collapsed="false">
      <c r="A727" s="32"/>
      <c r="B727" s="29"/>
      <c r="C727" s="29"/>
      <c r="D727" s="28" t="str">
        <f aca="false">IF($C727="","",IFERROR(INDEX('المواد الخام'!$B$5:$B$104,MATCH($C727,'المواد الخام'!$A$5:$A$104,0)),IFERROR(INDEX(المنتجات!$C$5:$C$24,MATCH($C727,المنتجات!$A$5:$A$24,0)),"كود غير موجود")))</f>
        <v/>
      </c>
      <c r="E727" s="24"/>
      <c r="F727" s="28" t="str">
        <f aca="false">IF($C727="","",IFERROR(INDEX('المواد الخام'!$D$5:$D$104,MATCH($C727,'المواد الخام'!$A$5:$A$104,0)),"حبة"))</f>
        <v/>
      </c>
      <c r="G727" s="30"/>
      <c r="H727" s="29"/>
      <c r="I727" s="29"/>
    </row>
    <row r="728" customFormat="false" ht="15" hidden="false" customHeight="false" outlineLevel="0" collapsed="false">
      <c r="A728" s="32"/>
      <c r="B728" s="29"/>
      <c r="C728" s="29"/>
      <c r="D728" s="28" t="str">
        <f aca="false">IF($C728="","",IFERROR(INDEX('المواد الخام'!$B$5:$B$104,MATCH($C728,'المواد الخام'!$A$5:$A$104,0)),IFERROR(INDEX(المنتجات!$C$5:$C$24,MATCH($C728,المنتجات!$A$5:$A$24,0)),"كود غير موجود")))</f>
        <v/>
      </c>
      <c r="E728" s="24"/>
      <c r="F728" s="28" t="str">
        <f aca="false">IF($C728="","",IFERROR(INDEX('المواد الخام'!$D$5:$D$104,MATCH($C728,'المواد الخام'!$A$5:$A$104,0)),"حبة"))</f>
        <v/>
      </c>
      <c r="G728" s="30"/>
      <c r="H728" s="29"/>
      <c r="I728" s="29"/>
    </row>
    <row r="729" customFormat="false" ht="15" hidden="false" customHeight="false" outlineLevel="0" collapsed="false">
      <c r="A729" s="32"/>
      <c r="B729" s="29"/>
      <c r="C729" s="29"/>
      <c r="D729" s="28" t="str">
        <f aca="false">IF($C729="","",IFERROR(INDEX('المواد الخام'!$B$5:$B$104,MATCH($C729,'المواد الخام'!$A$5:$A$104,0)),IFERROR(INDEX(المنتجات!$C$5:$C$24,MATCH($C729,المنتجات!$A$5:$A$24,0)),"كود غير موجود")))</f>
        <v/>
      </c>
      <c r="E729" s="24"/>
      <c r="F729" s="28" t="str">
        <f aca="false">IF($C729="","",IFERROR(INDEX('المواد الخام'!$D$5:$D$104,MATCH($C729,'المواد الخام'!$A$5:$A$104,0)),"حبة"))</f>
        <v/>
      </c>
      <c r="G729" s="30"/>
      <c r="H729" s="29"/>
      <c r="I729" s="29"/>
    </row>
    <row r="730" customFormat="false" ht="15" hidden="false" customHeight="false" outlineLevel="0" collapsed="false">
      <c r="A730" s="32"/>
      <c r="B730" s="29"/>
      <c r="C730" s="29"/>
      <c r="D730" s="28" t="str">
        <f aca="false">IF($C730="","",IFERROR(INDEX('المواد الخام'!$B$5:$B$104,MATCH($C730,'المواد الخام'!$A$5:$A$104,0)),IFERROR(INDEX(المنتجات!$C$5:$C$24,MATCH($C730,المنتجات!$A$5:$A$24,0)),"كود غير موجود")))</f>
        <v/>
      </c>
      <c r="E730" s="24"/>
      <c r="F730" s="28" t="str">
        <f aca="false">IF($C730="","",IFERROR(INDEX('المواد الخام'!$D$5:$D$104,MATCH($C730,'المواد الخام'!$A$5:$A$104,0)),"حبة"))</f>
        <v/>
      </c>
      <c r="G730" s="30"/>
      <c r="H730" s="29"/>
      <c r="I730" s="29"/>
    </row>
    <row r="731" customFormat="false" ht="15" hidden="false" customHeight="false" outlineLevel="0" collapsed="false">
      <c r="A731" s="32"/>
      <c r="B731" s="29"/>
      <c r="C731" s="29"/>
      <c r="D731" s="28" t="str">
        <f aca="false">IF($C731="","",IFERROR(INDEX('المواد الخام'!$B$5:$B$104,MATCH($C731,'المواد الخام'!$A$5:$A$104,0)),IFERROR(INDEX(المنتجات!$C$5:$C$24,MATCH($C731,المنتجات!$A$5:$A$24,0)),"كود غير موجود")))</f>
        <v/>
      </c>
      <c r="E731" s="24"/>
      <c r="F731" s="28" t="str">
        <f aca="false">IF($C731="","",IFERROR(INDEX('المواد الخام'!$D$5:$D$104,MATCH($C731,'المواد الخام'!$A$5:$A$104,0)),"حبة"))</f>
        <v/>
      </c>
      <c r="G731" s="30"/>
      <c r="H731" s="29"/>
      <c r="I731" s="29"/>
    </row>
    <row r="732" customFormat="false" ht="15" hidden="false" customHeight="false" outlineLevel="0" collapsed="false">
      <c r="A732" s="32"/>
      <c r="B732" s="29"/>
      <c r="C732" s="29"/>
      <c r="D732" s="28" t="str">
        <f aca="false">IF($C732="","",IFERROR(INDEX('المواد الخام'!$B$5:$B$104,MATCH($C732,'المواد الخام'!$A$5:$A$104,0)),IFERROR(INDEX(المنتجات!$C$5:$C$24,MATCH($C732,المنتجات!$A$5:$A$24,0)),"كود غير موجود")))</f>
        <v/>
      </c>
      <c r="E732" s="24"/>
      <c r="F732" s="28" t="str">
        <f aca="false">IF($C732="","",IFERROR(INDEX('المواد الخام'!$D$5:$D$104,MATCH($C732,'المواد الخام'!$A$5:$A$104,0)),"حبة"))</f>
        <v/>
      </c>
      <c r="G732" s="30"/>
      <c r="H732" s="29"/>
      <c r="I732" s="29"/>
    </row>
    <row r="733" customFormat="false" ht="15" hidden="false" customHeight="false" outlineLevel="0" collapsed="false">
      <c r="A733" s="32"/>
      <c r="B733" s="29"/>
      <c r="C733" s="29"/>
      <c r="D733" s="28" t="str">
        <f aca="false">IF($C733="","",IFERROR(INDEX('المواد الخام'!$B$5:$B$104,MATCH($C733,'المواد الخام'!$A$5:$A$104,0)),IFERROR(INDEX(المنتجات!$C$5:$C$24,MATCH($C733,المنتجات!$A$5:$A$24,0)),"كود غير موجود")))</f>
        <v/>
      </c>
      <c r="E733" s="24"/>
      <c r="F733" s="28" t="str">
        <f aca="false">IF($C733="","",IFERROR(INDEX('المواد الخام'!$D$5:$D$104,MATCH($C733,'المواد الخام'!$A$5:$A$104,0)),"حبة"))</f>
        <v/>
      </c>
      <c r="G733" s="30"/>
      <c r="H733" s="29"/>
      <c r="I733" s="29"/>
    </row>
    <row r="734" customFormat="false" ht="15" hidden="false" customHeight="false" outlineLevel="0" collapsed="false">
      <c r="A734" s="32"/>
      <c r="B734" s="29"/>
      <c r="C734" s="29"/>
      <c r="D734" s="28" t="str">
        <f aca="false">IF($C734="","",IFERROR(INDEX('المواد الخام'!$B$5:$B$104,MATCH($C734,'المواد الخام'!$A$5:$A$104,0)),IFERROR(INDEX(المنتجات!$C$5:$C$24,MATCH($C734,المنتجات!$A$5:$A$24,0)),"كود غير موجود")))</f>
        <v/>
      </c>
      <c r="E734" s="24"/>
      <c r="F734" s="28" t="str">
        <f aca="false">IF($C734="","",IFERROR(INDEX('المواد الخام'!$D$5:$D$104,MATCH($C734,'المواد الخام'!$A$5:$A$104,0)),"حبة"))</f>
        <v/>
      </c>
      <c r="G734" s="30"/>
      <c r="H734" s="29"/>
      <c r="I734" s="29"/>
    </row>
    <row r="735" customFormat="false" ht="15" hidden="false" customHeight="false" outlineLevel="0" collapsed="false">
      <c r="A735" s="32"/>
      <c r="B735" s="29"/>
      <c r="C735" s="29"/>
      <c r="D735" s="28" t="str">
        <f aca="false">IF($C735="","",IFERROR(INDEX('المواد الخام'!$B$5:$B$104,MATCH($C735,'المواد الخام'!$A$5:$A$104,0)),IFERROR(INDEX(المنتجات!$C$5:$C$24,MATCH($C735,المنتجات!$A$5:$A$24,0)),"كود غير موجود")))</f>
        <v/>
      </c>
      <c r="E735" s="24"/>
      <c r="F735" s="28" t="str">
        <f aca="false">IF($C735="","",IFERROR(INDEX('المواد الخام'!$D$5:$D$104,MATCH($C735,'المواد الخام'!$A$5:$A$104,0)),"حبة"))</f>
        <v/>
      </c>
      <c r="G735" s="30"/>
      <c r="H735" s="29"/>
      <c r="I735" s="29"/>
    </row>
    <row r="736" customFormat="false" ht="15" hidden="false" customHeight="false" outlineLevel="0" collapsed="false">
      <c r="A736" s="32"/>
      <c r="B736" s="29"/>
      <c r="C736" s="29"/>
      <c r="D736" s="28" t="str">
        <f aca="false">IF($C736="","",IFERROR(INDEX('المواد الخام'!$B$5:$B$104,MATCH($C736,'المواد الخام'!$A$5:$A$104,0)),IFERROR(INDEX(المنتجات!$C$5:$C$24,MATCH($C736,المنتجات!$A$5:$A$24,0)),"كود غير موجود")))</f>
        <v/>
      </c>
      <c r="E736" s="24"/>
      <c r="F736" s="28" t="str">
        <f aca="false">IF($C736="","",IFERROR(INDEX('المواد الخام'!$D$5:$D$104,MATCH($C736,'المواد الخام'!$A$5:$A$104,0)),"حبة"))</f>
        <v/>
      </c>
      <c r="G736" s="30"/>
      <c r="H736" s="29"/>
      <c r="I736" s="29"/>
    </row>
    <row r="737" customFormat="false" ht="15" hidden="false" customHeight="false" outlineLevel="0" collapsed="false">
      <c r="A737" s="32"/>
      <c r="B737" s="29"/>
      <c r="C737" s="29"/>
      <c r="D737" s="28" t="str">
        <f aca="false">IF($C737="","",IFERROR(INDEX('المواد الخام'!$B$5:$B$104,MATCH($C737,'المواد الخام'!$A$5:$A$104,0)),IFERROR(INDEX(المنتجات!$C$5:$C$24,MATCH($C737,المنتجات!$A$5:$A$24,0)),"كود غير موجود")))</f>
        <v/>
      </c>
      <c r="E737" s="24"/>
      <c r="F737" s="28" t="str">
        <f aca="false">IF($C737="","",IFERROR(INDEX('المواد الخام'!$D$5:$D$104,MATCH($C737,'المواد الخام'!$A$5:$A$104,0)),"حبة"))</f>
        <v/>
      </c>
      <c r="G737" s="30"/>
      <c r="H737" s="29"/>
      <c r="I737" s="29"/>
    </row>
    <row r="738" customFormat="false" ht="15" hidden="false" customHeight="false" outlineLevel="0" collapsed="false">
      <c r="A738" s="32"/>
      <c r="B738" s="29"/>
      <c r="C738" s="29"/>
      <c r="D738" s="28" t="str">
        <f aca="false">IF($C738="","",IFERROR(INDEX('المواد الخام'!$B$5:$B$104,MATCH($C738,'المواد الخام'!$A$5:$A$104,0)),IFERROR(INDEX(المنتجات!$C$5:$C$24,MATCH($C738,المنتجات!$A$5:$A$24,0)),"كود غير موجود")))</f>
        <v/>
      </c>
      <c r="E738" s="24"/>
      <c r="F738" s="28" t="str">
        <f aca="false">IF($C738="","",IFERROR(INDEX('المواد الخام'!$D$5:$D$104,MATCH($C738,'المواد الخام'!$A$5:$A$104,0)),"حبة"))</f>
        <v/>
      </c>
      <c r="G738" s="30"/>
      <c r="H738" s="29"/>
      <c r="I738" s="29"/>
    </row>
    <row r="739" customFormat="false" ht="15" hidden="false" customHeight="false" outlineLevel="0" collapsed="false">
      <c r="A739" s="32"/>
      <c r="B739" s="29"/>
      <c r="C739" s="29"/>
      <c r="D739" s="28" t="str">
        <f aca="false">IF($C739="","",IFERROR(INDEX('المواد الخام'!$B$5:$B$104,MATCH($C739,'المواد الخام'!$A$5:$A$104,0)),IFERROR(INDEX(المنتجات!$C$5:$C$24,MATCH($C739,المنتجات!$A$5:$A$24,0)),"كود غير موجود")))</f>
        <v/>
      </c>
      <c r="E739" s="24"/>
      <c r="F739" s="28" t="str">
        <f aca="false">IF($C739="","",IFERROR(INDEX('المواد الخام'!$D$5:$D$104,MATCH($C739,'المواد الخام'!$A$5:$A$104,0)),"حبة"))</f>
        <v/>
      </c>
      <c r="G739" s="30"/>
      <c r="H739" s="29"/>
      <c r="I739" s="29"/>
    </row>
    <row r="740" customFormat="false" ht="15" hidden="false" customHeight="false" outlineLevel="0" collapsed="false">
      <c r="A740" s="32"/>
      <c r="B740" s="29"/>
      <c r="C740" s="29"/>
      <c r="D740" s="28" t="str">
        <f aca="false">IF($C740="","",IFERROR(INDEX('المواد الخام'!$B$5:$B$104,MATCH($C740,'المواد الخام'!$A$5:$A$104,0)),IFERROR(INDEX(المنتجات!$C$5:$C$24,MATCH($C740,المنتجات!$A$5:$A$24,0)),"كود غير موجود")))</f>
        <v/>
      </c>
      <c r="E740" s="24"/>
      <c r="F740" s="28" t="str">
        <f aca="false">IF($C740="","",IFERROR(INDEX('المواد الخام'!$D$5:$D$104,MATCH($C740,'المواد الخام'!$A$5:$A$104,0)),"حبة"))</f>
        <v/>
      </c>
      <c r="G740" s="30"/>
      <c r="H740" s="29"/>
      <c r="I740" s="29"/>
    </row>
    <row r="741" customFormat="false" ht="15" hidden="false" customHeight="false" outlineLevel="0" collapsed="false">
      <c r="A741" s="32"/>
      <c r="B741" s="29"/>
      <c r="C741" s="29"/>
      <c r="D741" s="28" t="str">
        <f aca="false">IF($C741="","",IFERROR(INDEX('المواد الخام'!$B$5:$B$104,MATCH($C741,'المواد الخام'!$A$5:$A$104,0)),IFERROR(INDEX(المنتجات!$C$5:$C$24,MATCH($C741,المنتجات!$A$5:$A$24,0)),"كود غير موجود")))</f>
        <v/>
      </c>
      <c r="E741" s="24"/>
      <c r="F741" s="28" t="str">
        <f aca="false">IF($C741="","",IFERROR(INDEX('المواد الخام'!$D$5:$D$104,MATCH($C741,'المواد الخام'!$A$5:$A$104,0)),"حبة"))</f>
        <v/>
      </c>
      <c r="G741" s="30"/>
      <c r="H741" s="29"/>
      <c r="I741" s="29"/>
    </row>
    <row r="742" customFormat="false" ht="15" hidden="false" customHeight="false" outlineLevel="0" collapsed="false">
      <c r="A742" s="32"/>
      <c r="B742" s="29"/>
      <c r="C742" s="29"/>
      <c r="D742" s="28" t="str">
        <f aca="false">IF($C742="","",IFERROR(INDEX('المواد الخام'!$B$5:$B$104,MATCH($C742,'المواد الخام'!$A$5:$A$104,0)),IFERROR(INDEX(المنتجات!$C$5:$C$24,MATCH($C742,المنتجات!$A$5:$A$24,0)),"كود غير موجود")))</f>
        <v/>
      </c>
      <c r="E742" s="24"/>
      <c r="F742" s="28" t="str">
        <f aca="false">IF($C742="","",IFERROR(INDEX('المواد الخام'!$D$5:$D$104,MATCH($C742,'المواد الخام'!$A$5:$A$104,0)),"حبة"))</f>
        <v/>
      </c>
      <c r="G742" s="30"/>
      <c r="H742" s="29"/>
      <c r="I742" s="29"/>
    </row>
    <row r="743" customFormat="false" ht="15" hidden="false" customHeight="false" outlineLevel="0" collapsed="false">
      <c r="A743" s="32"/>
      <c r="B743" s="29"/>
      <c r="C743" s="29"/>
      <c r="D743" s="28" t="str">
        <f aca="false">IF($C743="","",IFERROR(INDEX('المواد الخام'!$B$5:$B$104,MATCH($C743,'المواد الخام'!$A$5:$A$104,0)),IFERROR(INDEX(المنتجات!$C$5:$C$24,MATCH($C743,المنتجات!$A$5:$A$24,0)),"كود غير موجود")))</f>
        <v/>
      </c>
      <c r="E743" s="24"/>
      <c r="F743" s="28" t="str">
        <f aca="false">IF($C743="","",IFERROR(INDEX('المواد الخام'!$D$5:$D$104,MATCH($C743,'المواد الخام'!$A$5:$A$104,0)),"حبة"))</f>
        <v/>
      </c>
      <c r="G743" s="30"/>
      <c r="H743" s="29"/>
      <c r="I743" s="29"/>
    </row>
    <row r="744" customFormat="false" ht="15" hidden="false" customHeight="false" outlineLevel="0" collapsed="false">
      <c r="A744" s="32"/>
      <c r="B744" s="29"/>
      <c r="C744" s="29"/>
      <c r="D744" s="28" t="str">
        <f aca="false">IF($C744="","",IFERROR(INDEX('المواد الخام'!$B$5:$B$104,MATCH($C744,'المواد الخام'!$A$5:$A$104,0)),IFERROR(INDEX(المنتجات!$C$5:$C$24,MATCH($C744,المنتجات!$A$5:$A$24,0)),"كود غير موجود")))</f>
        <v/>
      </c>
      <c r="E744" s="24"/>
      <c r="F744" s="28" t="str">
        <f aca="false">IF($C744="","",IFERROR(INDEX('المواد الخام'!$D$5:$D$104,MATCH($C744,'المواد الخام'!$A$5:$A$104,0)),"حبة"))</f>
        <v/>
      </c>
      <c r="G744" s="30"/>
      <c r="H744" s="29"/>
      <c r="I744" s="29"/>
    </row>
    <row r="745" customFormat="false" ht="15" hidden="false" customHeight="false" outlineLevel="0" collapsed="false">
      <c r="A745" s="32"/>
      <c r="B745" s="29"/>
      <c r="C745" s="29"/>
      <c r="D745" s="28" t="str">
        <f aca="false">IF($C745="","",IFERROR(INDEX('المواد الخام'!$B$5:$B$104,MATCH($C745,'المواد الخام'!$A$5:$A$104,0)),IFERROR(INDEX(المنتجات!$C$5:$C$24,MATCH($C745,المنتجات!$A$5:$A$24,0)),"كود غير موجود")))</f>
        <v/>
      </c>
      <c r="E745" s="24"/>
      <c r="F745" s="28" t="str">
        <f aca="false">IF($C745="","",IFERROR(INDEX('المواد الخام'!$D$5:$D$104,MATCH($C745,'المواد الخام'!$A$5:$A$104,0)),"حبة"))</f>
        <v/>
      </c>
      <c r="G745" s="30"/>
      <c r="H745" s="29"/>
      <c r="I745" s="29"/>
    </row>
    <row r="746" customFormat="false" ht="15" hidden="false" customHeight="false" outlineLevel="0" collapsed="false">
      <c r="A746" s="32"/>
      <c r="B746" s="29"/>
      <c r="C746" s="29"/>
      <c r="D746" s="28" t="str">
        <f aca="false">IF($C746="","",IFERROR(INDEX('المواد الخام'!$B$5:$B$104,MATCH($C746,'المواد الخام'!$A$5:$A$104,0)),IFERROR(INDEX(المنتجات!$C$5:$C$24,MATCH($C746,المنتجات!$A$5:$A$24,0)),"كود غير موجود")))</f>
        <v/>
      </c>
      <c r="E746" s="24"/>
      <c r="F746" s="28" t="str">
        <f aca="false">IF($C746="","",IFERROR(INDEX('المواد الخام'!$D$5:$D$104,MATCH($C746,'المواد الخام'!$A$5:$A$104,0)),"حبة"))</f>
        <v/>
      </c>
      <c r="G746" s="30"/>
      <c r="H746" s="29"/>
      <c r="I746" s="29"/>
    </row>
    <row r="747" customFormat="false" ht="15" hidden="false" customHeight="false" outlineLevel="0" collapsed="false">
      <c r="A747" s="32"/>
      <c r="B747" s="29"/>
      <c r="C747" s="29"/>
      <c r="D747" s="28" t="str">
        <f aca="false">IF($C747="","",IFERROR(INDEX('المواد الخام'!$B$5:$B$104,MATCH($C747,'المواد الخام'!$A$5:$A$104,0)),IFERROR(INDEX(المنتجات!$C$5:$C$24,MATCH($C747,المنتجات!$A$5:$A$24,0)),"كود غير موجود")))</f>
        <v/>
      </c>
      <c r="E747" s="24"/>
      <c r="F747" s="28" t="str">
        <f aca="false">IF($C747="","",IFERROR(INDEX('المواد الخام'!$D$5:$D$104,MATCH($C747,'المواد الخام'!$A$5:$A$104,0)),"حبة"))</f>
        <v/>
      </c>
      <c r="G747" s="30"/>
      <c r="H747" s="29"/>
      <c r="I747" s="29"/>
    </row>
    <row r="748" customFormat="false" ht="15" hidden="false" customHeight="false" outlineLevel="0" collapsed="false">
      <c r="A748" s="32"/>
      <c r="B748" s="29"/>
      <c r="C748" s="29"/>
      <c r="D748" s="28" t="str">
        <f aca="false">IF($C748="","",IFERROR(INDEX('المواد الخام'!$B$5:$B$104,MATCH($C748,'المواد الخام'!$A$5:$A$104,0)),IFERROR(INDEX(المنتجات!$C$5:$C$24,MATCH($C748,المنتجات!$A$5:$A$24,0)),"كود غير موجود")))</f>
        <v/>
      </c>
      <c r="E748" s="24"/>
      <c r="F748" s="28" t="str">
        <f aca="false">IF($C748="","",IFERROR(INDEX('المواد الخام'!$D$5:$D$104,MATCH($C748,'المواد الخام'!$A$5:$A$104,0)),"حبة"))</f>
        <v/>
      </c>
      <c r="G748" s="30"/>
      <c r="H748" s="29"/>
      <c r="I748" s="29"/>
    </row>
    <row r="749" customFormat="false" ht="15" hidden="false" customHeight="false" outlineLevel="0" collapsed="false">
      <c r="A749" s="32"/>
      <c r="B749" s="29"/>
      <c r="C749" s="29"/>
      <c r="D749" s="28" t="str">
        <f aca="false">IF($C749="","",IFERROR(INDEX('المواد الخام'!$B$5:$B$104,MATCH($C749,'المواد الخام'!$A$5:$A$104,0)),IFERROR(INDEX(المنتجات!$C$5:$C$24,MATCH($C749,المنتجات!$A$5:$A$24,0)),"كود غير موجود")))</f>
        <v/>
      </c>
      <c r="E749" s="24"/>
      <c r="F749" s="28" t="str">
        <f aca="false">IF($C749="","",IFERROR(INDEX('المواد الخام'!$D$5:$D$104,MATCH($C749,'المواد الخام'!$A$5:$A$104,0)),"حبة"))</f>
        <v/>
      </c>
      <c r="G749" s="30"/>
      <c r="H749" s="29"/>
      <c r="I749" s="29"/>
    </row>
    <row r="750" customFormat="false" ht="15" hidden="false" customHeight="false" outlineLevel="0" collapsed="false">
      <c r="A750" s="32"/>
      <c r="B750" s="29"/>
      <c r="C750" s="29"/>
      <c r="D750" s="28" t="str">
        <f aca="false">IF($C750="","",IFERROR(INDEX('المواد الخام'!$B$5:$B$104,MATCH($C750,'المواد الخام'!$A$5:$A$104,0)),IFERROR(INDEX(المنتجات!$C$5:$C$24,MATCH($C750,المنتجات!$A$5:$A$24,0)),"كود غير موجود")))</f>
        <v/>
      </c>
      <c r="E750" s="24"/>
      <c r="F750" s="28" t="str">
        <f aca="false">IF($C750="","",IFERROR(INDEX('المواد الخام'!$D$5:$D$104,MATCH($C750,'المواد الخام'!$A$5:$A$104,0)),"حبة"))</f>
        <v/>
      </c>
      <c r="G750" s="30"/>
      <c r="H750" s="29"/>
      <c r="I750" s="29"/>
    </row>
    <row r="751" customFormat="false" ht="15" hidden="false" customHeight="false" outlineLevel="0" collapsed="false">
      <c r="A751" s="32"/>
      <c r="B751" s="29"/>
      <c r="C751" s="29"/>
      <c r="D751" s="28" t="str">
        <f aca="false">IF($C751="","",IFERROR(INDEX('المواد الخام'!$B$5:$B$104,MATCH($C751,'المواد الخام'!$A$5:$A$104,0)),IFERROR(INDEX(المنتجات!$C$5:$C$24,MATCH($C751,المنتجات!$A$5:$A$24,0)),"كود غير موجود")))</f>
        <v/>
      </c>
      <c r="E751" s="24"/>
      <c r="F751" s="28" t="str">
        <f aca="false">IF($C751="","",IFERROR(INDEX('المواد الخام'!$D$5:$D$104,MATCH($C751,'المواد الخام'!$A$5:$A$104,0)),"حبة"))</f>
        <v/>
      </c>
      <c r="G751" s="30"/>
      <c r="H751" s="29"/>
      <c r="I751" s="29"/>
    </row>
    <row r="752" customFormat="false" ht="15" hidden="false" customHeight="false" outlineLevel="0" collapsed="false">
      <c r="A752" s="32"/>
      <c r="B752" s="29"/>
      <c r="C752" s="29"/>
      <c r="D752" s="28" t="str">
        <f aca="false">IF($C752="","",IFERROR(INDEX('المواد الخام'!$B$5:$B$104,MATCH($C752,'المواد الخام'!$A$5:$A$104,0)),IFERROR(INDEX(المنتجات!$C$5:$C$24,MATCH($C752,المنتجات!$A$5:$A$24,0)),"كود غير موجود")))</f>
        <v/>
      </c>
      <c r="E752" s="24"/>
      <c r="F752" s="28" t="str">
        <f aca="false">IF($C752="","",IFERROR(INDEX('المواد الخام'!$D$5:$D$104,MATCH($C752,'المواد الخام'!$A$5:$A$104,0)),"حبة"))</f>
        <v/>
      </c>
      <c r="G752" s="30"/>
      <c r="H752" s="29"/>
      <c r="I752" s="29"/>
    </row>
    <row r="753" customFormat="false" ht="15" hidden="false" customHeight="false" outlineLevel="0" collapsed="false">
      <c r="A753" s="32"/>
      <c r="B753" s="29"/>
      <c r="C753" s="29"/>
      <c r="D753" s="28" t="str">
        <f aca="false">IF($C753="","",IFERROR(INDEX('المواد الخام'!$B$5:$B$104,MATCH($C753,'المواد الخام'!$A$5:$A$104,0)),IFERROR(INDEX(المنتجات!$C$5:$C$24,MATCH($C753,المنتجات!$A$5:$A$24,0)),"كود غير موجود")))</f>
        <v/>
      </c>
      <c r="E753" s="24"/>
      <c r="F753" s="28" t="str">
        <f aca="false">IF($C753="","",IFERROR(INDEX('المواد الخام'!$D$5:$D$104,MATCH($C753,'المواد الخام'!$A$5:$A$104,0)),"حبة"))</f>
        <v/>
      </c>
      <c r="G753" s="30"/>
      <c r="H753" s="29"/>
      <c r="I753" s="29"/>
    </row>
    <row r="754" customFormat="false" ht="15" hidden="false" customHeight="false" outlineLevel="0" collapsed="false">
      <c r="A754" s="32"/>
      <c r="B754" s="29"/>
      <c r="C754" s="29"/>
      <c r="D754" s="28" t="str">
        <f aca="false">IF($C754="","",IFERROR(INDEX('المواد الخام'!$B$5:$B$104,MATCH($C754,'المواد الخام'!$A$5:$A$104,0)),IFERROR(INDEX(المنتجات!$C$5:$C$24,MATCH($C754,المنتجات!$A$5:$A$24,0)),"كود غير موجود")))</f>
        <v/>
      </c>
      <c r="E754" s="24"/>
      <c r="F754" s="28" t="str">
        <f aca="false">IF($C754="","",IFERROR(INDEX('المواد الخام'!$D$5:$D$104,MATCH($C754,'المواد الخام'!$A$5:$A$104,0)),"حبة"))</f>
        <v/>
      </c>
      <c r="G754" s="30"/>
      <c r="H754" s="29"/>
      <c r="I754" s="29"/>
    </row>
    <row r="755" customFormat="false" ht="15" hidden="false" customHeight="false" outlineLevel="0" collapsed="false">
      <c r="A755" s="32"/>
      <c r="B755" s="29"/>
      <c r="C755" s="29"/>
      <c r="D755" s="28" t="str">
        <f aca="false">IF($C755="","",IFERROR(INDEX('المواد الخام'!$B$5:$B$104,MATCH($C755,'المواد الخام'!$A$5:$A$104,0)),IFERROR(INDEX(المنتجات!$C$5:$C$24,MATCH($C755,المنتجات!$A$5:$A$24,0)),"كود غير موجود")))</f>
        <v/>
      </c>
      <c r="E755" s="24"/>
      <c r="F755" s="28" t="str">
        <f aca="false">IF($C755="","",IFERROR(INDEX('المواد الخام'!$D$5:$D$104,MATCH($C755,'المواد الخام'!$A$5:$A$104,0)),"حبة"))</f>
        <v/>
      </c>
      <c r="G755" s="30"/>
      <c r="H755" s="29"/>
      <c r="I755" s="29"/>
    </row>
    <row r="756" customFormat="false" ht="15" hidden="false" customHeight="false" outlineLevel="0" collapsed="false">
      <c r="A756" s="32"/>
      <c r="B756" s="29"/>
      <c r="C756" s="29"/>
      <c r="D756" s="28" t="str">
        <f aca="false">IF($C756="","",IFERROR(INDEX('المواد الخام'!$B$5:$B$104,MATCH($C756,'المواد الخام'!$A$5:$A$104,0)),IFERROR(INDEX(المنتجات!$C$5:$C$24,MATCH($C756,المنتجات!$A$5:$A$24,0)),"كود غير موجود")))</f>
        <v/>
      </c>
      <c r="E756" s="24"/>
      <c r="F756" s="28" t="str">
        <f aca="false">IF($C756="","",IFERROR(INDEX('المواد الخام'!$D$5:$D$104,MATCH($C756,'المواد الخام'!$A$5:$A$104,0)),"حبة"))</f>
        <v/>
      </c>
      <c r="G756" s="30"/>
      <c r="H756" s="29"/>
      <c r="I756" s="29"/>
    </row>
    <row r="757" customFormat="false" ht="15" hidden="false" customHeight="false" outlineLevel="0" collapsed="false">
      <c r="A757" s="32"/>
      <c r="B757" s="29"/>
      <c r="C757" s="29"/>
      <c r="D757" s="28" t="str">
        <f aca="false">IF($C757="","",IFERROR(INDEX('المواد الخام'!$B$5:$B$104,MATCH($C757,'المواد الخام'!$A$5:$A$104,0)),IFERROR(INDEX(المنتجات!$C$5:$C$24,MATCH($C757,المنتجات!$A$5:$A$24,0)),"كود غير موجود")))</f>
        <v/>
      </c>
      <c r="E757" s="24"/>
      <c r="F757" s="28" t="str">
        <f aca="false">IF($C757="","",IFERROR(INDEX('المواد الخام'!$D$5:$D$104,MATCH($C757,'المواد الخام'!$A$5:$A$104,0)),"حبة"))</f>
        <v/>
      </c>
      <c r="G757" s="30"/>
      <c r="H757" s="29"/>
      <c r="I757" s="29"/>
    </row>
    <row r="758" customFormat="false" ht="15" hidden="false" customHeight="false" outlineLevel="0" collapsed="false">
      <c r="A758" s="32"/>
      <c r="B758" s="29"/>
      <c r="C758" s="29"/>
      <c r="D758" s="28" t="str">
        <f aca="false">IF($C758="","",IFERROR(INDEX('المواد الخام'!$B$5:$B$104,MATCH($C758,'المواد الخام'!$A$5:$A$104,0)),IFERROR(INDEX(المنتجات!$C$5:$C$24,MATCH($C758,المنتجات!$A$5:$A$24,0)),"كود غير موجود")))</f>
        <v/>
      </c>
      <c r="E758" s="24"/>
      <c r="F758" s="28" t="str">
        <f aca="false">IF($C758="","",IFERROR(INDEX('المواد الخام'!$D$5:$D$104,MATCH($C758,'المواد الخام'!$A$5:$A$104,0)),"حبة"))</f>
        <v/>
      </c>
      <c r="G758" s="30"/>
      <c r="H758" s="29"/>
      <c r="I758" s="29"/>
    </row>
    <row r="759" customFormat="false" ht="15" hidden="false" customHeight="false" outlineLevel="0" collapsed="false">
      <c r="A759" s="32"/>
      <c r="B759" s="29"/>
      <c r="C759" s="29"/>
      <c r="D759" s="28" t="str">
        <f aca="false">IF($C759="","",IFERROR(INDEX('المواد الخام'!$B$5:$B$104,MATCH($C759,'المواد الخام'!$A$5:$A$104,0)),IFERROR(INDEX(المنتجات!$C$5:$C$24,MATCH($C759,المنتجات!$A$5:$A$24,0)),"كود غير موجود")))</f>
        <v/>
      </c>
      <c r="E759" s="24"/>
      <c r="F759" s="28" t="str">
        <f aca="false">IF($C759="","",IFERROR(INDEX('المواد الخام'!$D$5:$D$104,MATCH($C759,'المواد الخام'!$A$5:$A$104,0)),"حبة"))</f>
        <v/>
      </c>
      <c r="G759" s="30"/>
      <c r="H759" s="29"/>
      <c r="I759" s="29"/>
    </row>
    <row r="760" customFormat="false" ht="15" hidden="false" customHeight="false" outlineLevel="0" collapsed="false">
      <c r="A760" s="32"/>
      <c r="B760" s="29"/>
      <c r="C760" s="29"/>
      <c r="D760" s="28" t="str">
        <f aca="false">IF($C760="","",IFERROR(INDEX('المواد الخام'!$B$5:$B$104,MATCH($C760,'المواد الخام'!$A$5:$A$104,0)),IFERROR(INDEX(المنتجات!$C$5:$C$24,MATCH($C760,المنتجات!$A$5:$A$24,0)),"كود غير موجود")))</f>
        <v/>
      </c>
      <c r="E760" s="24"/>
      <c r="F760" s="28" t="str">
        <f aca="false">IF($C760="","",IFERROR(INDEX('المواد الخام'!$D$5:$D$104,MATCH($C760,'المواد الخام'!$A$5:$A$104,0)),"حبة"))</f>
        <v/>
      </c>
      <c r="G760" s="30"/>
      <c r="H760" s="29"/>
      <c r="I760" s="29"/>
    </row>
    <row r="761" customFormat="false" ht="15" hidden="false" customHeight="false" outlineLevel="0" collapsed="false">
      <c r="A761" s="32"/>
      <c r="B761" s="29"/>
      <c r="C761" s="29"/>
      <c r="D761" s="28" t="str">
        <f aca="false">IF($C761="","",IFERROR(INDEX('المواد الخام'!$B$5:$B$104,MATCH($C761,'المواد الخام'!$A$5:$A$104,0)),IFERROR(INDEX(المنتجات!$C$5:$C$24,MATCH($C761,المنتجات!$A$5:$A$24,0)),"كود غير موجود")))</f>
        <v/>
      </c>
      <c r="E761" s="24"/>
      <c r="F761" s="28" t="str">
        <f aca="false">IF($C761="","",IFERROR(INDEX('المواد الخام'!$D$5:$D$104,MATCH($C761,'المواد الخام'!$A$5:$A$104,0)),"حبة"))</f>
        <v/>
      </c>
      <c r="G761" s="30"/>
      <c r="H761" s="29"/>
      <c r="I761" s="29"/>
    </row>
    <row r="762" customFormat="false" ht="15" hidden="false" customHeight="false" outlineLevel="0" collapsed="false">
      <c r="A762" s="32"/>
      <c r="B762" s="29"/>
      <c r="C762" s="29"/>
      <c r="D762" s="28" t="str">
        <f aca="false">IF($C762="","",IFERROR(INDEX('المواد الخام'!$B$5:$B$104,MATCH($C762,'المواد الخام'!$A$5:$A$104,0)),IFERROR(INDEX(المنتجات!$C$5:$C$24,MATCH($C762,المنتجات!$A$5:$A$24,0)),"كود غير موجود")))</f>
        <v/>
      </c>
      <c r="E762" s="24"/>
      <c r="F762" s="28" t="str">
        <f aca="false">IF($C762="","",IFERROR(INDEX('المواد الخام'!$D$5:$D$104,MATCH($C762,'المواد الخام'!$A$5:$A$104,0)),"حبة"))</f>
        <v/>
      </c>
      <c r="G762" s="30"/>
      <c r="H762" s="29"/>
      <c r="I762" s="29"/>
    </row>
    <row r="763" customFormat="false" ht="15" hidden="false" customHeight="false" outlineLevel="0" collapsed="false">
      <c r="A763" s="32"/>
      <c r="B763" s="29"/>
      <c r="C763" s="29"/>
      <c r="D763" s="28" t="str">
        <f aca="false">IF($C763="","",IFERROR(INDEX('المواد الخام'!$B$5:$B$104,MATCH($C763,'المواد الخام'!$A$5:$A$104,0)),IFERROR(INDEX(المنتجات!$C$5:$C$24,MATCH($C763,المنتجات!$A$5:$A$24,0)),"كود غير موجود")))</f>
        <v/>
      </c>
      <c r="E763" s="24"/>
      <c r="F763" s="28" t="str">
        <f aca="false">IF($C763="","",IFERROR(INDEX('المواد الخام'!$D$5:$D$104,MATCH($C763,'المواد الخام'!$A$5:$A$104,0)),"حبة"))</f>
        <v/>
      </c>
      <c r="G763" s="30"/>
      <c r="H763" s="29"/>
      <c r="I763" s="29"/>
    </row>
    <row r="764" customFormat="false" ht="15" hidden="false" customHeight="false" outlineLevel="0" collapsed="false">
      <c r="A764" s="32"/>
      <c r="B764" s="29"/>
      <c r="C764" s="29"/>
      <c r="D764" s="28" t="str">
        <f aca="false">IF($C764="","",IFERROR(INDEX('المواد الخام'!$B$5:$B$104,MATCH($C764,'المواد الخام'!$A$5:$A$104,0)),IFERROR(INDEX(المنتجات!$C$5:$C$24,MATCH($C764,المنتجات!$A$5:$A$24,0)),"كود غير موجود")))</f>
        <v/>
      </c>
      <c r="E764" s="24"/>
      <c r="F764" s="28" t="str">
        <f aca="false">IF($C764="","",IFERROR(INDEX('المواد الخام'!$D$5:$D$104,MATCH($C764,'المواد الخام'!$A$5:$A$104,0)),"حبة"))</f>
        <v/>
      </c>
      <c r="G764" s="30"/>
      <c r="H764" s="29"/>
      <c r="I764" s="29"/>
    </row>
    <row r="765" customFormat="false" ht="15" hidden="false" customHeight="false" outlineLevel="0" collapsed="false">
      <c r="A765" s="32"/>
      <c r="B765" s="29"/>
      <c r="C765" s="29"/>
      <c r="D765" s="28" t="str">
        <f aca="false">IF($C765="","",IFERROR(INDEX('المواد الخام'!$B$5:$B$104,MATCH($C765,'المواد الخام'!$A$5:$A$104,0)),IFERROR(INDEX(المنتجات!$C$5:$C$24,MATCH($C765,المنتجات!$A$5:$A$24,0)),"كود غير موجود")))</f>
        <v/>
      </c>
      <c r="E765" s="24"/>
      <c r="F765" s="28" t="str">
        <f aca="false">IF($C765="","",IFERROR(INDEX('المواد الخام'!$D$5:$D$104,MATCH($C765,'المواد الخام'!$A$5:$A$104,0)),"حبة"))</f>
        <v/>
      </c>
      <c r="G765" s="30"/>
      <c r="H765" s="29"/>
      <c r="I765" s="29"/>
    </row>
    <row r="766" customFormat="false" ht="15" hidden="false" customHeight="false" outlineLevel="0" collapsed="false">
      <c r="A766" s="32"/>
      <c r="B766" s="29"/>
      <c r="C766" s="29"/>
      <c r="D766" s="28" t="str">
        <f aca="false">IF($C766="","",IFERROR(INDEX('المواد الخام'!$B$5:$B$104,MATCH($C766,'المواد الخام'!$A$5:$A$104,0)),IFERROR(INDEX(المنتجات!$C$5:$C$24,MATCH($C766,المنتجات!$A$5:$A$24,0)),"كود غير موجود")))</f>
        <v/>
      </c>
      <c r="E766" s="24"/>
      <c r="F766" s="28" t="str">
        <f aca="false">IF($C766="","",IFERROR(INDEX('المواد الخام'!$D$5:$D$104,MATCH($C766,'المواد الخام'!$A$5:$A$104,0)),"حبة"))</f>
        <v/>
      </c>
      <c r="G766" s="30"/>
      <c r="H766" s="29"/>
      <c r="I766" s="29"/>
    </row>
    <row r="767" customFormat="false" ht="15" hidden="false" customHeight="false" outlineLevel="0" collapsed="false">
      <c r="A767" s="32"/>
      <c r="B767" s="29"/>
      <c r="C767" s="29"/>
      <c r="D767" s="28" t="str">
        <f aca="false">IF($C767="","",IFERROR(INDEX('المواد الخام'!$B$5:$B$104,MATCH($C767,'المواد الخام'!$A$5:$A$104,0)),IFERROR(INDEX(المنتجات!$C$5:$C$24,MATCH($C767,المنتجات!$A$5:$A$24,0)),"كود غير موجود")))</f>
        <v/>
      </c>
      <c r="E767" s="24"/>
      <c r="F767" s="28" t="str">
        <f aca="false">IF($C767="","",IFERROR(INDEX('المواد الخام'!$D$5:$D$104,MATCH($C767,'المواد الخام'!$A$5:$A$104,0)),"حبة"))</f>
        <v/>
      </c>
      <c r="G767" s="30"/>
      <c r="H767" s="29"/>
      <c r="I767" s="29"/>
    </row>
    <row r="768" customFormat="false" ht="15" hidden="false" customHeight="false" outlineLevel="0" collapsed="false">
      <c r="A768" s="32"/>
      <c r="B768" s="29"/>
      <c r="C768" s="29"/>
      <c r="D768" s="28" t="str">
        <f aca="false">IF($C768="","",IFERROR(INDEX('المواد الخام'!$B$5:$B$104,MATCH($C768,'المواد الخام'!$A$5:$A$104,0)),IFERROR(INDEX(المنتجات!$C$5:$C$24,MATCH($C768,المنتجات!$A$5:$A$24,0)),"كود غير موجود")))</f>
        <v/>
      </c>
      <c r="E768" s="24"/>
      <c r="F768" s="28" t="str">
        <f aca="false">IF($C768="","",IFERROR(INDEX('المواد الخام'!$D$5:$D$104,MATCH($C768,'المواد الخام'!$A$5:$A$104,0)),"حبة"))</f>
        <v/>
      </c>
      <c r="G768" s="30"/>
      <c r="H768" s="29"/>
      <c r="I768" s="29"/>
    </row>
    <row r="769" customFormat="false" ht="15" hidden="false" customHeight="false" outlineLevel="0" collapsed="false">
      <c r="A769" s="32"/>
      <c r="B769" s="29"/>
      <c r="C769" s="29"/>
      <c r="D769" s="28" t="str">
        <f aca="false">IF($C769="","",IFERROR(INDEX('المواد الخام'!$B$5:$B$104,MATCH($C769,'المواد الخام'!$A$5:$A$104,0)),IFERROR(INDEX(المنتجات!$C$5:$C$24,MATCH($C769,المنتجات!$A$5:$A$24,0)),"كود غير موجود")))</f>
        <v/>
      </c>
      <c r="E769" s="24"/>
      <c r="F769" s="28" t="str">
        <f aca="false">IF($C769="","",IFERROR(INDEX('المواد الخام'!$D$5:$D$104,MATCH($C769,'المواد الخام'!$A$5:$A$104,0)),"حبة"))</f>
        <v/>
      </c>
      <c r="G769" s="30"/>
      <c r="H769" s="29"/>
      <c r="I769" s="29"/>
    </row>
    <row r="770" customFormat="false" ht="15" hidden="false" customHeight="false" outlineLevel="0" collapsed="false">
      <c r="A770" s="32"/>
      <c r="B770" s="29"/>
      <c r="C770" s="29"/>
      <c r="D770" s="28" t="str">
        <f aca="false">IF($C770="","",IFERROR(INDEX('المواد الخام'!$B$5:$B$104,MATCH($C770,'المواد الخام'!$A$5:$A$104,0)),IFERROR(INDEX(المنتجات!$C$5:$C$24,MATCH($C770,المنتجات!$A$5:$A$24,0)),"كود غير موجود")))</f>
        <v/>
      </c>
      <c r="E770" s="24"/>
      <c r="F770" s="28" t="str">
        <f aca="false">IF($C770="","",IFERROR(INDEX('المواد الخام'!$D$5:$D$104,MATCH($C770,'المواد الخام'!$A$5:$A$104,0)),"حبة"))</f>
        <v/>
      </c>
      <c r="G770" s="30"/>
      <c r="H770" s="29"/>
      <c r="I770" s="29"/>
    </row>
    <row r="771" customFormat="false" ht="15" hidden="false" customHeight="false" outlineLevel="0" collapsed="false">
      <c r="A771" s="32"/>
      <c r="B771" s="29"/>
      <c r="C771" s="29"/>
      <c r="D771" s="28" t="str">
        <f aca="false">IF($C771="","",IFERROR(INDEX('المواد الخام'!$B$5:$B$104,MATCH($C771,'المواد الخام'!$A$5:$A$104,0)),IFERROR(INDEX(المنتجات!$C$5:$C$24,MATCH($C771,المنتجات!$A$5:$A$24,0)),"كود غير موجود")))</f>
        <v/>
      </c>
      <c r="E771" s="24"/>
      <c r="F771" s="28" t="str">
        <f aca="false">IF($C771="","",IFERROR(INDEX('المواد الخام'!$D$5:$D$104,MATCH($C771,'المواد الخام'!$A$5:$A$104,0)),"حبة"))</f>
        <v/>
      </c>
      <c r="G771" s="30"/>
      <c r="H771" s="29"/>
      <c r="I771" s="29"/>
    </row>
    <row r="772" customFormat="false" ht="15" hidden="false" customHeight="false" outlineLevel="0" collapsed="false">
      <c r="A772" s="32"/>
      <c r="B772" s="29"/>
      <c r="C772" s="29"/>
      <c r="D772" s="28" t="str">
        <f aca="false">IF($C772="","",IFERROR(INDEX('المواد الخام'!$B$5:$B$104,MATCH($C772,'المواد الخام'!$A$5:$A$104,0)),IFERROR(INDEX(المنتجات!$C$5:$C$24,MATCH($C772,المنتجات!$A$5:$A$24,0)),"كود غير موجود")))</f>
        <v/>
      </c>
      <c r="E772" s="24"/>
      <c r="F772" s="28" t="str">
        <f aca="false">IF($C772="","",IFERROR(INDEX('المواد الخام'!$D$5:$D$104,MATCH($C772,'المواد الخام'!$A$5:$A$104,0)),"حبة"))</f>
        <v/>
      </c>
      <c r="G772" s="30"/>
      <c r="H772" s="29"/>
      <c r="I772" s="29"/>
    </row>
    <row r="773" customFormat="false" ht="15" hidden="false" customHeight="false" outlineLevel="0" collapsed="false">
      <c r="A773" s="32"/>
      <c r="B773" s="29"/>
      <c r="C773" s="29"/>
      <c r="D773" s="28" t="str">
        <f aca="false">IF($C773="","",IFERROR(INDEX('المواد الخام'!$B$5:$B$104,MATCH($C773,'المواد الخام'!$A$5:$A$104,0)),IFERROR(INDEX(المنتجات!$C$5:$C$24,MATCH($C773,المنتجات!$A$5:$A$24,0)),"كود غير موجود")))</f>
        <v/>
      </c>
      <c r="E773" s="24"/>
      <c r="F773" s="28" t="str">
        <f aca="false">IF($C773="","",IFERROR(INDEX('المواد الخام'!$D$5:$D$104,MATCH($C773,'المواد الخام'!$A$5:$A$104,0)),"حبة"))</f>
        <v/>
      </c>
      <c r="G773" s="30"/>
      <c r="H773" s="29"/>
      <c r="I773" s="29"/>
    </row>
    <row r="774" customFormat="false" ht="15" hidden="false" customHeight="false" outlineLevel="0" collapsed="false">
      <c r="A774" s="32"/>
      <c r="B774" s="29"/>
      <c r="C774" s="29"/>
      <c r="D774" s="28" t="str">
        <f aca="false">IF($C774="","",IFERROR(INDEX('المواد الخام'!$B$5:$B$104,MATCH($C774,'المواد الخام'!$A$5:$A$104,0)),IFERROR(INDEX(المنتجات!$C$5:$C$24,MATCH($C774,المنتجات!$A$5:$A$24,0)),"كود غير موجود")))</f>
        <v/>
      </c>
      <c r="E774" s="24"/>
      <c r="F774" s="28" t="str">
        <f aca="false">IF($C774="","",IFERROR(INDEX('المواد الخام'!$D$5:$D$104,MATCH($C774,'المواد الخام'!$A$5:$A$104,0)),"حبة"))</f>
        <v/>
      </c>
      <c r="G774" s="30"/>
      <c r="H774" s="29"/>
      <c r="I774" s="29"/>
    </row>
    <row r="775" customFormat="false" ht="15" hidden="false" customHeight="false" outlineLevel="0" collapsed="false">
      <c r="A775" s="32"/>
      <c r="B775" s="29"/>
      <c r="C775" s="29"/>
      <c r="D775" s="28" t="str">
        <f aca="false">IF($C775="","",IFERROR(INDEX('المواد الخام'!$B$5:$B$104,MATCH($C775,'المواد الخام'!$A$5:$A$104,0)),IFERROR(INDEX(المنتجات!$C$5:$C$24,MATCH($C775,المنتجات!$A$5:$A$24,0)),"كود غير موجود")))</f>
        <v/>
      </c>
      <c r="E775" s="24"/>
      <c r="F775" s="28" t="str">
        <f aca="false">IF($C775="","",IFERROR(INDEX('المواد الخام'!$D$5:$D$104,MATCH($C775,'المواد الخام'!$A$5:$A$104,0)),"حبة"))</f>
        <v/>
      </c>
      <c r="G775" s="30"/>
      <c r="H775" s="29"/>
      <c r="I775" s="29"/>
    </row>
    <row r="776" customFormat="false" ht="15" hidden="false" customHeight="false" outlineLevel="0" collapsed="false">
      <c r="A776" s="32"/>
      <c r="B776" s="29"/>
      <c r="C776" s="29"/>
      <c r="D776" s="28" t="str">
        <f aca="false">IF($C776="","",IFERROR(INDEX('المواد الخام'!$B$5:$B$104,MATCH($C776,'المواد الخام'!$A$5:$A$104,0)),IFERROR(INDEX(المنتجات!$C$5:$C$24,MATCH($C776,المنتجات!$A$5:$A$24,0)),"كود غير موجود")))</f>
        <v/>
      </c>
      <c r="E776" s="24"/>
      <c r="F776" s="28" t="str">
        <f aca="false">IF($C776="","",IFERROR(INDEX('المواد الخام'!$D$5:$D$104,MATCH($C776,'المواد الخام'!$A$5:$A$104,0)),"حبة"))</f>
        <v/>
      </c>
      <c r="G776" s="30"/>
      <c r="H776" s="29"/>
      <c r="I776" s="29"/>
    </row>
    <row r="777" customFormat="false" ht="15" hidden="false" customHeight="false" outlineLevel="0" collapsed="false">
      <c r="A777" s="32"/>
      <c r="B777" s="29"/>
      <c r="C777" s="29"/>
      <c r="D777" s="28" t="str">
        <f aca="false">IF($C777="","",IFERROR(INDEX('المواد الخام'!$B$5:$B$104,MATCH($C777,'المواد الخام'!$A$5:$A$104,0)),IFERROR(INDEX(المنتجات!$C$5:$C$24,MATCH($C777,المنتجات!$A$5:$A$24,0)),"كود غير موجود")))</f>
        <v/>
      </c>
      <c r="E777" s="24"/>
      <c r="F777" s="28" t="str">
        <f aca="false">IF($C777="","",IFERROR(INDEX('المواد الخام'!$D$5:$D$104,MATCH($C777,'المواد الخام'!$A$5:$A$104,0)),"حبة"))</f>
        <v/>
      </c>
      <c r="G777" s="30"/>
      <c r="H777" s="29"/>
      <c r="I777" s="29"/>
    </row>
    <row r="778" customFormat="false" ht="15" hidden="false" customHeight="false" outlineLevel="0" collapsed="false">
      <c r="A778" s="32"/>
      <c r="B778" s="29"/>
      <c r="C778" s="29"/>
      <c r="D778" s="28" t="str">
        <f aca="false">IF($C778="","",IFERROR(INDEX('المواد الخام'!$B$5:$B$104,MATCH($C778,'المواد الخام'!$A$5:$A$104,0)),IFERROR(INDEX(المنتجات!$C$5:$C$24,MATCH($C778,المنتجات!$A$5:$A$24,0)),"كود غير موجود")))</f>
        <v/>
      </c>
      <c r="E778" s="24"/>
      <c r="F778" s="28" t="str">
        <f aca="false">IF($C778="","",IFERROR(INDEX('المواد الخام'!$D$5:$D$104,MATCH($C778,'المواد الخام'!$A$5:$A$104,0)),"حبة"))</f>
        <v/>
      </c>
      <c r="G778" s="30"/>
      <c r="H778" s="29"/>
      <c r="I778" s="29"/>
    </row>
    <row r="779" customFormat="false" ht="15" hidden="false" customHeight="false" outlineLevel="0" collapsed="false">
      <c r="A779" s="32"/>
      <c r="B779" s="29"/>
      <c r="C779" s="29"/>
      <c r="D779" s="28" t="str">
        <f aca="false">IF($C779="","",IFERROR(INDEX('المواد الخام'!$B$5:$B$104,MATCH($C779,'المواد الخام'!$A$5:$A$104,0)),IFERROR(INDEX(المنتجات!$C$5:$C$24,MATCH($C779,المنتجات!$A$5:$A$24,0)),"كود غير موجود")))</f>
        <v/>
      </c>
      <c r="E779" s="24"/>
      <c r="F779" s="28" t="str">
        <f aca="false">IF($C779="","",IFERROR(INDEX('المواد الخام'!$D$5:$D$104,MATCH($C779,'المواد الخام'!$A$5:$A$104,0)),"حبة"))</f>
        <v/>
      </c>
      <c r="G779" s="30"/>
      <c r="H779" s="29"/>
      <c r="I779" s="29"/>
    </row>
    <row r="780" customFormat="false" ht="15" hidden="false" customHeight="false" outlineLevel="0" collapsed="false">
      <c r="A780" s="32"/>
      <c r="B780" s="29"/>
      <c r="C780" s="29"/>
      <c r="D780" s="28" t="str">
        <f aca="false">IF($C780="","",IFERROR(INDEX('المواد الخام'!$B$5:$B$104,MATCH($C780,'المواد الخام'!$A$5:$A$104,0)),IFERROR(INDEX(المنتجات!$C$5:$C$24,MATCH($C780,المنتجات!$A$5:$A$24,0)),"كود غير موجود")))</f>
        <v/>
      </c>
      <c r="E780" s="24"/>
      <c r="F780" s="28" t="str">
        <f aca="false">IF($C780="","",IFERROR(INDEX('المواد الخام'!$D$5:$D$104,MATCH($C780,'المواد الخام'!$A$5:$A$104,0)),"حبة"))</f>
        <v/>
      </c>
      <c r="G780" s="30"/>
      <c r="H780" s="29"/>
      <c r="I780" s="29"/>
    </row>
    <row r="781" customFormat="false" ht="15" hidden="false" customHeight="false" outlineLevel="0" collapsed="false">
      <c r="A781" s="32"/>
      <c r="B781" s="29"/>
      <c r="C781" s="29"/>
      <c r="D781" s="28" t="str">
        <f aca="false">IF($C781="","",IFERROR(INDEX('المواد الخام'!$B$5:$B$104,MATCH($C781,'المواد الخام'!$A$5:$A$104,0)),IFERROR(INDEX(المنتجات!$C$5:$C$24,MATCH($C781,المنتجات!$A$5:$A$24,0)),"كود غير موجود")))</f>
        <v/>
      </c>
      <c r="E781" s="24"/>
      <c r="F781" s="28" t="str">
        <f aca="false">IF($C781="","",IFERROR(INDEX('المواد الخام'!$D$5:$D$104,MATCH($C781,'المواد الخام'!$A$5:$A$104,0)),"حبة"))</f>
        <v/>
      </c>
      <c r="G781" s="30"/>
      <c r="H781" s="29"/>
      <c r="I781" s="29"/>
    </row>
    <row r="782" customFormat="false" ht="15" hidden="false" customHeight="false" outlineLevel="0" collapsed="false">
      <c r="A782" s="32"/>
      <c r="B782" s="29"/>
      <c r="C782" s="29"/>
      <c r="D782" s="28" t="str">
        <f aca="false">IF($C782="","",IFERROR(INDEX('المواد الخام'!$B$5:$B$104,MATCH($C782,'المواد الخام'!$A$5:$A$104,0)),IFERROR(INDEX(المنتجات!$C$5:$C$24,MATCH($C782,المنتجات!$A$5:$A$24,0)),"كود غير موجود")))</f>
        <v/>
      </c>
      <c r="E782" s="24"/>
      <c r="F782" s="28" t="str">
        <f aca="false">IF($C782="","",IFERROR(INDEX('المواد الخام'!$D$5:$D$104,MATCH($C782,'المواد الخام'!$A$5:$A$104,0)),"حبة"))</f>
        <v/>
      </c>
      <c r="G782" s="30"/>
      <c r="H782" s="29"/>
      <c r="I782" s="29"/>
    </row>
    <row r="783" customFormat="false" ht="15" hidden="false" customHeight="false" outlineLevel="0" collapsed="false">
      <c r="A783" s="32"/>
      <c r="B783" s="29"/>
      <c r="C783" s="29"/>
      <c r="D783" s="28" t="str">
        <f aca="false">IF($C783="","",IFERROR(INDEX('المواد الخام'!$B$5:$B$104,MATCH($C783,'المواد الخام'!$A$5:$A$104,0)),IFERROR(INDEX(المنتجات!$C$5:$C$24,MATCH($C783,المنتجات!$A$5:$A$24,0)),"كود غير موجود")))</f>
        <v/>
      </c>
      <c r="E783" s="24"/>
      <c r="F783" s="28" t="str">
        <f aca="false">IF($C783="","",IFERROR(INDEX('المواد الخام'!$D$5:$D$104,MATCH($C783,'المواد الخام'!$A$5:$A$104,0)),"حبة"))</f>
        <v/>
      </c>
      <c r="G783" s="30"/>
      <c r="H783" s="29"/>
      <c r="I783" s="29"/>
    </row>
    <row r="784" customFormat="false" ht="15" hidden="false" customHeight="false" outlineLevel="0" collapsed="false">
      <c r="A784" s="32"/>
      <c r="B784" s="29"/>
      <c r="C784" s="29"/>
      <c r="D784" s="28" t="str">
        <f aca="false">IF($C784="","",IFERROR(INDEX('المواد الخام'!$B$5:$B$104,MATCH($C784,'المواد الخام'!$A$5:$A$104,0)),IFERROR(INDEX(المنتجات!$C$5:$C$24,MATCH($C784,المنتجات!$A$5:$A$24,0)),"كود غير موجود")))</f>
        <v/>
      </c>
      <c r="E784" s="24"/>
      <c r="F784" s="28" t="str">
        <f aca="false">IF($C784="","",IFERROR(INDEX('المواد الخام'!$D$5:$D$104,MATCH($C784,'المواد الخام'!$A$5:$A$104,0)),"حبة"))</f>
        <v/>
      </c>
      <c r="G784" s="30"/>
      <c r="H784" s="29"/>
      <c r="I784" s="29"/>
    </row>
    <row r="785" customFormat="false" ht="15" hidden="false" customHeight="false" outlineLevel="0" collapsed="false">
      <c r="A785" s="32"/>
      <c r="B785" s="29"/>
      <c r="C785" s="29"/>
      <c r="D785" s="28" t="str">
        <f aca="false">IF($C785="","",IFERROR(INDEX('المواد الخام'!$B$5:$B$104,MATCH($C785,'المواد الخام'!$A$5:$A$104,0)),IFERROR(INDEX(المنتجات!$C$5:$C$24,MATCH($C785,المنتجات!$A$5:$A$24,0)),"كود غير موجود")))</f>
        <v/>
      </c>
      <c r="E785" s="24"/>
      <c r="F785" s="28" t="str">
        <f aca="false">IF($C785="","",IFERROR(INDEX('المواد الخام'!$D$5:$D$104,MATCH($C785,'المواد الخام'!$A$5:$A$104,0)),"حبة"))</f>
        <v/>
      </c>
      <c r="G785" s="30"/>
      <c r="H785" s="29"/>
      <c r="I785" s="29"/>
    </row>
    <row r="786" customFormat="false" ht="15" hidden="false" customHeight="false" outlineLevel="0" collapsed="false">
      <c r="A786" s="32"/>
      <c r="B786" s="29"/>
      <c r="C786" s="29"/>
      <c r="D786" s="28" t="str">
        <f aca="false">IF($C786="","",IFERROR(INDEX('المواد الخام'!$B$5:$B$104,MATCH($C786,'المواد الخام'!$A$5:$A$104,0)),IFERROR(INDEX(المنتجات!$C$5:$C$24,MATCH($C786,المنتجات!$A$5:$A$24,0)),"كود غير موجود")))</f>
        <v/>
      </c>
      <c r="E786" s="24"/>
      <c r="F786" s="28" t="str">
        <f aca="false">IF($C786="","",IFERROR(INDEX('المواد الخام'!$D$5:$D$104,MATCH($C786,'المواد الخام'!$A$5:$A$104,0)),"حبة"))</f>
        <v/>
      </c>
      <c r="G786" s="30"/>
      <c r="H786" s="29"/>
      <c r="I786" s="29"/>
    </row>
    <row r="787" customFormat="false" ht="15" hidden="false" customHeight="false" outlineLevel="0" collapsed="false">
      <c r="A787" s="32"/>
      <c r="B787" s="29"/>
      <c r="C787" s="29"/>
      <c r="D787" s="28" t="str">
        <f aca="false">IF($C787="","",IFERROR(INDEX('المواد الخام'!$B$5:$B$104,MATCH($C787,'المواد الخام'!$A$5:$A$104,0)),IFERROR(INDEX(المنتجات!$C$5:$C$24,MATCH($C787,المنتجات!$A$5:$A$24,0)),"كود غير موجود")))</f>
        <v/>
      </c>
      <c r="E787" s="24"/>
      <c r="F787" s="28" t="str">
        <f aca="false">IF($C787="","",IFERROR(INDEX('المواد الخام'!$D$5:$D$104,MATCH($C787,'المواد الخام'!$A$5:$A$104,0)),"حبة"))</f>
        <v/>
      </c>
      <c r="G787" s="30"/>
      <c r="H787" s="29"/>
      <c r="I787" s="29"/>
    </row>
    <row r="788" customFormat="false" ht="15" hidden="false" customHeight="false" outlineLevel="0" collapsed="false">
      <c r="A788" s="32"/>
      <c r="B788" s="29"/>
      <c r="C788" s="29"/>
      <c r="D788" s="28" t="str">
        <f aca="false">IF($C788="","",IFERROR(INDEX('المواد الخام'!$B$5:$B$104,MATCH($C788,'المواد الخام'!$A$5:$A$104,0)),IFERROR(INDEX(المنتجات!$C$5:$C$24,MATCH($C788,المنتجات!$A$5:$A$24,0)),"كود غير موجود")))</f>
        <v/>
      </c>
      <c r="E788" s="24"/>
      <c r="F788" s="28" t="str">
        <f aca="false">IF($C788="","",IFERROR(INDEX('المواد الخام'!$D$5:$D$104,MATCH($C788,'المواد الخام'!$A$5:$A$104,0)),"حبة"))</f>
        <v/>
      </c>
      <c r="G788" s="30"/>
      <c r="H788" s="29"/>
      <c r="I788" s="29"/>
    </row>
    <row r="789" customFormat="false" ht="15" hidden="false" customHeight="false" outlineLevel="0" collapsed="false">
      <c r="A789" s="32"/>
      <c r="B789" s="29"/>
      <c r="C789" s="29"/>
      <c r="D789" s="28" t="str">
        <f aca="false">IF($C789="","",IFERROR(INDEX('المواد الخام'!$B$5:$B$104,MATCH($C789,'المواد الخام'!$A$5:$A$104,0)),IFERROR(INDEX(المنتجات!$C$5:$C$24,MATCH($C789,المنتجات!$A$5:$A$24,0)),"كود غير موجود")))</f>
        <v/>
      </c>
      <c r="E789" s="24"/>
      <c r="F789" s="28" t="str">
        <f aca="false">IF($C789="","",IFERROR(INDEX('المواد الخام'!$D$5:$D$104,MATCH($C789,'المواد الخام'!$A$5:$A$104,0)),"حبة"))</f>
        <v/>
      </c>
      <c r="G789" s="30"/>
      <c r="H789" s="29"/>
      <c r="I789" s="29"/>
    </row>
    <row r="790" customFormat="false" ht="15" hidden="false" customHeight="false" outlineLevel="0" collapsed="false">
      <c r="A790" s="32"/>
      <c r="B790" s="29"/>
      <c r="C790" s="29"/>
      <c r="D790" s="28" t="str">
        <f aca="false">IF($C790="","",IFERROR(INDEX('المواد الخام'!$B$5:$B$104,MATCH($C790,'المواد الخام'!$A$5:$A$104,0)),IFERROR(INDEX(المنتجات!$C$5:$C$24,MATCH($C790,المنتجات!$A$5:$A$24,0)),"كود غير موجود")))</f>
        <v/>
      </c>
      <c r="E790" s="24"/>
      <c r="F790" s="28" t="str">
        <f aca="false">IF($C790="","",IFERROR(INDEX('المواد الخام'!$D$5:$D$104,MATCH($C790,'المواد الخام'!$A$5:$A$104,0)),"حبة"))</f>
        <v/>
      </c>
      <c r="G790" s="30"/>
      <c r="H790" s="29"/>
      <c r="I790" s="29"/>
    </row>
    <row r="791" customFormat="false" ht="15" hidden="false" customHeight="false" outlineLevel="0" collapsed="false">
      <c r="A791" s="32"/>
      <c r="B791" s="29"/>
      <c r="C791" s="29"/>
      <c r="D791" s="28" t="str">
        <f aca="false">IF($C791="","",IFERROR(INDEX('المواد الخام'!$B$5:$B$104,MATCH($C791,'المواد الخام'!$A$5:$A$104,0)),IFERROR(INDEX(المنتجات!$C$5:$C$24,MATCH($C791,المنتجات!$A$5:$A$24,0)),"كود غير موجود")))</f>
        <v/>
      </c>
      <c r="E791" s="24"/>
      <c r="F791" s="28" t="str">
        <f aca="false">IF($C791="","",IFERROR(INDEX('المواد الخام'!$D$5:$D$104,MATCH($C791,'المواد الخام'!$A$5:$A$104,0)),"حبة"))</f>
        <v/>
      </c>
      <c r="G791" s="30"/>
      <c r="H791" s="29"/>
      <c r="I791" s="29"/>
    </row>
    <row r="792" customFormat="false" ht="15" hidden="false" customHeight="false" outlineLevel="0" collapsed="false">
      <c r="A792" s="32"/>
      <c r="B792" s="29"/>
      <c r="C792" s="29"/>
      <c r="D792" s="28" t="str">
        <f aca="false">IF($C792="","",IFERROR(INDEX('المواد الخام'!$B$5:$B$104,MATCH($C792,'المواد الخام'!$A$5:$A$104,0)),IFERROR(INDEX(المنتجات!$C$5:$C$24,MATCH($C792,المنتجات!$A$5:$A$24,0)),"كود غير موجود")))</f>
        <v/>
      </c>
      <c r="E792" s="24"/>
      <c r="F792" s="28" t="str">
        <f aca="false">IF($C792="","",IFERROR(INDEX('المواد الخام'!$D$5:$D$104,MATCH($C792,'المواد الخام'!$A$5:$A$104,0)),"حبة"))</f>
        <v/>
      </c>
      <c r="G792" s="30"/>
      <c r="H792" s="29"/>
      <c r="I792" s="29"/>
    </row>
    <row r="793" customFormat="false" ht="15" hidden="false" customHeight="false" outlineLevel="0" collapsed="false">
      <c r="A793" s="32"/>
      <c r="B793" s="29"/>
      <c r="C793" s="29"/>
      <c r="D793" s="28" t="str">
        <f aca="false">IF($C793="","",IFERROR(INDEX('المواد الخام'!$B$5:$B$104,MATCH($C793,'المواد الخام'!$A$5:$A$104,0)),IFERROR(INDEX(المنتجات!$C$5:$C$24,MATCH($C793,المنتجات!$A$5:$A$24,0)),"كود غير موجود")))</f>
        <v/>
      </c>
      <c r="E793" s="24"/>
      <c r="F793" s="28" t="str">
        <f aca="false">IF($C793="","",IFERROR(INDEX('المواد الخام'!$D$5:$D$104,MATCH($C793,'المواد الخام'!$A$5:$A$104,0)),"حبة"))</f>
        <v/>
      </c>
      <c r="G793" s="30"/>
      <c r="H793" s="29"/>
      <c r="I793" s="29"/>
    </row>
    <row r="794" customFormat="false" ht="15" hidden="false" customHeight="false" outlineLevel="0" collapsed="false">
      <c r="A794" s="32"/>
      <c r="B794" s="29"/>
      <c r="C794" s="29"/>
      <c r="D794" s="28" t="str">
        <f aca="false">IF($C794="","",IFERROR(INDEX('المواد الخام'!$B$5:$B$104,MATCH($C794,'المواد الخام'!$A$5:$A$104,0)),IFERROR(INDEX(المنتجات!$C$5:$C$24,MATCH($C794,المنتجات!$A$5:$A$24,0)),"كود غير موجود")))</f>
        <v/>
      </c>
      <c r="E794" s="24"/>
      <c r="F794" s="28" t="str">
        <f aca="false">IF($C794="","",IFERROR(INDEX('المواد الخام'!$D$5:$D$104,MATCH($C794,'المواد الخام'!$A$5:$A$104,0)),"حبة"))</f>
        <v/>
      </c>
      <c r="G794" s="30"/>
      <c r="H794" s="29"/>
      <c r="I794" s="29"/>
    </row>
    <row r="795" customFormat="false" ht="15" hidden="false" customHeight="false" outlineLevel="0" collapsed="false">
      <c r="A795" s="32"/>
      <c r="B795" s="29"/>
      <c r="C795" s="29"/>
      <c r="D795" s="28" t="str">
        <f aca="false">IF($C795="","",IFERROR(INDEX('المواد الخام'!$B$5:$B$104,MATCH($C795,'المواد الخام'!$A$5:$A$104,0)),IFERROR(INDEX(المنتجات!$C$5:$C$24,MATCH($C795,المنتجات!$A$5:$A$24,0)),"كود غير موجود")))</f>
        <v/>
      </c>
      <c r="E795" s="24"/>
      <c r="F795" s="28" t="str">
        <f aca="false">IF($C795="","",IFERROR(INDEX('المواد الخام'!$D$5:$D$104,MATCH($C795,'المواد الخام'!$A$5:$A$104,0)),"حبة"))</f>
        <v/>
      </c>
      <c r="G795" s="30"/>
      <c r="H795" s="29"/>
      <c r="I795" s="29"/>
    </row>
    <row r="796" customFormat="false" ht="15" hidden="false" customHeight="false" outlineLevel="0" collapsed="false">
      <c r="A796" s="32"/>
      <c r="B796" s="29"/>
      <c r="C796" s="29"/>
      <c r="D796" s="28" t="str">
        <f aca="false">IF($C796="","",IFERROR(INDEX('المواد الخام'!$B$5:$B$104,MATCH($C796,'المواد الخام'!$A$5:$A$104,0)),IFERROR(INDEX(المنتجات!$C$5:$C$24,MATCH($C796,المنتجات!$A$5:$A$24,0)),"كود غير موجود")))</f>
        <v/>
      </c>
      <c r="E796" s="24"/>
      <c r="F796" s="28" t="str">
        <f aca="false">IF($C796="","",IFERROR(INDEX('المواد الخام'!$D$5:$D$104,MATCH($C796,'المواد الخام'!$A$5:$A$104,0)),"حبة"))</f>
        <v/>
      </c>
      <c r="G796" s="30"/>
      <c r="H796" s="29"/>
      <c r="I796" s="29"/>
    </row>
    <row r="797" customFormat="false" ht="15" hidden="false" customHeight="false" outlineLevel="0" collapsed="false">
      <c r="A797" s="32"/>
      <c r="B797" s="29"/>
      <c r="C797" s="29"/>
      <c r="D797" s="28" t="str">
        <f aca="false">IF($C797="","",IFERROR(INDEX('المواد الخام'!$B$5:$B$104,MATCH($C797,'المواد الخام'!$A$5:$A$104,0)),IFERROR(INDEX(المنتجات!$C$5:$C$24,MATCH($C797,المنتجات!$A$5:$A$24,0)),"كود غير موجود")))</f>
        <v/>
      </c>
      <c r="E797" s="24"/>
      <c r="F797" s="28" t="str">
        <f aca="false">IF($C797="","",IFERROR(INDEX('المواد الخام'!$D$5:$D$104,MATCH($C797,'المواد الخام'!$A$5:$A$104,0)),"حبة"))</f>
        <v/>
      </c>
      <c r="G797" s="30"/>
      <c r="H797" s="29"/>
      <c r="I797" s="29"/>
    </row>
    <row r="798" customFormat="false" ht="15" hidden="false" customHeight="false" outlineLevel="0" collapsed="false">
      <c r="A798" s="32"/>
      <c r="B798" s="29"/>
      <c r="C798" s="29"/>
      <c r="D798" s="28" t="str">
        <f aca="false">IF($C798="","",IFERROR(INDEX('المواد الخام'!$B$5:$B$104,MATCH($C798,'المواد الخام'!$A$5:$A$104,0)),IFERROR(INDEX(المنتجات!$C$5:$C$24,MATCH($C798,المنتجات!$A$5:$A$24,0)),"كود غير موجود")))</f>
        <v/>
      </c>
      <c r="E798" s="24"/>
      <c r="F798" s="28" t="str">
        <f aca="false">IF($C798="","",IFERROR(INDEX('المواد الخام'!$D$5:$D$104,MATCH($C798,'المواد الخام'!$A$5:$A$104,0)),"حبة"))</f>
        <v/>
      </c>
      <c r="G798" s="30"/>
      <c r="H798" s="29"/>
      <c r="I798" s="29"/>
    </row>
    <row r="799" customFormat="false" ht="15" hidden="false" customHeight="false" outlineLevel="0" collapsed="false">
      <c r="A799" s="32"/>
      <c r="B799" s="29"/>
      <c r="C799" s="29"/>
      <c r="D799" s="28" t="str">
        <f aca="false">IF($C799="","",IFERROR(INDEX('المواد الخام'!$B$5:$B$104,MATCH($C799,'المواد الخام'!$A$5:$A$104,0)),IFERROR(INDEX(المنتجات!$C$5:$C$24,MATCH($C799,المنتجات!$A$5:$A$24,0)),"كود غير موجود")))</f>
        <v/>
      </c>
      <c r="E799" s="24"/>
      <c r="F799" s="28" t="str">
        <f aca="false">IF($C799="","",IFERROR(INDEX('المواد الخام'!$D$5:$D$104,MATCH($C799,'المواد الخام'!$A$5:$A$104,0)),"حبة"))</f>
        <v/>
      </c>
      <c r="G799" s="30"/>
      <c r="H799" s="29"/>
      <c r="I799" s="29"/>
    </row>
    <row r="800" customFormat="false" ht="15" hidden="false" customHeight="false" outlineLevel="0" collapsed="false">
      <c r="A800" s="32"/>
      <c r="B800" s="29"/>
      <c r="C800" s="29"/>
      <c r="D800" s="28" t="str">
        <f aca="false">IF($C800="","",IFERROR(INDEX('المواد الخام'!$B$5:$B$104,MATCH($C800,'المواد الخام'!$A$5:$A$104,0)),IFERROR(INDEX(المنتجات!$C$5:$C$24,MATCH($C800,المنتجات!$A$5:$A$24,0)),"كود غير موجود")))</f>
        <v/>
      </c>
      <c r="E800" s="24"/>
      <c r="F800" s="28" t="str">
        <f aca="false">IF($C800="","",IFERROR(INDEX('المواد الخام'!$D$5:$D$104,MATCH($C800,'المواد الخام'!$A$5:$A$104,0)),"حبة"))</f>
        <v/>
      </c>
      <c r="G800" s="30"/>
      <c r="H800" s="29"/>
      <c r="I800" s="29"/>
    </row>
    <row r="801" customFormat="false" ht="15" hidden="false" customHeight="false" outlineLevel="0" collapsed="false">
      <c r="A801" s="32"/>
      <c r="B801" s="29"/>
      <c r="C801" s="29"/>
      <c r="D801" s="28" t="str">
        <f aca="false">IF($C801="","",IFERROR(INDEX('المواد الخام'!$B$5:$B$104,MATCH($C801,'المواد الخام'!$A$5:$A$104,0)),IFERROR(INDEX(المنتجات!$C$5:$C$24,MATCH($C801,المنتجات!$A$5:$A$24,0)),"كود غير موجود")))</f>
        <v/>
      </c>
      <c r="E801" s="24"/>
      <c r="F801" s="28" t="str">
        <f aca="false">IF($C801="","",IFERROR(INDEX('المواد الخام'!$D$5:$D$104,MATCH($C801,'المواد الخام'!$A$5:$A$104,0)),"حبة"))</f>
        <v/>
      </c>
      <c r="G801" s="30"/>
      <c r="H801" s="29"/>
      <c r="I801" s="29"/>
    </row>
    <row r="802" customFormat="false" ht="15" hidden="false" customHeight="false" outlineLevel="0" collapsed="false">
      <c r="A802" s="32"/>
      <c r="B802" s="29"/>
      <c r="C802" s="29"/>
      <c r="D802" s="28" t="str">
        <f aca="false">IF($C802="","",IFERROR(INDEX('المواد الخام'!$B$5:$B$104,MATCH($C802,'المواد الخام'!$A$5:$A$104,0)),IFERROR(INDEX(المنتجات!$C$5:$C$24,MATCH($C802,المنتجات!$A$5:$A$24,0)),"كود غير موجود")))</f>
        <v/>
      </c>
      <c r="E802" s="24"/>
      <c r="F802" s="28" t="str">
        <f aca="false">IF($C802="","",IFERROR(INDEX('المواد الخام'!$D$5:$D$104,MATCH($C802,'المواد الخام'!$A$5:$A$104,0)),"حبة"))</f>
        <v/>
      </c>
      <c r="G802" s="30"/>
      <c r="H802" s="29"/>
      <c r="I802" s="29"/>
    </row>
    <row r="803" customFormat="false" ht="15" hidden="false" customHeight="false" outlineLevel="0" collapsed="false">
      <c r="A803" s="32"/>
      <c r="B803" s="29"/>
      <c r="C803" s="29"/>
      <c r="D803" s="28" t="str">
        <f aca="false">IF($C803="","",IFERROR(INDEX('المواد الخام'!$B$5:$B$104,MATCH($C803,'المواد الخام'!$A$5:$A$104,0)),IFERROR(INDEX(المنتجات!$C$5:$C$24,MATCH($C803,المنتجات!$A$5:$A$24,0)),"كود غير موجود")))</f>
        <v/>
      </c>
      <c r="E803" s="24"/>
      <c r="F803" s="28" t="str">
        <f aca="false">IF($C803="","",IFERROR(INDEX('المواد الخام'!$D$5:$D$104,MATCH($C803,'المواد الخام'!$A$5:$A$104,0)),"حبة"))</f>
        <v/>
      </c>
      <c r="G803" s="30"/>
      <c r="H803" s="29"/>
      <c r="I803" s="29"/>
    </row>
    <row r="804" customFormat="false" ht="15" hidden="false" customHeight="false" outlineLevel="0" collapsed="false">
      <c r="A804" s="32"/>
      <c r="B804" s="29"/>
      <c r="C804" s="29"/>
      <c r="D804" s="28" t="str">
        <f aca="false">IF($C804="","",IFERROR(INDEX('المواد الخام'!$B$5:$B$104,MATCH($C804,'المواد الخام'!$A$5:$A$104,0)),IFERROR(INDEX(المنتجات!$C$5:$C$24,MATCH($C804,المنتجات!$A$5:$A$24,0)),"كود غير موجود")))</f>
        <v/>
      </c>
      <c r="E804" s="24"/>
      <c r="F804" s="28" t="str">
        <f aca="false">IF($C804="","",IFERROR(INDEX('المواد الخام'!$D$5:$D$104,MATCH($C804,'المواد الخام'!$A$5:$A$104,0)),"حبة"))</f>
        <v/>
      </c>
      <c r="G804" s="30"/>
      <c r="H804" s="29"/>
      <c r="I804" s="29"/>
    </row>
    <row r="805" customFormat="false" ht="15" hidden="false" customHeight="false" outlineLevel="0" collapsed="false">
      <c r="A805" s="32"/>
      <c r="B805" s="29"/>
      <c r="C805" s="29"/>
      <c r="D805" s="28" t="str">
        <f aca="false">IF($C805="","",IFERROR(INDEX('المواد الخام'!$B$5:$B$104,MATCH($C805,'المواد الخام'!$A$5:$A$104,0)),IFERROR(INDEX(المنتجات!$C$5:$C$24,MATCH($C805,المنتجات!$A$5:$A$24,0)),"كود غير موجود")))</f>
        <v/>
      </c>
      <c r="E805" s="24"/>
      <c r="F805" s="28" t="str">
        <f aca="false">IF($C805="","",IFERROR(INDEX('المواد الخام'!$D$5:$D$104,MATCH($C805,'المواد الخام'!$A$5:$A$104,0)),"حبة"))</f>
        <v/>
      </c>
      <c r="G805" s="30"/>
      <c r="H805" s="29"/>
      <c r="I805" s="29"/>
    </row>
    <row r="806" customFormat="false" ht="15" hidden="false" customHeight="false" outlineLevel="0" collapsed="false">
      <c r="A806" s="32"/>
      <c r="B806" s="29"/>
      <c r="C806" s="29"/>
      <c r="D806" s="28" t="str">
        <f aca="false">IF($C806="","",IFERROR(INDEX('المواد الخام'!$B$5:$B$104,MATCH($C806,'المواد الخام'!$A$5:$A$104,0)),IFERROR(INDEX(المنتجات!$C$5:$C$24,MATCH($C806,المنتجات!$A$5:$A$24,0)),"كود غير موجود")))</f>
        <v/>
      </c>
      <c r="E806" s="24"/>
      <c r="F806" s="28" t="str">
        <f aca="false">IF($C806="","",IFERROR(INDEX('المواد الخام'!$D$5:$D$104,MATCH($C806,'المواد الخام'!$A$5:$A$104,0)),"حبة"))</f>
        <v/>
      </c>
      <c r="G806" s="30"/>
      <c r="H806" s="29"/>
      <c r="I806" s="29"/>
    </row>
    <row r="807" customFormat="false" ht="15" hidden="false" customHeight="false" outlineLevel="0" collapsed="false">
      <c r="A807" s="32"/>
      <c r="B807" s="29"/>
      <c r="C807" s="29"/>
      <c r="D807" s="28" t="str">
        <f aca="false">IF($C807="","",IFERROR(INDEX('المواد الخام'!$B$5:$B$104,MATCH($C807,'المواد الخام'!$A$5:$A$104,0)),IFERROR(INDEX(المنتجات!$C$5:$C$24,MATCH($C807,المنتجات!$A$5:$A$24,0)),"كود غير موجود")))</f>
        <v/>
      </c>
      <c r="E807" s="24"/>
      <c r="F807" s="28" t="str">
        <f aca="false">IF($C807="","",IFERROR(INDEX('المواد الخام'!$D$5:$D$104,MATCH($C807,'المواد الخام'!$A$5:$A$104,0)),"حبة"))</f>
        <v/>
      </c>
      <c r="G807" s="30"/>
      <c r="H807" s="29"/>
      <c r="I807" s="29"/>
    </row>
    <row r="808" customFormat="false" ht="15" hidden="false" customHeight="false" outlineLevel="0" collapsed="false">
      <c r="A808" s="32"/>
      <c r="B808" s="29"/>
      <c r="C808" s="29"/>
      <c r="D808" s="28" t="str">
        <f aca="false">IF($C808="","",IFERROR(INDEX('المواد الخام'!$B$5:$B$104,MATCH($C808,'المواد الخام'!$A$5:$A$104,0)),IFERROR(INDEX(المنتجات!$C$5:$C$24,MATCH($C808,المنتجات!$A$5:$A$24,0)),"كود غير موجود")))</f>
        <v/>
      </c>
      <c r="E808" s="24"/>
      <c r="F808" s="28" t="str">
        <f aca="false">IF($C808="","",IFERROR(INDEX('المواد الخام'!$D$5:$D$104,MATCH($C808,'المواد الخام'!$A$5:$A$104,0)),"حبة"))</f>
        <v/>
      </c>
      <c r="G808" s="30"/>
      <c r="H808" s="29"/>
      <c r="I808" s="29"/>
    </row>
    <row r="809" customFormat="false" ht="15" hidden="false" customHeight="false" outlineLevel="0" collapsed="false">
      <c r="A809" s="32"/>
      <c r="B809" s="29"/>
      <c r="C809" s="29"/>
      <c r="D809" s="28" t="str">
        <f aca="false">IF($C809="","",IFERROR(INDEX('المواد الخام'!$B$5:$B$104,MATCH($C809,'المواد الخام'!$A$5:$A$104,0)),IFERROR(INDEX(المنتجات!$C$5:$C$24,MATCH($C809,المنتجات!$A$5:$A$24,0)),"كود غير موجود")))</f>
        <v/>
      </c>
      <c r="E809" s="24"/>
      <c r="F809" s="28" t="str">
        <f aca="false">IF($C809="","",IFERROR(INDEX('المواد الخام'!$D$5:$D$104,MATCH($C809,'المواد الخام'!$A$5:$A$104,0)),"حبة"))</f>
        <v/>
      </c>
      <c r="G809" s="30"/>
      <c r="H809" s="29"/>
      <c r="I809" s="29"/>
    </row>
    <row r="810" customFormat="false" ht="15" hidden="false" customHeight="false" outlineLevel="0" collapsed="false">
      <c r="A810" s="32"/>
      <c r="B810" s="29"/>
      <c r="C810" s="29"/>
      <c r="D810" s="28" t="str">
        <f aca="false">IF($C810="","",IFERROR(INDEX('المواد الخام'!$B$5:$B$104,MATCH($C810,'المواد الخام'!$A$5:$A$104,0)),IFERROR(INDEX(المنتجات!$C$5:$C$24,MATCH($C810,المنتجات!$A$5:$A$24,0)),"كود غير موجود")))</f>
        <v/>
      </c>
      <c r="E810" s="24"/>
      <c r="F810" s="28" t="str">
        <f aca="false">IF($C810="","",IFERROR(INDEX('المواد الخام'!$D$5:$D$104,MATCH($C810,'المواد الخام'!$A$5:$A$104,0)),"حبة"))</f>
        <v/>
      </c>
      <c r="G810" s="30"/>
      <c r="H810" s="29"/>
      <c r="I810" s="29"/>
    </row>
    <row r="811" customFormat="false" ht="15" hidden="false" customHeight="false" outlineLevel="0" collapsed="false">
      <c r="A811" s="32"/>
      <c r="B811" s="29"/>
      <c r="C811" s="29"/>
      <c r="D811" s="28" t="str">
        <f aca="false">IF($C811="","",IFERROR(INDEX('المواد الخام'!$B$5:$B$104,MATCH($C811,'المواد الخام'!$A$5:$A$104,0)),IFERROR(INDEX(المنتجات!$C$5:$C$24,MATCH($C811,المنتجات!$A$5:$A$24,0)),"كود غير موجود")))</f>
        <v/>
      </c>
      <c r="E811" s="24"/>
      <c r="F811" s="28" t="str">
        <f aca="false">IF($C811="","",IFERROR(INDEX('المواد الخام'!$D$5:$D$104,MATCH($C811,'المواد الخام'!$A$5:$A$104,0)),"حبة"))</f>
        <v/>
      </c>
      <c r="G811" s="30"/>
      <c r="H811" s="29"/>
      <c r="I811" s="29"/>
    </row>
    <row r="812" customFormat="false" ht="15" hidden="false" customHeight="false" outlineLevel="0" collapsed="false">
      <c r="A812" s="32"/>
      <c r="B812" s="29"/>
      <c r="C812" s="29"/>
      <c r="D812" s="28" t="str">
        <f aca="false">IF($C812="","",IFERROR(INDEX('المواد الخام'!$B$5:$B$104,MATCH($C812,'المواد الخام'!$A$5:$A$104,0)),IFERROR(INDEX(المنتجات!$C$5:$C$24,MATCH($C812,المنتجات!$A$5:$A$24,0)),"كود غير موجود")))</f>
        <v/>
      </c>
      <c r="E812" s="24"/>
      <c r="F812" s="28" t="str">
        <f aca="false">IF($C812="","",IFERROR(INDEX('المواد الخام'!$D$5:$D$104,MATCH($C812,'المواد الخام'!$A$5:$A$104,0)),"حبة"))</f>
        <v/>
      </c>
      <c r="G812" s="30"/>
      <c r="H812" s="29"/>
      <c r="I812" s="29"/>
    </row>
    <row r="813" customFormat="false" ht="15" hidden="false" customHeight="false" outlineLevel="0" collapsed="false">
      <c r="A813" s="32"/>
      <c r="B813" s="29"/>
      <c r="C813" s="29"/>
      <c r="D813" s="28" t="str">
        <f aca="false">IF($C813="","",IFERROR(INDEX('المواد الخام'!$B$5:$B$104,MATCH($C813,'المواد الخام'!$A$5:$A$104,0)),IFERROR(INDEX(المنتجات!$C$5:$C$24,MATCH($C813,المنتجات!$A$5:$A$24,0)),"كود غير موجود")))</f>
        <v/>
      </c>
      <c r="E813" s="24"/>
      <c r="F813" s="28" t="str">
        <f aca="false">IF($C813="","",IFERROR(INDEX('المواد الخام'!$D$5:$D$104,MATCH($C813,'المواد الخام'!$A$5:$A$104,0)),"حبة"))</f>
        <v/>
      </c>
      <c r="G813" s="30"/>
      <c r="H813" s="29"/>
      <c r="I813" s="29"/>
    </row>
    <row r="814" customFormat="false" ht="15" hidden="false" customHeight="false" outlineLevel="0" collapsed="false">
      <c r="A814" s="32"/>
      <c r="B814" s="29"/>
      <c r="C814" s="29"/>
      <c r="D814" s="28" t="str">
        <f aca="false">IF($C814="","",IFERROR(INDEX('المواد الخام'!$B$5:$B$104,MATCH($C814,'المواد الخام'!$A$5:$A$104,0)),IFERROR(INDEX(المنتجات!$C$5:$C$24,MATCH($C814,المنتجات!$A$5:$A$24,0)),"كود غير موجود")))</f>
        <v/>
      </c>
      <c r="E814" s="24"/>
      <c r="F814" s="28" t="str">
        <f aca="false">IF($C814="","",IFERROR(INDEX('المواد الخام'!$D$5:$D$104,MATCH($C814,'المواد الخام'!$A$5:$A$104,0)),"حبة"))</f>
        <v/>
      </c>
      <c r="G814" s="30"/>
      <c r="H814" s="29"/>
      <c r="I814" s="29"/>
    </row>
    <row r="815" customFormat="false" ht="15" hidden="false" customHeight="false" outlineLevel="0" collapsed="false">
      <c r="A815" s="32"/>
      <c r="B815" s="29"/>
      <c r="C815" s="29"/>
      <c r="D815" s="28" t="str">
        <f aca="false">IF($C815="","",IFERROR(INDEX('المواد الخام'!$B$5:$B$104,MATCH($C815,'المواد الخام'!$A$5:$A$104,0)),IFERROR(INDEX(المنتجات!$C$5:$C$24,MATCH($C815,المنتجات!$A$5:$A$24,0)),"كود غير موجود")))</f>
        <v/>
      </c>
      <c r="E815" s="24"/>
      <c r="F815" s="28" t="str">
        <f aca="false">IF($C815="","",IFERROR(INDEX('المواد الخام'!$D$5:$D$104,MATCH($C815,'المواد الخام'!$A$5:$A$104,0)),"حبة"))</f>
        <v/>
      </c>
      <c r="G815" s="30"/>
      <c r="H815" s="29"/>
      <c r="I815" s="29"/>
    </row>
    <row r="816" customFormat="false" ht="15" hidden="false" customHeight="false" outlineLevel="0" collapsed="false">
      <c r="A816" s="32"/>
      <c r="B816" s="29"/>
      <c r="C816" s="29"/>
      <c r="D816" s="28" t="str">
        <f aca="false">IF($C816="","",IFERROR(INDEX('المواد الخام'!$B$5:$B$104,MATCH($C816,'المواد الخام'!$A$5:$A$104,0)),IFERROR(INDEX(المنتجات!$C$5:$C$24,MATCH($C816,المنتجات!$A$5:$A$24,0)),"كود غير موجود")))</f>
        <v/>
      </c>
      <c r="E816" s="24"/>
      <c r="F816" s="28" t="str">
        <f aca="false">IF($C816="","",IFERROR(INDEX('المواد الخام'!$D$5:$D$104,MATCH($C816,'المواد الخام'!$A$5:$A$104,0)),"حبة"))</f>
        <v/>
      </c>
      <c r="G816" s="30"/>
      <c r="H816" s="29"/>
      <c r="I816" s="29"/>
    </row>
    <row r="817" customFormat="false" ht="15" hidden="false" customHeight="false" outlineLevel="0" collapsed="false">
      <c r="A817" s="32"/>
      <c r="B817" s="29"/>
      <c r="C817" s="29"/>
      <c r="D817" s="28" t="str">
        <f aca="false">IF($C817="","",IFERROR(INDEX('المواد الخام'!$B$5:$B$104,MATCH($C817,'المواد الخام'!$A$5:$A$104,0)),IFERROR(INDEX(المنتجات!$C$5:$C$24,MATCH($C817,المنتجات!$A$5:$A$24,0)),"كود غير موجود")))</f>
        <v/>
      </c>
      <c r="E817" s="24"/>
      <c r="F817" s="28" t="str">
        <f aca="false">IF($C817="","",IFERROR(INDEX('المواد الخام'!$D$5:$D$104,MATCH($C817,'المواد الخام'!$A$5:$A$104,0)),"حبة"))</f>
        <v/>
      </c>
      <c r="G817" s="30"/>
      <c r="H817" s="29"/>
      <c r="I817" s="29"/>
    </row>
    <row r="818" customFormat="false" ht="15" hidden="false" customHeight="false" outlineLevel="0" collapsed="false">
      <c r="A818" s="32"/>
      <c r="B818" s="29"/>
      <c r="C818" s="29"/>
      <c r="D818" s="28" t="str">
        <f aca="false">IF($C818="","",IFERROR(INDEX('المواد الخام'!$B$5:$B$104,MATCH($C818,'المواد الخام'!$A$5:$A$104,0)),IFERROR(INDEX(المنتجات!$C$5:$C$24,MATCH($C818,المنتجات!$A$5:$A$24,0)),"كود غير موجود")))</f>
        <v/>
      </c>
      <c r="E818" s="24"/>
      <c r="F818" s="28" t="str">
        <f aca="false">IF($C818="","",IFERROR(INDEX('المواد الخام'!$D$5:$D$104,MATCH($C818,'المواد الخام'!$A$5:$A$104,0)),"حبة"))</f>
        <v/>
      </c>
      <c r="G818" s="30"/>
      <c r="H818" s="29"/>
      <c r="I818" s="29"/>
    </row>
    <row r="819" customFormat="false" ht="15" hidden="false" customHeight="false" outlineLevel="0" collapsed="false">
      <c r="A819" s="32"/>
      <c r="B819" s="29"/>
      <c r="C819" s="29"/>
      <c r="D819" s="28" t="str">
        <f aca="false">IF($C819="","",IFERROR(INDEX('المواد الخام'!$B$5:$B$104,MATCH($C819,'المواد الخام'!$A$5:$A$104,0)),IFERROR(INDEX(المنتجات!$C$5:$C$24,MATCH($C819,المنتجات!$A$5:$A$24,0)),"كود غير موجود")))</f>
        <v/>
      </c>
      <c r="E819" s="24"/>
      <c r="F819" s="28" t="str">
        <f aca="false">IF($C819="","",IFERROR(INDEX('المواد الخام'!$D$5:$D$104,MATCH($C819,'المواد الخام'!$A$5:$A$104,0)),"حبة"))</f>
        <v/>
      </c>
      <c r="G819" s="30"/>
      <c r="H819" s="29"/>
      <c r="I819" s="29"/>
    </row>
    <row r="820" customFormat="false" ht="15" hidden="false" customHeight="false" outlineLevel="0" collapsed="false">
      <c r="A820" s="32"/>
      <c r="B820" s="29"/>
      <c r="C820" s="29"/>
      <c r="D820" s="28" t="str">
        <f aca="false">IF($C820="","",IFERROR(INDEX('المواد الخام'!$B$5:$B$104,MATCH($C820,'المواد الخام'!$A$5:$A$104,0)),IFERROR(INDEX(المنتجات!$C$5:$C$24,MATCH($C820,المنتجات!$A$5:$A$24,0)),"كود غير موجود")))</f>
        <v/>
      </c>
      <c r="E820" s="24"/>
      <c r="F820" s="28" t="str">
        <f aca="false">IF($C820="","",IFERROR(INDEX('المواد الخام'!$D$5:$D$104,MATCH($C820,'المواد الخام'!$A$5:$A$104,0)),"حبة"))</f>
        <v/>
      </c>
      <c r="G820" s="30"/>
      <c r="H820" s="29"/>
      <c r="I820" s="29"/>
    </row>
    <row r="821" customFormat="false" ht="15" hidden="false" customHeight="false" outlineLevel="0" collapsed="false">
      <c r="A821" s="32"/>
      <c r="B821" s="29"/>
      <c r="C821" s="29"/>
      <c r="D821" s="28" t="str">
        <f aca="false">IF($C821="","",IFERROR(INDEX('المواد الخام'!$B$5:$B$104,MATCH($C821,'المواد الخام'!$A$5:$A$104,0)),IFERROR(INDEX(المنتجات!$C$5:$C$24,MATCH($C821,المنتجات!$A$5:$A$24,0)),"كود غير موجود")))</f>
        <v/>
      </c>
      <c r="E821" s="24"/>
      <c r="F821" s="28" t="str">
        <f aca="false">IF($C821="","",IFERROR(INDEX('المواد الخام'!$D$5:$D$104,MATCH($C821,'المواد الخام'!$A$5:$A$104,0)),"حبة"))</f>
        <v/>
      </c>
      <c r="G821" s="30"/>
      <c r="H821" s="29"/>
      <c r="I821" s="29"/>
    </row>
    <row r="822" customFormat="false" ht="15" hidden="false" customHeight="false" outlineLevel="0" collapsed="false">
      <c r="A822" s="32"/>
      <c r="B822" s="29"/>
      <c r="C822" s="29"/>
      <c r="D822" s="28" t="str">
        <f aca="false">IF($C822="","",IFERROR(INDEX('المواد الخام'!$B$5:$B$104,MATCH($C822,'المواد الخام'!$A$5:$A$104,0)),IFERROR(INDEX(المنتجات!$C$5:$C$24,MATCH($C822,المنتجات!$A$5:$A$24,0)),"كود غير موجود")))</f>
        <v/>
      </c>
      <c r="E822" s="24"/>
      <c r="F822" s="28" t="str">
        <f aca="false">IF($C822="","",IFERROR(INDEX('المواد الخام'!$D$5:$D$104,MATCH($C822,'المواد الخام'!$A$5:$A$104,0)),"حبة"))</f>
        <v/>
      </c>
      <c r="G822" s="30"/>
      <c r="H822" s="29"/>
      <c r="I822" s="29"/>
    </row>
    <row r="823" customFormat="false" ht="15" hidden="false" customHeight="false" outlineLevel="0" collapsed="false">
      <c r="A823" s="32"/>
      <c r="B823" s="29"/>
      <c r="C823" s="29"/>
      <c r="D823" s="28" t="str">
        <f aca="false">IF($C823="","",IFERROR(INDEX('المواد الخام'!$B$5:$B$104,MATCH($C823,'المواد الخام'!$A$5:$A$104,0)),IFERROR(INDEX(المنتجات!$C$5:$C$24,MATCH($C823,المنتجات!$A$5:$A$24,0)),"كود غير موجود")))</f>
        <v/>
      </c>
      <c r="E823" s="24"/>
      <c r="F823" s="28" t="str">
        <f aca="false">IF($C823="","",IFERROR(INDEX('المواد الخام'!$D$5:$D$104,MATCH($C823,'المواد الخام'!$A$5:$A$104,0)),"حبة"))</f>
        <v/>
      </c>
      <c r="G823" s="30"/>
      <c r="H823" s="29"/>
      <c r="I823" s="29"/>
    </row>
    <row r="824" customFormat="false" ht="15" hidden="false" customHeight="false" outlineLevel="0" collapsed="false">
      <c r="A824" s="32"/>
      <c r="B824" s="29"/>
      <c r="C824" s="29"/>
      <c r="D824" s="28" t="str">
        <f aca="false">IF($C824="","",IFERROR(INDEX('المواد الخام'!$B$5:$B$104,MATCH($C824,'المواد الخام'!$A$5:$A$104,0)),IFERROR(INDEX(المنتجات!$C$5:$C$24,MATCH($C824,المنتجات!$A$5:$A$24,0)),"كود غير موجود")))</f>
        <v/>
      </c>
      <c r="E824" s="24"/>
      <c r="F824" s="28" t="str">
        <f aca="false">IF($C824="","",IFERROR(INDEX('المواد الخام'!$D$5:$D$104,MATCH($C824,'المواد الخام'!$A$5:$A$104,0)),"حبة"))</f>
        <v/>
      </c>
      <c r="G824" s="30"/>
      <c r="H824" s="29"/>
      <c r="I824" s="29"/>
    </row>
    <row r="825" customFormat="false" ht="15" hidden="false" customHeight="false" outlineLevel="0" collapsed="false">
      <c r="A825" s="32"/>
      <c r="B825" s="29"/>
      <c r="C825" s="29"/>
      <c r="D825" s="28" t="str">
        <f aca="false">IF($C825="","",IFERROR(INDEX('المواد الخام'!$B$5:$B$104,MATCH($C825,'المواد الخام'!$A$5:$A$104,0)),IFERROR(INDEX(المنتجات!$C$5:$C$24,MATCH($C825,المنتجات!$A$5:$A$24,0)),"كود غير موجود")))</f>
        <v/>
      </c>
      <c r="E825" s="24"/>
      <c r="F825" s="28" t="str">
        <f aca="false">IF($C825="","",IFERROR(INDEX('المواد الخام'!$D$5:$D$104,MATCH($C825,'المواد الخام'!$A$5:$A$104,0)),"حبة"))</f>
        <v/>
      </c>
      <c r="G825" s="30"/>
      <c r="H825" s="29"/>
      <c r="I825" s="29"/>
    </row>
    <row r="826" customFormat="false" ht="15" hidden="false" customHeight="false" outlineLevel="0" collapsed="false">
      <c r="A826" s="32"/>
      <c r="B826" s="29"/>
      <c r="C826" s="29"/>
      <c r="D826" s="28" t="str">
        <f aca="false">IF($C826="","",IFERROR(INDEX('المواد الخام'!$B$5:$B$104,MATCH($C826,'المواد الخام'!$A$5:$A$104,0)),IFERROR(INDEX(المنتجات!$C$5:$C$24,MATCH($C826,المنتجات!$A$5:$A$24,0)),"كود غير موجود")))</f>
        <v/>
      </c>
      <c r="E826" s="24"/>
      <c r="F826" s="28" t="str">
        <f aca="false">IF($C826="","",IFERROR(INDEX('المواد الخام'!$D$5:$D$104,MATCH($C826,'المواد الخام'!$A$5:$A$104,0)),"حبة"))</f>
        <v/>
      </c>
      <c r="G826" s="30"/>
      <c r="H826" s="29"/>
      <c r="I826" s="29"/>
    </row>
    <row r="827" customFormat="false" ht="15" hidden="false" customHeight="false" outlineLevel="0" collapsed="false">
      <c r="A827" s="32"/>
      <c r="B827" s="29"/>
      <c r="C827" s="29"/>
      <c r="D827" s="28" t="str">
        <f aca="false">IF($C827="","",IFERROR(INDEX('المواد الخام'!$B$5:$B$104,MATCH($C827,'المواد الخام'!$A$5:$A$104,0)),IFERROR(INDEX(المنتجات!$C$5:$C$24,MATCH($C827,المنتجات!$A$5:$A$24,0)),"كود غير موجود")))</f>
        <v/>
      </c>
      <c r="E827" s="24"/>
      <c r="F827" s="28" t="str">
        <f aca="false">IF($C827="","",IFERROR(INDEX('المواد الخام'!$D$5:$D$104,MATCH($C827,'المواد الخام'!$A$5:$A$104,0)),"حبة"))</f>
        <v/>
      </c>
      <c r="G827" s="30"/>
      <c r="H827" s="29"/>
      <c r="I827" s="29"/>
    </row>
    <row r="828" customFormat="false" ht="15" hidden="false" customHeight="false" outlineLevel="0" collapsed="false">
      <c r="A828" s="32"/>
      <c r="B828" s="29"/>
      <c r="C828" s="29"/>
      <c r="D828" s="28" t="str">
        <f aca="false">IF($C828="","",IFERROR(INDEX('المواد الخام'!$B$5:$B$104,MATCH($C828,'المواد الخام'!$A$5:$A$104,0)),IFERROR(INDEX(المنتجات!$C$5:$C$24,MATCH($C828,المنتجات!$A$5:$A$24,0)),"كود غير موجود")))</f>
        <v/>
      </c>
      <c r="E828" s="24"/>
      <c r="F828" s="28" t="str">
        <f aca="false">IF($C828="","",IFERROR(INDEX('المواد الخام'!$D$5:$D$104,MATCH($C828,'المواد الخام'!$A$5:$A$104,0)),"حبة"))</f>
        <v/>
      </c>
      <c r="G828" s="30"/>
      <c r="H828" s="29"/>
      <c r="I828" s="29"/>
    </row>
    <row r="829" customFormat="false" ht="15" hidden="false" customHeight="false" outlineLevel="0" collapsed="false">
      <c r="A829" s="32"/>
      <c r="B829" s="29"/>
      <c r="C829" s="29"/>
      <c r="D829" s="28" t="str">
        <f aca="false">IF($C829="","",IFERROR(INDEX('المواد الخام'!$B$5:$B$104,MATCH($C829,'المواد الخام'!$A$5:$A$104,0)),IFERROR(INDEX(المنتجات!$C$5:$C$24,MATCH($C829,المنتجات!$A$5:$A$24,0)),"كود غير موجود")))</f>
        <v/>
      </c>
      <c r="E829" s="24"/>
      <c r="F829" s="28" t="str">
        <f aca="false">IF($C829="","",IFERROR(INDEX('المواد الخام'!$D$5:$D$104,MATCH($C829,'المواد الخام'!$A$5:$A$104,0)),"حبة"))</f>
        <v/>
      </c>
      <c r="G829" s="30"/>
      <c r="H829" s="29"/>
      <c r="I829" s="29"/>
    </row>
    <row r="830" customFormat="false" ht="15" hidden="false" customHeight="false" outlineLevel="0" collapsed="false">
      <c r="A830" s="32"/>
      <c r="B830" s="29"/>
      <c r="C830" s="29"/>
      <c r="D830" s="28" t="str">
        <f aca="false">IF($C830="","",IFERROR(INDEX('المواد الخام'!$B$5:$B$104,MATCH($C830,'المواد الخام'!$A$5:$A$104,0)),IFERROR(INDEX(المنتجات!$C$5:$C$24,MATCH($C830,المنتجات!$A$5:$A$24,0)),"كود غير موجود")))</f>
        <v/>
      </c>
      <c r="E830" s="24"/>
      <c r="F830" s="28" t="str">
        <f aca="false">IF($C830="","",IFERROR(INDEX('المواد الخام'!$D$5:$D$104,MATCH($C830,'المواد الخام'!$A$5:$A$104,0)),"حبة"))</f>
        <v/>
      </c>
      <c r="G830" s="30"/>
      <c r="H830" s="29"/>
      <c r="I830" s="29"/>
    </row>
    <row r="831" customFormat="false" ht="15" hidden="false" customHeight="false" outlineLevel="0" collapsed="false">
      <c r="A831" s="32"/>
      <c r="B831" s="29"/>
      <c r="C831" s="29"/>
      <c r="D831" s="28" t="str">
        <f aca="false">IF($C831="","",IFERROR(INDEX('المواد الخام'!$B$5:$B$104,MATCH($C831,'المواد الخام'!$A$5:$A$104,0)),IFERROR(INDEX(المنتجات!$C$5:$C$24,MATCH($C831,المنتجات!$A$5:$A$24,0)),"كود غير موجود")))</f>
        <v/>
      </c>
      <c r="E831" s="24"/>
      <c r="F831" s="28" t="str">
        <f aca="false">IF($C831="","",IFERROR(INDEX('المواد الخام'!$D$5:$D$104,MATCH($C831,'المواد الخام'!$A$5:$A$104,0)),"حبة"))</f>
        <v/>
      </c>
      <c r="G831" s="30"/>
      <c r="H831" s="29"/>
      <c r="I831" s="29"/>
    </row>
    <row r="832" customFormat="false" ht="15" hidden="false" customHeight="false" outlineLevel="0" collapsed="false">
      <c r="A832" s="32"/>
      <c r="B832" s="29"/>
      <c r="C832" s="29"/>
      <c r="D832" s="28" t="str">
        <f aca="false">IF($C832="","",IFERROR(INDEX('المواد الخام'!$B$5:$B$104,MATCH($C832,'المواد الخام'!$A$5:$A$104,0)),IFERROR(INDEX(المنتجات!$C$5:$C$24,MATCH($C832,المنتجات!$A$5:$A$24,0)),"كود غير موجود")))</f>
        <v/>
      </c>
      <c r="E832" s="24"/>
      <c r="F832" s="28" t="str">
        <f aca="false">IF($C832="","",IFERROR(INDEX('المواد الخام'!$D$5:$D$104,MATCH($C832,'المواد الخام'!$A$5:$A$104,0)),"حبة"))</f>
        <v/>
      </c>
      <c r="G832" s="30"/>
      <c r="H832" s="29"/>
      <c r="I832" s="29"/>
    </row>
    <row r="833" customFormat="false" ht="15" hidden="false" customHeight="false" outlineLevel="0" collapsed="false">
      <c r="A833" s="32"/>
      <c r="B833" s="29"/>
      <c r="C833" s="29"/>
      <c r="D833" s="28" t="str">
        <f aca="false">IF($C833="","",IFERROR(INDEX('المواد الخام'!$B$5:$B$104,MATCH($C833,'المواد الخام'!$A$5:$A$104,0)),IFERROR(INDEX(المنتجات!$C$5:$C$24,MATCH($C833,المنتجات!$A$5:$A$24,0)),"كود غير موجود")))</f>
        <v/>
      </c>
      <c r="E833" s="24"/>
      <c r="F833" s="28" t="str">
        <f aca="false">IF($C833="","",IFERROR(INDEX('المواد الخام'!$D$5:$D$104,MATCH($C833,'المواد الخام'!$A$5:$A$104,0)),"حبة"))</f>
        <v/>
      </c>
      <c r="G833" s="30"/>
      <c r="H833" s="29"/>
      <c r="I833" s="29"/>
    </row>
    <row r="834" customFormat="false" ht="15" hidden="false" customHeight="false" outlineLevel="0" collapsed="false">
      <c r="A834" s="32"/>
      <c r="B834" s="29"/>
      <c r="C834" s="29"/>
      <c r="D834" s="28" t="str">
        <f aca="false">IF($C834="","",IFERROR(INDEX('المواد الخام'!$B$5:$B$104,MATCH($C834,'المواد الخام'!$A$5:$A$104,0)),IFERROR(INDEX(المنتجات!$C$5:$C$24,MATCH($C834,المنتجات!$A$5:$A$24,0)),"كود غير موجود")))</f>
        <v/>
      </c>
      <c r="E834" s="24"/>
      <c r="F834" s="28" t="str">
        <f aca="false">IF($C834="","",IFERROR(INDEX('المواد الخام'!$D$5:$D$104,MATCH($C834,'المواد الخام'!$A$5:$A$104,0)),"حبة"))</f>
        <v/>
      </c>
      <c r="G834" s="30"/>
      <c r="H834" s="29"/>
      <c r="I834" s="29"/>
    </row>
    <row r="835" customFormat="false" ht="15" hidden="false" customHeight="false" outlineLevel="0" collapsed="false">
      <c r="A835" s="32"/>
      <c r="B835" s="29"/>
      <c r="C835" s="29"/>
      <c r="D835" s="28" t="str">
        <f aca="false">IF($C835="","",IFERROR(INDEX('المواد الخام'!$B$5:$B$104,MATCH($C835,'المواد الخام'!$A$5:$A$104,0)),IFERROR(INDEX(المنتجات!$C$5:$C$24,MATCH($C835,المنتجات!$A$5:$A$24,0)),"كود غير موجود")))</f>
        <v/>
      </c>
      <c r="E835" s="24"/>
      <c r="F835" s="28" t="str">
        <f aca="false">IF($C835="","",IFERROR(INDEX('المواد الخام'!$D$5:$D$104,MATCH($C835,'المواد الخام'!$A$5:$A$104,0)),"حبة"))</f>
        <v/>
      </c>
      <c r="G835" s="30"/>
      <c r="H835" s="29"/>
      <c r="I835" s="29"/>
    </row>
    <row r="836" customFormat="false" ht="15" hidden="false" customHeight="false" outlineLevel="0" collapsed="false">
      <c r="A836" s="32"/>
      <c r="B836" s="29"/>
      <c r="C836" s="29"/>
      <c r="D836" s="28" t="str">
        <f aca="false">IF($C836="","",IFERROR(INDEX('المواد الخام'!$B$5:$B$104,MATCH($C836,'المواد الخام'!$A$5:$A$104,0)),IFERROR(INDEX(المنتجات!$C$5:$C$24,MATCH($C836,المنتجات!$A$5:$A$24,0)),"كود غير موجود")))</f>
        <v/>
      </c>
      <c r="E836" s="24"/>
      <c r="F836" s="28" t="str">
        <f aca="false">IF($C836="","",IFERROR(INDEX('المواد الخام'!$D$5:$D$104,MATCH($C836,'المواد الخام'!$A$5:$A$104,0)),"حبة"))</f>
        <v/>
      </c>
      <c r="G836" s="30"/>
      <c r="H836" s="29"/>
      <c r="I836" s="29"/>
    </row>
    <row r="837" customFormat="false" ht="15" hidden="false" customHeight="false" outlineLevel="0" collapsed="false">
      <c r="A837" s="32"/>
      <c r="B837" s="29"/>
      <c r="C837" s="29"/>
      <c r="D837" s="28" t="str">
        <f aca="false">IF($C837="","",IFERROR(INDEX('المواد الخام'!$B$5:$B$104,MATCH($C837,'المواد الخام'!$A$5:$A$104,0)),IFERROR(INDEX(المنتجات!$C$5:$C$24,MATCH($C837,المنتجات!$A$5:$A$24,0)),"كود غير موجود")))</f>
        <v/>
      </c>
      <c r="E837" s="24"/>
      <c r="F837" s="28" t="str">
        <f aca="false">IF($C837="","",IFERROR(INDEX('المواد الخام'!$D$5:$D$104,MATCH($C837,'المواد الخام'!$A$5:$A$104,0)),"حبة"))</f>
        <v/>
      </c>
      <c r="G837" s="30"/>
      <c r="H837" s="29"/>
      <c r="I837" s="29"/>
    </row>
    <row r="838" customFormat="false" ht="15" hidden="false" customHeight="false" outlineLevel="0" collapsed="false">
      <c r="A838" s="32"/>
      <c r="B838" s="29"/>
      <c r="C838" s="29"/>
      <c r="D838" s="28" t="str">
        <f aca="false">IF($C838="","",IFERROR(INDEX('المواد الخام'!$B$5:$B$104,MATCH($C838,'المواد الخام'!$A$5:$A$104,0)),IFERROR(INDEX(المنتجات!$C$5:$C$24,MATCH($C838,المنتجات!$A$5:$A$24,0)),"كود غير موجود")))</f>
        <v/>
      </c>
      <c r="E838" s="24"/>
      <c r="F838" s="28" t="str">
        <f aca="false">IF($C838="","",IFERROR(INDEX('المواد الخام'!$D$5:$D$104,MATCH($C838,'المواد الخام'!$A$5:$A$104,0)),"حبة"))</f>
        <v/>
      </c>
      <c r="G838" s="30"/>
      <c r="H838" s="29"/>
      <c r="I838" s="29"/>
    </row>
    <row r="839" customFormat="false" ht="15" hidden="false" customHeight="false" outlineLevel="0" collapsed="false">
      <c r="A839" s="32"/>
      <c r="B839" s="29"/>
      <c r="C839" s="29"/>
      <c r="D839" s="28" t="str">
        <f aca="false">IF($C839="","",IFERROR(INDEX('المواد الخام'!$B$5:$B$104,MATCH($C839,'المواد الخام'!$A$5:$A$104,0)),IFERROR(INDEX(المنتجات!$C$5:$C$24,MATCH($C839,المنتجات!$A$5:$A$24,0)),"كود غير موجود")))</f>
        <v/>
      </c>
      <c r="E839" s="24"/>
      <c r="F839" s="28" t="str">
        <f aca="false">IF($C839="","",IFERROR(INDEX('المواد الخام'!$D$5:$D$104,MATCH($C839,'المواد الخام'!$A$5:$A$104,0)),"حبة"))</f>
        <v/>
      </c>
      <c r="G839" s="30"/>
      <c r="H839" s="29"/>
      <c r="I839" s="29"/>
    </row>
    <row r="840" customFormat="false" ht="15" hidden="false" customHeight="false" outlineLevel="0" collapsed="false">
      <c r="A840" s="32"/>
      <c r="B840" s="29"/>
      <c r="C840" s="29"/>
      <c r="D840" s="28" t="str">
        <f aca="false">IF($C840="","",IFERROR(INDEX('المواد الخام'!$B$5:$B$104,MATCH($C840,'المواد الخام'!$A$5:$A$104,0)),IFERROR(INDEX(المنتجات!$C$5:$C$24,MATCH($C840,المنتجات!$A$5:$A$24,0)),"كود غير موجود")))</f>
        <v/>
      </c>
      <c r="E840" s="24"/>
      <c r="F840" s="28" t="str">
        <f aca="false">IF($C840="","",IFERROR(INDEX('المواد الخام'!$D$5:$D$104,MATCH($C840,'المواد الخام'!$A$5:$A$104,0)),"حبة"))</f>
        <v/>
      </c>
      <c r="G840" s="30"/>
      <c r="H840" s="29"/>
      <c r="I840" s="29"/>
    </row>
    <row r="841" customFormat="false" ht="15" hidden="false" customHeight="false" outlineLevel="0" collapsed="false">
      <c r="A841" s="32"/>
      <c r="B841" s="29"/>
      <c r="C841" s="29"/>
      <c r="D841" s="28" t="str">
        <f aca="false">IF($C841="","",IFERROR(INDEX('المواد الخام'!$B$5:$B$104,MATCH($C841,'المواد الخام'!$A$5:$A$104,0)),IFERROR(INDEX(المنتجات!$C$5:$C$24,MATCH($C841,المنتجات!$A$5:$A$24,0)),"كود غير موجود")))</f>
        <v/>
      </c>
      <c r="E841" s="24"/>
      <c r="F841" s="28" t="str">
        <f aca="false">IF($C841="","",IFERROR(INDEX('المواد الخام'!$D$5:$D$104,MATCH($C841,'المواد الخام'!$A$5:$A$104,0)),"حبة"))</f>
        <v/>
      </c>
      <c r="G841" s="30"/>
      <c r="H841" s="29"/>
      <c r="I841" s="29"/>
    </row>
    <row r="842" customFormat="false" ht="15" hidden="false" customHeight="false" outlineLevel="0" collapsed="false">
      <c r="A842" s="32"/>
      <c r="B842" s="29"/>
      <c r="C842" s="29"/>
      <c r="D842" s="28" t="str">
        <f aca="false">IF($C842="","",IFERROR(INDEX('المواد الخام'!$B$5:$B$104,MATCH($C842,'المواد الخام'!$A$5:$A$104,0)),IFERROR(INDEX(المنتجات!$C$5:$C$24,MATCH($C842,المنتجات!$A$5:$A$24,0)),"كود غير موجود")))</f>
        <v/>
      </c>
      <c r="E842" s="24"/>
      <c r="F842" s="28" t="str">
        <f aca="false">IF($C842="","",IFERROR(INDEX('المواد الخام'!$D$5:$D$104,MATCH($C842,'المواد الخام'!$A$5:$A$104,0)),"حبة"))</f>
        <v/>
      </c>
      <c r="G842" s="30"/>
      <c r="H842" s="29"/>
      <c r="I842" s="29"/>
    </row>
    <row r="843" customFormat="false" ht="15" hidden="false" customHeight="false" outlineLevel="0" collapsed="false">
      <c r="A843" s="32"/>
      <c r="B843" s="29"/>
      <c r="C843" s="29"/>
      <c r="D843" s="28" t="str">
        <f aca="false">IF($C843="","",IFERROR(INDEX('المواد الخام'!$B$5:$B$104,MATCH($C843,'المواد الخام'!$A$5:$A$104,0)),IFERROR(INDEX(المنتجات!$C$5:$C$24,MATCH($C843,المنتجات!$A$5:$A$24,0)),"كود غير موجود")))</f>
        <v/>
      </c>
      <c r="E843" s="24"/>
      <c r="F843" s="28" t="str">
        <f aca="false">IF($C843="","",IFERROR(INDEX('المواد الخام'!$D$5:$D$104,MATCH($C843,'المواد الخام'!$A$5:$A$104,0)),"حبة"))</f>
        <v/>
      </c>
      <c r="G843" s="30"/>
      <c r="H843" s="29"/>
      <c r="I843" s="29"/>
    </row>
    <row r="844" customFormat="false" ht="15" hidden="false" customHeight="false" outlineLevel="0" collapsed="false">
      <c r="A844" s="32"/>
      <c r="B844" s="29"/>
      <c r="C844" s="29"/>
      <c r="D844" s="28" t="str">
        <f aca="false">IF($C844="","",IFERROR(INDEX('المواد الخام'!$B$5:$B$104,MATCH($C844,'المواد الخام'!$A$5:$A$104,0)),IFERROR(INDEX(المنتجات!$C$5:$C$24,MATCH($C844,المنتجات!$A$5:$A$24,0)),"كود غير موجود")))</f>
        <v/>
      </c>
      <c r="E844" s="24"/>
      <c r="F844" s="28" t="str">
        <f aca="false">IF($C844="","",IFERROR(INDEX('المواد الخام'!$D$5:$D$104,MATCH($C844,'المواد الخام'!$A$5:$A$104,0)),"حبة"))</f>
        <v/>
      </c>
      <c r="G844" s="30"/>
      <c r="H844" s="29"/>
      <c r="I844" s="29"/>
    </row>
    <row r="845" customFormat="false" ht="15" hidden="false" customHeight="false" outlineLevel="0" collapsed="false">
      <c r="A845" s="32"/>
      <c r="B845" s="29"/>
      <c r="C845" s="29"/>
      <c r="D845" s="28" t="str">
        <f aca="false">IF($C845="","",IFERROR(INDEX('المواد الخام'!$B$5:$B$104,MATCH($C845,'المواد الخام'!$A$5:$A$104,0)),IFERROR(INDEX(المنتجات!$C$5:$C$24,MATCH($C845,المنتجات!$A$5:$A$24,0)),"كود غير موجود")))</f>
        <v/>
      </c>
      <c r="E845" s="24"/>
      <c r="F845" s="28" t="str">
        <f aca="false">IF($C845="","",IFERROR(INDEX('المواد الخام'!$D$5:$D$104,MATCH($C845,'المواد الخام'!$A$5:$A$104,0)),"حبة"))</f>
        <v/>
      </c>
      <c r="G845" s="30"/>
      <c r="H845" s="29"/>
      <c r="I845" s="29"/>
    </row>
    <row r="846" customFormat="false" ht="15" hidden="false" customHeight="false" outlineLevel="0" collapsed="false">
      <c r="A846" s="32"/>
      <c r="B846" s="29"/>
      <c r="C846" s="29"/>
      <c r="D846" s="28" t="str">
        <f aca="false">IF($C846="","",IFERROR(INDEX('المواد الخام'!$B$5:$B$104,MATCH($C846,'المواد الخام'!$A$5:$A$104,0)),IFERROR(INDEX(المنتجات!$C$5:$C$24,MATCH($C846,المنتجات!$A$5:$A$24,0)),"كود غير موجود")))</f>
        <v/>
      </c>
      <c r="E846" s="24"/>
      <c r="F846" s="28" t="str">
        <f aca="false">IF($C846="","",IFERROR(INDEX('المواد الخام'!$D$5:$D$104,MATCH($C846,'المواد الخام'!$A$5:$A$104,0)),"حبة"))</f>
        <v/>
      </c>
      <c r="G846" s="30"/>
      <c r="H846" s="29"/>
      <c r="I846" s="29"/>
    </row>
    <row r="847" customFormat="false" ht="15" hidden="false" customHeight="false" outlineLevel="0" collapsed="false">
      <c r="A847" s="32"/>
      <c r="B847" s="29"/>
      <c r="C847" s="29"/>
      <c r="D847" s="28" t="str">
        <f aca="false">IF($C847="","",IFERROR(INDEX('المواد الخام'!$B$5:$B$104,MATCH($C847,'المواد الخام'!$A$5:$A$104,0)),IFERROR(INDEX(المنتجات!$C$5:$C$24,MATCH($C847,المنتجات!$A$5:$A$24,0)),"كود غير موجود")))</f>
        <v/>
      </c>
      <c r="E847" s="24"/>
      <c r="F847" s="28" t="str">
        <f aca="false">IF($C847="","",IFERROR(INDEX('المواد الخام'!$D$5:$D$104,MATCH($C847,'المواد الخام'!$A$5:$A$104,0)),"حبة"))</f>
        <v/>
      </c>
      <c r="G847" s="30"/>
      <c r="H847" s="29"/>
      <c r="I847" s="29"/>
    </row>
    <row r="848" customFormat="false" ht="15" hidden="false" customHeight="false" outlineLevel="0" collapsed="false">
      <c r="A848" s="32"/>
      <c r="B848" s="29"/>
      <c r="C848" s="29"/>
      <c r="D848" s="28" t="str">
        <f aca="false">IF($C848="","",IFERROR(INDEX('المواد الخام'!$B$5:$B$104,MATCH($C848,'المواد الخام'!$A$5:$A$104,0)),IFERROR(INDEX(المنتجات!$C$5:$C$24,MATCH($C848,المنتجات!$A$5:$A$24,0)),"كود غير موجود")))</f>
        <v/>
      </c>
      <c r="E848" s="24"/>
      <c r="F848" s="28" t="str">
        <f aca="false">IF($C848="","",IFERROR(INDEX('المواد الخام'!$D$5:$D$104,MATCH($C848,'المواد الخام'!$A$5:$A$104,0)),"حبة"))</f>
        <v/>
      </c>
      <c r="G848" s="30"/>
      <c r="H848" s="29"/>
      <c r="I848" s="29"/>
    </row>
    <row r="849" customFormat="false" ht="15" hidden="false" customHeight="false" outlineLevel="0" collapsed="false">
      <c r="A849" s="32"/>
      <c r="B849" s="29"/>
      <c r="C849" s="29"/>
      <c r="D849" s="28" t="str">
        <f aca="false">IF($C849="","",IFERROR(INDEX('المواد الخام'!$B$5:$B$104,MATCH($C849,'المواد الخام'!$A$5:$A$104,0)),IFERROR(INDEX(المنتجات!$C$5:$C$24,MATCH($C849,المنتجات!$A$5:$A$24,0)),"كود غير موجود")))</f>
        <v/>
      </c>
      <c r="E849" s="24"/>
      <c r="F849" s="28" t="str">
        <f aca="false">IF($C849="","",IFERROR(INDEX('المواد الخام'!$D$5:$D$104,MATCH($C849,'المواد الخام'!$A$5:$A$104,0)),"حبة"))</f>
        <v/>
      </c>
      <c r="G849" s="30"/>
      <c r="H849" s="29"/>
      <c r="I849" s="29"/>
    </row>
    <row r="850" customFormat="false" ht="15" hidden="false" customHeight="false" outlineLevel="0" collapsed="false">
      <c r="A850" s="32"/>
      <c r="B850" s="29"/>
      <c r="C850" s="29"/>
      <c r="D850" s="28" t="str">
        <f aca="false">IF($C850="","",IFERROR(INDEX('المواد الخام'!$B$5:$B$104,MATCH($C850,'المواد الخام'!$A$5:$A$104,0)),IFERROR(INDEX(المنتجات!$C$5:$C$24,MATCH($C850,المنتجات!$A$5:$A$24,0)),"كود غير موجود")))</f>
        <v/>
      </c>
      <c r="E850" s="24"/>
      <c r="F850" s="28" t="str">
        <f aca="false">IF($C850="","",IFERROR(INDEX('المواد الخام'!$D$5:$D$104,MATCH($C850,'المواد الخام'!$A$5:$A$104,0)),"حبة"))</f>
        <v/>
      </c>
      <c r="G850" s="30"/>
      <c r="H850" s="29"/>
      <c r="I850" s="29"/>
    </row>
    <row r="851" customFormat="false" ht="15" hidden="false" customHeight="false" outlineLevel="0" collapsed="false">
      <c r="A851" s="32"/>
      <c r="B851" s="29"/>
      <c r="C851" s="29"/>
      <c r="D851" s="28" t="str">
        <f aca="false">IF($C851="","",IFERROR(INDEX('المواد الخام'!$B$5:$B$104,MATCH($C851,'المواد الخام'!$A$5:$A$104,0)),IFERROR(INDEX(المنتجات!$C$5:$C$24,MATCH($C851,المنتجات!$A$5:$A$24,0)),"كود غير موجود")))</f>
        <v/>
      </c>
      <c r="E851" s="24"/>
      <c r="F851" s="28" t="str">
        <f aca="false">IF($C851="","",IFERROR(INDEX('المواد الخام'!$D$5:$D$104,MATCH($C851,'المواد الخام'!$A$5:$A$104,0)),"حبة"))</f>
        <v/>
      </c>
      <c r="G851" s="30"/>
      <c r="H851" s="29"/>
      <c r="I851" s="29"/>
    </row>
    <row r="852" customFormat="false" ht="15" hidden="false" customHeight="false" outlineLevel="0" collapsed="false">
      <c r="A852" s="32"/>
      <c r="B852" s="29"/>
      <c r="C852" s="29"/>
      <c r="D852" s="28" t="str">
        <f aca="false">IF($C852="","",IFERROR(INDEX('المواد الخام'!$B$5:$B$104,MATCH($C852,'المواد الخام'!$A$5:$A$104,0)),IFERROR(INDEX(المنتجات!$C$5:$C$24,MATCH($C852,المنتجات!$A$5:$A$24,0)),"كود غير موجود")))</f>
        <v/>
      </c>
      <c r="E852" s="24"/>
      <c r="F852" s="28" t="str">
        <f aca="false">IF($C852="","",IFERROR(INDEX('المواد الخام'!$D$5:$D$104,MATCH($C852,'المواد الخام'!$A$5:$A$104,0)),"حبة"))</f>
        <v/>
      </c>
      <c r="G852" s="30"/>
      <c r="H852" s="29"/>
      <c r="I852" s="29"/>
    </row>
    <row r="853" customFormat="false" ht="15" hidden="false" customHeight="false" outlineLevel="0" collapsed="false">
      <c r="A853" s="32"/>
      <c r="B853" s="29"/>
      <c r="C853" s="29"/>
      <c r="D853" s="28" t="str">
        <f aca="false">IF($C853="","",IFERROR(INDEX('المواد الخام'!$B$5:$B$104,MATCH($C853,'المواد الخام'!$A$5:$A$104,0)),IFERROR(INDEX(المنتجات!$C$5:$C$24,MATCH($C853,المنتجات!$A$5:$A$24,0)),"كود غير موجود")))</f>
        <v/>
      </c>
      <c r="E853" s="24"/>
      <c r="F853" s="28" t="str">
        <f aca="false">IF($C853="","",IFERROR(INDEX('المواد الخام'!$D$5:$D$104,MATCH($C853,'المواد الخام'!$A$5:$A$104,0)),"حبة"))</f>
        <v/>
      </c>
      <c r="G853" s="30"/>
      <c r="H853" s="29"/>
      <c r="I853" s="29"/>
    </row>
    <row r="854" customFormat="false" ht="15" hidden="false" customHeight="false" outlineLevel="0" collapsed="false">
      <c r="A854" s="32"/>
      <c r="B854" s="29"/>
      <c r="C854" s="29"/>
      <c r="D854" s="28" t="str">
        <f aca="false">IF($C854="","",IFERROR(INDEX('المواد الخام'!$B$5:$B$104,MATCH($C854,'المواد الخام'!$A$5:$A$104,0)),IFERROR(INDEX(المنتجات!$C$5:$C$24,MATCH($C854,المنتجات!$A$5:$A$24,0)),"كود غير موجود")))</f>
        <v/>
      </c>
      <c r="E854" s="24"/>
      <c r="F854" s="28" t="str">
        <f aca="false">IF($C854="","",IFERROR(INDEX('المواد الخام'!$D$5:$D$104,MATCH($C854,'المواد الخام'!$A$5:$A$104,0)),"حبة"))</f>
        <v/>
      </c>
      <c r="G854" s="30"/>
      <c r="H854" s="29"/>
      <c r="I854" s="29"/>
    </row>
    <row r="855" customFormat="false" ht="15" hidden="false" customHeight="false" outlineLevel="0" collapsed="false">
      <c r="A855" s="32"/>
      <c r="B855" s="29"/>
      <c r="C855" s="29"/>
      <c r="D855" s="28" t="str">
        <f aca="false">IF($C855="","",IFERROR(INDEX('المواد الخام'!$B$5:$B$104,MATCH($C855,'المواد الخام'!$A$5:$A$104,0)),IFERROR(INDEX(المنتجات!$C$5:$C$24,MATCH($C855,المنتجات!$A$5:$A$24,0)),"كود غير موجود")))</f>
        <v/>
      </c>
      <c r="E855" s="24"/>
      <c r="F855" s="28" t="str">
        <f aca="false">IF($C855="","",IFERROR(INDEX('المواد الخام'!$D$5:$D$104,MATCH($C855,'المواد الخام'!$A$5:$A$104,0)),"حبة"))</f>
        <v/>
      </c>
      <c r="G855" s="30"/>
      <c r="H855" s="29"/>
      <c r="I855" s="29"/>
    </row>
    <row r="856" customFormat="false" ht="15" hidden="false" customHeight="false" outlineLevel="0" collapsed="false">
      <c r="A856" s="32"/>
      <c r="B856" s="29"/>
      <c r="C856" s="29"/>
      <c r="D856" s="28" t="str">
        <f aca="false">IF($C856="","",IFERROR(INDEX('المواد الخام'!$B$5:$B$104,MATCH($C856,'المواد الخام'!$A$5:$A$104,0)),IFERROR(INDEX(المنتجات!$C$5:$C$24,MATCH($C856,المنتجات!$A$5:$A$24,0)),"كود غير موجود")))</f>
        <v/>
      </c>
      <c r="E856" s="24"/>
      <c r="F856" s="28" t="str">
        <f aca="false">IF($C856="","",IFERROR(INDEX('المواد الخام'!$D$5:$D$104,MATCH($C856,'المواد الخام'!$A$5:$A$104,0)),"حبة"))</f>
        <v/>
      </c>
      <c r="G856" s="30"/>
      <c r="H856" s="29"/>
      <c r="I856" s="29"/>
    </row>
    <row r="857" customFormat="false" ht="15" hidden="false" customHeight="false" outlineLevel="0" collapsed="false">
      <c r="A857" s="32"/>
      <c r="B857" s="29"/>
      <c r="C857" s="29"/>
      <c r="D857" s="28" t="str">
        <f aca="false">IF($C857="","",IFERROR(INDEX('المواد الخام'!$B$5:$B$104,MATCH($C857,'المواد الخام'!$A$5:$A$104,0)),IFERROR(INDEX(المنتجات!$C$5:$C$24,MATCH($C857,المنتجات!$A$5:$A$24,0)),"كود غير موجود")))</f>
        <v/>
      </c>
      <c r="E857" s="24"/>
      <c r="F857" s="28" t="str">
        <f aca="false">IF($C857="","",IFERROR(INDEX('المواد الخام'!$D$5:$D$104,MATCH($C857,'المواد الخام'!$A$5:$A$104,0)),"حبة"))</f>
        <v/>
      </c>
      <c r="G857" s="30"/>
      <c r="H857" s="29"/>
      <c r="I857" s="29"/>
    </row>
    <row r="858" customFormat="false" ht="15" hidden="false" customHeight="false" outlineLevel="0" collapsed="false">
      <c r="A858" s="32"/>
      <c r="B858" s="29"/>
      <c r="C858" s="29"/>
      <c r="D858" s="28" t="str">
        <f aca="false">IF($C858="","",IFERROR(INDEX('المواد الخام'!$B$5:$B$104,MATCH($C858,'المواد الخام'!$A$5:$A$104,0)),IFERROR(INDEX(المنتجات!$C$5:$C$24,MATCH($C858,المنتجات!$A$5:$A$24,0)),"كود غير موجود")))</f>
        <v/>
      </c>
      <c r="E858" s="24"/>
      <c r="F858" s="28" t="str">
        <f aca="false">IF($C858="","",IFERROR(INDEX('المواد الخام'!$D$5:$D$104,MATCH($C858,'المواد الخام'!$A$5:$A$104,0)),"حبة"))</f>
        <v/>
      </c>
      <c r="G858" s="30"/>
      <c r="H858" s="29"/>
      <c r="I858" s="29"/>
    </row>
    <row r="859" customFormat="false" ht="15" hidden="false" customHeight="false" outlineLevel="0" collapsed="false">
      <c r="A859" s="32"/>
      <c r="B859" s="29"/>
      <c r="C859" s="29"/>
      <c r="D859" s="28" t="str">
        <f aca="false">IF($C859="","",IFERROR(INDEX('المواد الخام'!$B$5:$B$104,MATCH($C859,'المواد الخام'!$A$5:$A$104,0)),IFERROR(INDEX(المنتجات!$C$5:$C$24,MATCH($C859,المنتجات!$A$5:$A$24,0)),"كود غير موجود")))</f>
        <v/>
      </c>
      <c r="E859" s="24"/>
      <c r="F859" s="28" t="str">
        <f aca="false">IF($C859="","",IFERROR(INDEX('المواد الخام'!$D$5:$D$104,MATCH($C859,'المواد الخام'!$A$5:$A$104,0)),"حبة"))</f>
        <v/>
      </c>
      <c r="G859" s="30"/>
      <c r="H859" s="29"/>
      <c r="I859" s="29"/>
    </row>
    <row r="860" customFormat="false" ht="15" hidden="false" customHeight="false" outlineLevel="0" collapsed="false">
      <c r="A860" s="32"/>
      <c r="B860" s="29"/>
      <c r="C860" s="29"/>
      <c r="D860" s="28" t="str">
        <f aca="false">IF($C860="","",IFERROR(INDEX('المواد الخام'!$B$5:$B$104,MATCH($C860,'المواد الخام'!$A$5:$A$104,0)),IFERROR(INDEX(المنتجات!$C$5:$C$24,MATCH($C860,المنتجات!$A$5:$A$24,0)),"كود غير موجود")))</f>
        <v/>
      </c>
      <c r="E860" s="24"/>
      <c r="F860" s="28" t="str">
        <f aca="false">IF($C860="","",IFERROR(INDEX('المواد الخام'!$D$5:$D$104,MATCH($C860,'المواد الخام'!$A$5:$A$104,0)),"حبة"))</f>
        <v/>
      </c>
      <c r="G860" s="30"/>
      <c r="H860" s="29"/>
      <c r="I860" s="29"/>
    </row>
    <row r="861" customFormat="false" ht="15" hidden="false" customHeight="false" outlineLevel="0" collapsed="false">
      <c r="A861" s="32"/>
      <c r="B861" s="29"/>
      <c r="C861" s="29"/>
      <c r="D861" s="28" t="str">
        <f aca="false">IF($C861="","",IFERROR(INDEX('المواد الخام'!$B$5:$B$104,MATCH($C861,'المواد الخام'!$A$5:$A$104,0)),IFERROR(INDEX(المنتجات!$C$5:$C$24,MATCH($C861,المنتجات!$A$5:$A$24,0)),"كود غير موجود")))</f>
        <v/>
      </c>
      <c r="E861" s="24"/>
      <c r="F861" s="28" t="str">
        <f aca="false">IF($C861="","",IFERROR(INDEX('المواد الخام'!$D$5:$D$104,MATCH($C861,'المواد الخام'!$A$5:$A$104,0)),"حبة"))</f>
        <v/>
      </c>
      <c r="G861" s="30"/>
      <c r="H861" s="29"/>
      <c r="I861" s="29"/>
    </row>
    <row r="862" customFormat="false" ht="15" hidden="false" customHeight="false" outlineLevel="0" collapsed="false">
      <c r="A862" s="32"/>
      <c r="B862" s="29"/>
      <c r="C862" s="29"/>
      <c r="D862" s="28" t="str">
        <f aca="false">IF($C862="","",IFERROR(INDEX('المواد الخام'!$B$5:$B$104,MATCH($C862,'المواد الخام'!$A$5:$A$104,0)),IFERROR(INDEX(المنتجات!$C$5:$C$24,MATCH($C862,المنتجات!$A$5:$A$24,0)),"كود غير موجود")))</f>
        <v/>
      </c>
      <c r="E862" s="24"/>
      <c r="F862" s="28" t="str">
        <f aca="false">IF($C862="","",IFERROR(INDEX('المواد الخام'!$D$5:$D$104,MATCH($C862,'المواد الخام'!$A$5:$A$104,0)),"حبة"))</f>
        <v/>
      </c>
      <c r="G862" s="30"/>
      <c r="H862" s="29"/>
      <c r="I862" s="29"/>
    </row>
    <row r="863" customFormat="false" ht="15" hidden="false" customHeight="false" outlineLevel="0" collapsed="false">
      <c r="A863" s="32"/>
      <c r="B863" s="29"/>
      <c r="C863" s="29"/>
      <c r="D863" s="28" t="str">
        <f aca="false">IF($C863="","",IFERROR(INDEX('المواد الخام'!$B$5:$B$104,MATCH($C863,'المواد الخام'!$A$5:$A$104,0)),IFERROR(INDEX(المنتجات!$C$5:$C$24,MATCH($C863,المنتجات!$A$5:$A$24,0)),"كود غير موجود")))</f>
        <v/>
      </c>
      <c r="E863" s="24"/>
      <c r="F863" s="28" t="str">
        <f aca="false">IF($C863="","",IFERROR(INDEX('المواد الخام'!$D$5:$D$104,MATCH($C863,'المواد الخام'!$A$5:$A$104,0)),"حبة"))</f>
        <v/>
      </c>
      <c r="G863" s="30"/>
      <c r="H863" s="29"/>
      <c r="I863" s="29"/>
    </row>
    <row r="864" customFormat="false" ht="15" hidden="false" customHeight="false" outlineLevel="0" collapsed="false">
      <c r="A864" s="32"/>
      <c r="B864" s="29"/>
      <c r="C864" s="29"/>
      <c r="D864" s="28" t="str">
        <f aca="false">IF($C864="","",IFERROR(INDEX('المواد الخام'!$B$5:$B$104,MATCH($C864,'المواد الخام'!$A$5:$A$104,0)),IFERROR(INDEX(المنتجات!$C$5:$C$24,MATCH($C864,المنتجات!$A$5:$A$24,0)),"كود غير موجود")))</f>
        <v/>
      </c>
      <c r="E864" s="24"/>
      <c r="F864" s="28" t="str">
        <f aca="false">IF($C864="","",IFERROR(INDEX('المواد الخام'!$D$5:$D$104,MATCH($C864,'المواد الخام'!$A$5:$A$104,0)),"حبة"))</f>
        <v/>
      </c>
      <c r="G864" s="30"/>
      <c r="H864" s="29"/>
      <c r="I864" s="29"/>
    </row>
    <row r="865" customFormat="false" ht="15" hidden="false" customHeight="false" outlineLevel="0" collapsed="false">
      <c r="A865" s="32"/>
      <c r="B865" s="29"/>
      <c r="C865" s="29"/>
      <c r="D865" s="28" t="str">
        <f aca="false">IF($C865="","",IFERROR(INDEX('المواد الخام'!$B$5:$B$104,MATCH($C865,'المواد الخام'!$A$5:$A$104,0)),IFERROR(INDEX(المنتجات!$C$5:$C$24,MATCH($C865,المنتجات!$A$5:$A$24,0)),"كود غير موجود")))</f>
        <v/>
      </c>
      <c r="E865" s="24"/>
      <c r="F865" s="28" t="str">
        <f aca="false">IF($C865="","",IFERROR(INDEX('المواد الخام'!$D$5:$D$104,MATCH($C865,'المواد الخام'!$A$5:$A$104,0)),"حبة"))</f>
        <v/>
      </c>
      <c r="G865" s="30"/>
      <c r="H865" s="29"/>
      <c r="I865" s="29"/>
    </row>
    <row r="866" customFormat="false" ht="15" hidden="false" customHeight="false" outlineLevel="0" collapsed="false">
      <c r="A866" s="32"/>
      <c r="B866" s="29"/>
      <c r="C866" s="29"/>
      <c r="D866" s="28" t="str">
        <f aca="false">IF($C866="","",IFERROR(INDEX('المواد الخام'!$B$5:$B$104,MATCH($C866,'المواد الخام'!$A$5:$A$104,0)),IFERROR(INDEX(المنتجات!$C$5:$C$24,MATCH($C866,المنتجات!$A$5:$A$24,0)),"كود غير موجود")))</f>
        <v/>
      </c>
      <c r="E866" s="24"/>
      <c r="F866" s="28" t="str">
        <f aca="false">IF($C866="","",IFERROR(INDEX('المواد الخام'!$D$5:$D$104,MATCH($C866,'المواد الخام'!$A$5:$A$104,0)),"حبة"))</f>
        <v/>
      </c>
      <c r="G866" s="30"/>
      <c r="H866" s="29"/>
      <c r="I866" s="29"/>
    </row>
    <row r="867" customFormat="false" ht="15" hidden="false" customHeight="false" outlineLevel="0" collapsed="false">
      <c r="A867" s="32"/>
      <c r="B867" s="29"/>
      <c r="C867" s="29"/>
      <c r="D867" s="28" t="str">
        <f aca="false">IF($C867="","",IFERROR(INDEX('المواد الخام'!$B$5:$B$104,MATCH($C867,'المواد الخام'!$A$5:$A$104,0)),IFERROR(INDEX(المنتجات!$C$5:$C$24,MATCH($C867,المنتجات!$A$5:$A$24,0)),"كود غير موجود")))</f>
        <v/>
      </c>
      <c r="E867" s="24"/>
      <c r="F867" s="28" t="str">
        <f aca="false">IF($C867="","",IFERROR(INDEX('المواد الخام'!$D$5:$D$104,MATCH($C867,'المواد الخام'!$A$5:$A$104,0)),"حبة"))</f>
        <v/>
      </c>
      <c r="G867" s="30"/>
      <c r="H867" s="29"/>
      <c r="I867" s="29"/>
    </row>
    <row r="868" customFormat="false" ht="15" hidden="false" customHeight="false" outlineLevel="0" collapsed="false">
      <c r="A868" s="32"/>
      <c r="B868" s="29"/>
      <c r="C868" s="29"/>
      <c r="D868" s="28" t="str">
        <f aca="false">IF($C868="","",IFERROR(INDEX('المواد الخام'!$B$5:$B$104,MATCH($C868,'المواد الخام'!$A$5:$A$104,0)),IFERROR(INDEX(المنتجات!$C$5:$C$24,MATCH($C868,المنتجات!$A$5:$A$24,0)),"كود غير موجود")))</f>
        <v/>
      </c>
      <c r="E868" s="24"/>
      <c r="F868" s="28" t="str">
        <f aca="false">IF($C868="","",IFERROR(INDEX('المواد الخام'!$D$5:$D$104,MATCH($C868,'المواد الخام'!$A$5:$A$104,0)),"حبة"))</f>
        <v/>
      </c>
      <c r="G868" s="30"/>
      <c r="H868" s="29"/>
      <c r="I868" s="29"/>
    </row>
    <row r="869" customFormat="false" ht="15" hidden="false" customHeight="false" outlineLevel="0" collapsed="false">
      <c r="A869" s="32"/>
      <c r="B869" s="29"/>
      <c r="C869" s="29"/>
      <c r="D869" s="28" t="str">
        <f aca="false">IF($C869="","",IFERROR(INDEX('المواد الخام'!$B$5:$B$104,MATCH($C869,'المواد الخام'!$A$5:$A$104,0)),IFERROR(INDEX(المنتجات!$C$5:$C$24,MATCH($C869,المنتجات!$A$5:$A$24,0)),"كود غير موجود")))</f>
        <v/>
      </c>
      <c r="E869" s="24"/>
      <c r="F869" s="28" t="str">
        <f aca="false">IF($C869="","",IFERROR(INDEX('المواد الخام'!$D$5:$D$104,MATCH($C869,'المواد الخام'!$A$5:$A$104,0)),"حبة"))</f>
        <v/>
      </c>
      <c r="G869" s="30"/>
      <c r="H869" s="29"/>
      <c r="I869" s="29"/>
    </row>
    <row r="870" customFormat="false" ht="15" hidden="false" customHeight="false" outlineLevel="0" collapsed="false">
      <c r="A870" s="32"/>
      <c r="B870" s="29"/>
      <c r="C870" s="29"/>
      <c r="D870" s="28" t="str">
        <f aca="false">IF($C870="","",IFERROR(INDEX('المواد الخام'!$B$5:$B$104,MATCH($C870,'المواد الخام'!$A$5:$A$104,0)),IFERROR(INDEX(المنتجات!$C$5:$C$24,MATCH($C870,المنتجات!$A$5:$A$24,0)),"كود غير موجود")))</f>
        <v/>
      </c>
      <c r="E870" s="24"/>
      <c r="F870" s="28" t="str">
        <f aca="false">IF($C870="","",IFERROR(INDEX('المواد الخام'!$D$5:$D$104,MATCH($C870,'المواد الخام'!$A$5:$A$104,0)),"حبة"))</f>
        <v/>
      </c>
      <c r="G870" s="30"/>
      <c r="H870" s="29"/>
      <c r="I870" s="29"/>
    </row>
    <row r="871" customFormat="false" ht="15" hidden="false" customHeight="false" outlineLevel="0" collapsed="false">
      <c r="A871" s="32"/>
      <c r="B871" s="29"/>
      <c r="C871" s="29"/>
      <c r="D871" s="28" t="str">
        <f aca="false">IF($C871="","",IFERROR(INDEX('المواد الخام'!$B$5:$B$104,MATCH($C871,'المواد الخام'!$A$5:$A$104,0)),IFERROR(INDEX(المنتجات!$C$5:$C$24,MATCH($C871,المنتجات!$A$5:$A$24,0)),"كود غير موجود")))</f>
        <v/>
      </c>
      <c r="E871" s="24"/>
      <c r="F871" s="28" t="str">
        <f aca="false">IF($C871="","",IFERROR(INDEX('المواد الخام'!$D$5:$D$104,MATCH($C871,'المواد الخام'!$A$5:$A$104,0)),"حبة"))</f>
        <v/>
      </c>
      <c r="G871" s="30"/>
      <c r="H871" s="29"/>
      <c r="I871" s="29"/>
    </row>
    <row r="872" customFormat="false" ht="15" hidden="false" customHeight="false" outlineLevel="0" collapsed="false">
      <c r="A872" s="32"/>
      <c r="B872" s="29"/>
      <c r="C872" s="29"/>
      <c r="D872" s="28" t="str">
        <f aca="false">IF($C872="","",IFERROR(INDEX('المواد الخام'!$B$5:$B$104,MATCH($C872,'المواد الخام'!$A$5:$A$104,0)),IFERROR(INDEX(المنتجات!$C$5:$C$24,MATCH($C872,المنتجات!$A$5:$A$24,0)),"كود غير موجود")))</f>
        <v/>
      </c>
      <c r="E872" s="24"/>
      <c r="F872" s="28" t="str">
        <f aca="false">IF($C872="","",IFERROR(INDEX('المواد الخام'!$D$5:$D$104,MATCH($C872,'المواد الخام'!$A$5:$A$104,0)),"حبة"))</f>
        <v/>
      </c>
      <c r="G872" s="30"/>
      <c r="H872" s="29"/>
      <c r="I872" s="29"/>
    </row>
    <row r="873" customFormat="false" ht="15" hidden="false" customHeight="false" outlineLevel="0" collapsed="false">
      <c r="A873" s="32"/>
      <c r="B873" s="29"/>
      <c r="C873" s="29"/>
      <c r="D873" s="28" t="str">
        <f aca="false">IF($C873="","",IFERROR(INDEX('المواد الخام'!$B$5:$B$104,MATCH($C873,'المواد الخام'!$A$5:$A$104,0)),IFERROR(INDEX(المنتجات!$C$5:$C$24,MATCH($C873,المنتجات!$A$5:$A$24,0)),"كود غير موجود")))</f>
        <v/>
      </c>
      <c r="E873" s="24"/>
      <c r="F873" s="28" t="str">
        <f aca="false">IF($C873="","",IFERROR(INDEX('المواد الخام'!$D$5:$D$104,MATCH($C873,'المواد الخام'!$A$5:$A$104,0)),"حبة"))</f>
        <v/>
      </c>
      <c r="G873" s="30"/>
      <c r="H873" s="29"/>
      <c r="I873" s="29"/>
    </row>
    <row r="874" customFormat="false" ht="15" hidden="false" customHeight="false" outlineLevel="0" collapsed="false">
      <c r="A874" s="32"/>
      <c r="B874" s="29"/>
      <c r="C874" s="29"/>
      <c r="D874" s="28" t="str">
        <f aca="false">IF($C874="","",IFERROR(INDEX('المواد الخام'!$B$5:$B$104,MATCH($C874,'المواد الخام'!$A$5:$A$104,0)),IFERROR(INDEX(المنتجات!$C$5:$C$24,MATCH($C874,المنتجات!$A$5:$A$24,0)),"كود غير موجود")))</f>
        <v/>
      </c>
      <c r="E874" s="24"/>
      <c r="F874" s="28" t="str">
        <f aca="false">IF($C874="","",IFERROR(INDEX('المواد الخام'!$D$5:$D$104,MATCH($C874,'المواد الخام'!$A$5:$A$104,0)),"حبة"))</f>
        <v/>
      </c>
      <c r="G874" s="30"/>
      <c r="H874" s="29"/>
      <c r="I874" s="29"/>
    </row>
    <row r="875" customFormat="false" ht="15" hidden="false" customHeight="false" outlineLevel="0" collapsed="false">
      <c r="A875" s="32"/>
      <c r="B875" s="29"/>
      <c r="C875" s="29"/>
      <c r="D875" s="28" t="str">
        <f aca="false">IF($C875="","",IFERROR(INDEX('المواد الخام'!$B$5:$B$104,MATCH($C875,'المواد الخام'!$A$5:$A$104,0)),IFERROR(INDEX(المنتجات!$C$5:$C$24,MATCH($C875,المنتجات!$A$5:$A$24,0)),"كود غير موجود")))</f>
        <v/>
      </c>
      <c r="E875" s="24"/>
      <c r="F875" s="28" t="str">
        <f aca="false">IF($C875="","",IFERROR(INDEX('المواد الخام'!$D$5:$D$104,MATCH($C875,'المواد الخام'!$A$5:$A$104,0)),"حبة"))</f>
        <v/>
      </c>
      <c r="G875" s="30"/>
      <c r="H875" s="29"/>
      <c r="I875" s="29"/>
    </row>
    <row r="876" customFormat="false" ht="15" hidden="false" customHeight="false" outlineLevel="0" collapsed="false">
      <c r="A876" s="32"/>
      <c r="B876" s="29"/>
      <c r="C876" s="29"/>
      <c r="D876" s="28" t="str">
        <f aca="false">IF($C876="","",IFERROR(INDEX('المواد الخام'!$B$5:$B$104,MATCH($C876,'المواد الخام'!$A$5:$A$104,0)),IFERROR(INDEX(المنتجات!$C$5:$C$24,MATCH($C876,المنتجات!$A$5:$A$24,0)),"كود غير موجود")))</f>
        <v/>
      </c>
      <c r="E876" s="24"/>
      <c r="F876" s="28" t="str">
        <f aca="false">IF($C876="","",IFERROR(INDEX('المواد الخام'!$D$5:$D$104,MATCH($C876,'المواد الخام'!$A$5:$A$104,0)),"حبة"))</f>
        <v/>
      </c>
      <c r="G876" s="30"/>
      <c r="H876" s="29"/>
      <c r="I876" s="29"/>
    </row>
    <row r="877" customFormat="false" ht="15" hidden="false" customHeight="false" outlineLevel="0" collapsed="false">
      <c r="A877" s="32"/>
      <c r="B877" s="29"/>
      <c r="C877" s="29"/>
      <c r="D877" s="28" t="str">
        <f aca="false">IF($C877="","",IFERROR(INDEX('المواد الخام'!$B$5:$B$104,MATCH($C877,'المواد الخام'!$A$5:$A$104,0)),IFERROR(INDEX(المنتجات!$C$5:$C$24,MATCH($C877,المنتجات!$A$5:$A$24,0)),"كود غير موجود")))</f>
        <v/>
      </c>
      <c r="E877" s="24"/>
      <c r="F877" s="28" t="str">
        <f aca="false">IF($C877="","",IFERROR(INDEX('المواد الخام'!$D$5:$D$104,MATCH($C877,'المواد الخام'!$A$5:$A$104,0)),"حبة"))</f>
        <v/>
      </c>
      <c r="G877" s="30"/>
      <c r="H877" s="29"/>
      <c r="I877" s="29"/>
    </row>
    <row r="878" customFormat="false" ht="15" hidden="false" customHeight="false" outlineLevel="0" collapsed="false">
      <c r="A878" s="32"/>
      <c r="B878" s="29"/>
      <c r="C878" s="29"/>
      <c r="D878" s="28" t="str">
        <f aca="false">IF($C878="","",IFERROR(INDEX('المواد الخام'!$B$5:$B$104,MATCH($C878,'المواد الخام'!$A$5:$A$104,0)),IFERROR(INDEX(المنتجات!$C$5:$C$24,MATCH($C878,المنتجات!$A$5:$A$24,0)),"كود غير موجود")))</f>
        <v/>
      </c>
      <c r="E878" s="24"/>
      <c r="F878" s="28" t="str">
        <f aca="false">IF($C878="","",IFERROR(INDEX('المواد الخام'!$D$5:$D$104,MATCH($C878,'المواد الخام'!$A$5:$A$104,0)),"حبة"))</f>
        <v/>
      </c>
      <c r="G878" s="30"/>
      <c r="H878" s="29"/>
      <c r="I878" s="29"/>
    </row>
    <row r="879" customFormat="false" ht="15" hidden="false" customHeight="false" outlineLevel="0" collapsed="false">
      <c r="A879" s="32"/>
      <c r="B879" s="29"/>
      <c r="C879" s="29"/>
      <c r="D879" s="28" t="str">
        <f aca="false">IF($C879="","",IFERROR(INDEX('المواد الخام'!$B$5:$B$104,MATCH($C879,'المواد الخام'!$A$5:$A$104,0)),IFERROR(INDEX(المنتجات!$C$5:$C$24,MATCH($C879,المنتجات!$A$5:$A$24,0)),"كود غير موجود")))</f>
        <v/>
      </c>
      <c r="E879" s="24"/>
      <c r="F879" s="28" t="str">
        <f aca="false">IF($C879="","",IFERROR(INDEX('المواد الخام'!$D$5:$D$104,MATCH($C879,'المواد الخام'!$A$5:$A$104,0)),"حبة"))</f>
        <v/>
      </c>
      <c r="G879" s="30"/>
      <c r="H879" s="29"/>
      <c r="I879" s="29"/>
    </row>
    <row r="880" customFormat="false" ht="15" hidden="false" customHeight="false" outlineLevel="0" collapsed="false">
      <c r="A880" s="32"/>
      <c r="B880" s="29"/>
      <c r="C880" s="29"/>
      <c r="D880" s="28" t="str">
        <f aca="false">IF($C880="","",IFERROR(INDEX('المواد الخام'!$B$5:$B$104,MATCH($C880,'المواد الخام'!$A$5:$A$104,0)),IFERROR(INDEX(المنتجات!$C$5:$C$24,MATCH($C880,المنتجات!$A$5:$A$24,0)),"كود غير موجود")))</f>
        <v/>
      </c>
      <c r="E880" s="24"/>
      <c r="F880" s="28" t="str">
        <f aca="false">IF($C880="","",IFERROR(INDEX('المواد الخام'!$D$5:$D$104,MATCH($C880,'المواد الخام'!$A$5:$A$104,0)),"حبة"))</f>
        <v/>
      </c>
      <c r="G880" s="30"/>
      <c r="H880" s="29"/>
      <c r="I880" s="29"/>
    </row>
    <row r="881" customFormat="false" ht="15" hidden="false" customHeight="false" outlineLevel="0" collapsed="false">
      <c r="A881" s="32"/>
      <c r="B881" s="29"/>
      <c r="C881" s="29"/>
      <c r="D881" s="28" t="str">
        <f aca="false">IF($C881="","",IFERROR(INDEX('المواد الخام'!$B$5:$B$104,MATCH($C881,'المواد الخام'!$A$5:$A$104,0)),IFERROR(INDEX(المنتجات!$C$5:$C$24,MATCH($C881,المنتجات!$A$5:$A$24,0)),"كود غير موجود")))</f>
        <v/>
      </c>
      <c r="E881" s="24"/>
      <c r="F881" s="28" t="str">
        <f aca="false">IF($C881="","",IFERROR(INDEX('المواد الخام'!$D$5:$D$104,MATCH($C881,'المواد الخام'!$A$5:$A$104,0)),"حبة"))</f>
        <v/>
      </c>
      <c r="G881" s="30"/>
      <c r="H881" s="29"/>
      <c r="I881" s="29"/>
    </row>
    <row r="882" customFormat="false" ht="15" hidden="false" customHeight="false" outlineLevel="0" collapsed="false">
      <c r="A882" s="32"/>
      <c r="B882" s="29"/>
      <c r="C882" s="29"/>
      <c r="D882" s="28" t="str">
        <f aca="false">IF($C882="","",IFERROR(INDEX('المواد الخام'!$B$5:$B$104,MATCH($C882,'المواد الخام'!$A$5:$A$104,0)),IFERROR(INDEX(المنتجات!$C$5:$C$24,MATCH($C882,المنتجات!$A$5:$A$24,0)),"كود غير موجود")))</f>
        <v/>
      </c>
      <c r="E882" s="24"/>
      <c r="F882" s="28" t="str">
        <f aca="false">IF($C882="","",IFERROR(INDEX('المواد الخام'!$D$5:$D$104,MATCH($C882,'المواد الخام'!$A$5:$A$104,0)),"حبة"))</f>
        <v/>
      </c>
      <c r="G882" s="30"/>
      <c r="H882" s="29"/>
      <c r="I882" s="29"/>
    </row>
    <row r="883" customFormat="false" ht="15" hidden="false" customHeight="false" outlineLevel="0" collapsed="false">
      <c r="A883" s="32"/>
      <c r="B883" s="29"/>
      <c r="C883" s="29"/>
      <c r="D883" s="28" t="str">
        <f aca="false">IF($C883="","",IFERROR(INDEX('المواد الخام'!$B$5:$B$104,MATCH($C883,'المواد الخام'!$A$5:$A$104,0)),IFERROR(INDEX(المنتجات!$C$5:$C$24,MATCH($C883,المنتجات!$A$5:$A$24,0)),"كود غير موجود")))</f>
        <v/>
      </c>
      <c r="E883" s="24"/>
      <c r="F883" s="28" t="str">
        <f aca="false">IF($C883="","",IFERROR(INDEX('المواد الخام'!$D$5:$D$104,MATCH($C883,'المواد الخام'!$A$5:$A$104,0)),"حبة"))</f>
        <v/>
      </c>
      <c r="G883" s="30"/>
      <c r="H883" s="29"/>
      <c r="I883" s="29"/>
    </row>
    <row r="884" customFormat="false" ht="15" hidden="false" customHeight="false" outlineLevel="0" collapsed="false">
      <c r="A884" s="32"/>
      <c r="B884" s="29"/>
      <c r="C884" s="29"/>
      <c r="D884" s="28" t="str">
        <f aca="false">IF($C884="","",IFERROR(INDEX('المواد الخام'!$B$5:$B$104,MATCH($C884,'المواد الخام'!$A$5:$A$104,0)),IFERROR(INDEX(المنتجات!$C$5:$C$24,MATCH($C884,المنتجات!$A$5:$A$24,0)),"كود غير موجود")))</f>
        <v/>
      </c>
      <c r="E884" s="24"/>
      <c r="F884" s="28" t="str">
        <f aca="false">IF($C884="","",IFERROR(INDEX('المواد الخام'!$D$5:$D$104,MATCH($C884,'المواد الخام'!$A$5:$A$104,0)),"حبة"))</f>
        <v/>
      </c>
      <c r="G884" s="30"/>
      <c r="H884" s="29"/>
      <c r="I884" s="29"/>
    </row>
    <row r="885" customFormat="false" ht="15" hidden="false" customHeight="false" outlineLevel="0" collapsed="false">
      <c r="A885" s="32"/>
      <c r="B885" s="29"/>
      <c r="C885" s="29"/>
      <c r="D885" s="28" t="str">
        <f aca="false">IF($C885="","",IFERROR(INDEX('المواد الخام'!$B$5:$B$104,MATCH($C885,'المواد الخام'!$A$5:$A$104,0)),IFERROR(INDEX(المنتجات!$C$5:$C$24,MATCH($C885,المنتجات!$A$5:$A$24,0)),"كود غير موجود")))</f>
        <v/>
      </c>
      <c r="E885" s="24"/>
      <c r="F885" s="28" t="str">
        <f aca="false">IF($C885="","",IFERROR(INDEX('المواد الخام'!$D$5:$D$104,MATCH($C885,'المواد الخام'!$A$5:$A$104,0)),"حبة"))</f>
        <v/>
      </c>
      <c r="G885" s="30"/>
      <c r="H885" s="29"/>
      <c r="I885" s="29"/>
    </row>
    <row r="886" customFormat="false" ht="15" hidden="false" customHeight="false" outlineLevel="0" collapsed="false">
      <c r="A886" s="32"/>
      <c r="B886" s="29"/>
      <c r="C886" s="29"/>
      <c r="D886" s="28" t="str">
        <f aca="false">IF($C886="","",IFERROR(INDEX('المواد الخام'!$B$5:$B$104,MATCH($C886,'المواد الخام'!$A$5:$A$104,0)),IFERROR(INDEX(المنتجات!$C$5:$C$24,MATCH($C886,المنتجات!$A$5:$A$24,0)),"كود غير موجود")))</f>
        <v/>
      </c>
      <c r="E886" s="24"/>
      <c r="F886" s="28" t="str">
        <f aca="false">IF($C886="","",IFERROR(INDEX('المواد الخام'!$D$5:$D$104,MATCH($C886,'المواد الخام'!$A$5:$A$104,0)),"حبة"))</f>
        <v/>
      </c>
      <c r="G886" s="30"/>
      <c r="H886" s="29"/>
      <c r="I886" s="29"/>
    </row>
    <row r="887" customFormat="false" ht="15" hidden="false" customHeight="false" outlineLevel="0" collapsed="false">
      <c r="A887" s="32"/>
      <c r="B887" s="29"/>
      <c r="C887" s="29"/>
      <c r="D887" s="28" t="str">
        <f aca="false">IF($C887="","",IFERROR(INDEX('المواد الخام'!$B$5:$B$104,MATCH($C887,'المواد الخام'!$A$5:$A$104,0)),IFERROR(INDEX(المنتجات!$C$5:$C$24,MATCH($C887,المنتجات!$A$5:$A$24,0)),"كود غير موجود")))</f>
        <v/>
      </c>
      <c r="E887" s="24"/>
      <c r="F887" s="28" t="str">
        <f aca="false">IF($C887="","",IFERROR(INDEX('المواد الخام'!$D$5:$D$104,MATCH($C887,'المواد الخام'!$A$5:$A$104,0)),"حبة"))</f>
        <v/>
      </c>
      <c r="G887" s="30"/>
      <c r="H887" s="29"/>
      <c r="I887" s="29"/>
    </row>
    <row r="888" customFormat="false" ht="15" hidden="false" customHeight="false" outlineLevel="0" collapsed="false">
      <c r="A888" s="32"/>
      <c r="B888" s="29"/>
      <c r="C888" s="29"/>
      <c r="D888" s="28" t="str">
        <f aca="false">IF($C888="","",IFERROR(INDEX('المواد الخام'!$B$5:$B$104,MATCH($C888,'المواد الخام'!$A$5:$A$104,0)),IFERROR(INDEX(المنتجات!$C$5:$C$24,MATCH($C888,المنتجات!$A$5:$A$24,0)),"كود غير موجود")))</f>
        <v/>
      </c>
      <c r="E888" s="24"/>
      <c r="F888" s="28" t="str">
        <f aca="false">IF($C888="","",IFERROR(INDEX('المواد الخام'!$D$5:$D$104,MATCH($C888,'المواد الخام'!$A$5:$A$104,0)),"حبة"))</f>
        <v/>
      </c>
      <c r="G888" s="30"/>
      <c r="H888" s="29"/>
      <c r="I888" s="29"/>
    </row>
    <row r="889" customFormat="false" ht="15" hidden="false" customHeight="false" outlineLevel="0" collapsed="false">
      <c r="A889" s="32"/>
      <c r="B889" s="29"/>
      <c r="C889" s="29"/>
      <c r="D889" s="28" t="str">
        <f aca="false">IF($C889="","",IFERROR(INDEX('المواد الخام'!$B$5:$B$104,MATCH($C889,'المواد الخام'!$A$5:$A$104,0)),IFERROR(INDEX(المنتجات!$C$5:$C$24,MATCH($C889,المنتجات!$A$5:$A$24,0)),"كود غير موجود")))</f>
        <v/>
      </c>
      <c r="E889" s="24"/>
      <c r="F889" s="28" t="str">
        <f aca="false">IF($C889="","",IFERROR(INDEX('المواد الخام'!$D$5:$D$104,MATCH($C889,'المواد الخام'!$A$5:$A$104,0)),"حبة"))</f>
        <v/>
      </c>
      <c r="G889" s="30"/>
      <c r="H889" s="29"/>
      <c r="I889" s="29"/>
    </row>
    <row r="890" customFormat="false" ht="15" hidden="false" customHeight="false" outlineLevel="0" collapsed="false">
      <c r="A890" s="32"/>
      <c r="B890" s="29"/>
      <c r="C890" s="29"/>
      <c r="D890" s="28" t="str">
        <f aca="false">IF($C890="","",IFERROR(INDEX('المواد الخام'!$B$5:$B$104,MATCH($C890,'المواد الخام'!$A$5:$A$104,0)),IFERROR(INDEX(المنتجات!$C$5:$C$24,MATCH($C890,المنتجات!$A$5:$A$24,0)),"كود غير موجود")))</f>
        <v/>
      </c>
      <c r="E890" s="24"/>
      <c r="F890" s="28" t="str">
        <f aca="false">IF($C890="","",IFERROR(INDEX('المواد الخام'!$D$5:$D$104,MATCH($C890,'المواد الخام'!$A$5:$A$104,0)),"حبة"))</f>
        <v/>
      </c>
      <c r="G890" s="30"/>
      <c r="H890" s="29"/>
      <c r="I890" s="29"/>
    </row>
    <row r="891" customFormat="false" ht="15" hidden="false" customHeight="false" outlineLevel="0" collapsed="false">
      <c r="A891" s="32"/>
      <c r="B891" s="29"/>
      <c r="C891" s="29"/>
      <c r="D891" s="28" t="str">
        <f aca="false">IF($C891="","",IFERROR(INDEX('المواد الخام'!$B$5:$B$104,MATCH($C891,'المواد الخام'!$A$5:$A$104,0)),IFERROR(INDEX(المنتجات!$C$5:$C$24,MATCH($C891,المنتجات!$A$5:$A$24,0)),"كود غير موجود")))</f>
        <v/>
      </c>
      <c r="E891" s="24"/>
      <c r="F891" s="28" t="str">
        <f aca="false">IF($C891="","",IFERROR(INDEX('المواد الخام'!$D$5:$D$104,MATCH($C891,'المواد الخام'!$A$5:$A$104,0)),"حبة"))</f>
        <v/>
      </c>
      <c r="G891" s="30"/>
      <c r="H891" s="29"/>
      <c r="I891" s="29"/>
    </row>
    <row r="892" customFormat="false" ht="15" hidden="false" customHeight="false" outlineLevel="0" collapsed="false">
      <c r="A892" s="32"/>
      <c r="B892" s="29"/>
      <c r="C892" s="29"/>
      <c r="D892" s="28" t="str">
        <f aca="false">IF($C892="","",IFERROR(INDEX('المواد الخام'!$B$5:$B$104,MATCH($C892,'المواد الخام'!$A$5:$A$104,0)),IFERROR(INDEX(المنتجات!$C$5:$C$24,MATCH($C892,المنتجات!$A$5:$A$24,0)),"كود غير موجود")))</f>
        <v/>
      </c>
      <c r="E892" s="24"/>
      <c r="F892" s="28" t="str">
        <f aca="false">IF($C892="","",IFERROR(INDEX('المواد الخام'!$D$5:$D$104,MATCH($C892,'المواد الخام'!$A$5:$A$104,0)),"حبة"))</f>
        <v/>
      </c>
      <c r="G892" s="30"/>
      <c r="H892" s="29"/>
      <c r="I892" s="29"/>
    </row>
    <row r="893" customFormat="false" ht="15" hidden="false" customHeight="false" outlineLevel="0" collapsed="false">
      <c r="A893" s="32"/>
      <c r="B893" s="29"/>
      <c r="C893" s="29"/>
      <c r="D893" s="28" t="str">
        <f aca="false">IF($C893="","",IFERROR(INDEX('المواد الخام'!$B$5:$B$104,MATCH($C893,'المواد الخام'!$A$5:$A$104,0)),IFERROR(INDEX(المنتجات!$C$5:$C$24,MATCH($C893,المنتجات!$A$5:$A$24,0)),"كود غير موجود")))</f>
        <v/>
      </c>
      <c r="E893" s="24"/>
      <c r="F893" s="28" t="str">
        <f aca="false">IF($C893="","",IFERROR(INDEX('المواد الخام'!$D$5:$D$104,MATCH($C893,'المواد الخام'!$A$5:$A$104,0)),"حبة"))</f>
        <v/>
      </c>
      <c r="G893" s="30"/>
      <c r="H893" s="29"/>
      <c r="I893" s="29"/>
    </row>
    <row r="894" customFormat="false" ht="15" hidden="false" customHeight="false" outlineLevel="0" collapsed="false">
      <c r="A894" s="32"/>
      <c r="B894" s="29"/>
      <c r="C894" s="29"/>
      <c r="D894" s="28" t="str">
        <f aca="false">IF($C894="","",IFERROR(INDEX('المواد الخام'!$B$5:$B$104,MATCH($C894,'المواد الخام'!$A$5:$A$104,0)),IFERROR(INDEX(المنتجات!$C$5:$C$24,MATCH($C894,المنتجات!$A$5:$A$24,0)),"كود غير موجود")))</f>
        <v/>
      </c>
      <c r="E894" s="24"/>
      <c r="F894" s="28" t="str">
        <f aca="false">IF($C894="","",IFERROR(INDEX('المواد الخام'!$D$5:$D$104,MATCH($C894,'المواد الخام'!$A$5:$A$104,0)),"حبة"))</f>
        <v/>
      </c>
      <c r="G894" s="30"/>
      <c r="H894" s="29"/>
      <c r="I894" s="29"/>
    </row>
    <row r="895" customFormat="false" ht="15" hidden="false" customHeight="false" outlineLevel="0" collapsed="false">
      <c r="A895" s="32"/>
      <c r="B895" s="29"/>
      <c r="C895" s="29"/>
      <c r="D895" s="28" t="str">
        <f aca="false">IF($C895="","",IFERROR(INDEX('المواد الخام'!$B$5:$B$104,MATCH($C895,'المواد الخام'!$A$5:$A$104,0)),IFERROR(INDEX(المنتجات!$C$5:$C$24,MATCH($C895,المنتجات!$A$5:$A$24,0)),"كود غير موجود")))</f>
        <v/>
      </c>
      <c r="E895" s="24"/>
      <c r="F895" s="28" t="str">
        <f aca="false">IF($C895="","",IFERROR(INDEX('المواد الخام'!$D$5:$D$104,MATCH($C895,'المواد الخام'!$A$5:$A$104,0)),"حبة"))</f>
        <v/>
      </c>
      <c r="G895" s="30"/>
      <c r="H895" s="29"/>
      <c r="I895" s="29"/>
    </row>
    <row r="896" customFormat="false" ht="15" hidden="false" customHeight="false" outlineLevel="0" collapsed="false">
      <c r="A896" s="32"/>
      <c r="B896" s="29"/>
      <c r="C896" s="29"/>
      <c r="D896" s="28" t="str">
        <f aca="false">IF($C896="","",IFERROR(INDEX('المواد الخام'!$B$5:$B$104,MATCH($C896,'المواد الخام'!$A$5:$A$104,0)),IFERROR(INDEX(المنتجات!$C$5:$C$24,MATCH($C896,المنتجات!$A$5:$A$24,0)),"كود غير موجود")))</f>
        <v/>
      </c>
      <c r="E896" s="24"/>
      <c r="F896" s="28" t="str">
        <f aca="false">IF($C896="","",IFERROR(INDEX('المواد الخام'!$D$5:$D$104,MATCH($C896,'المواد الخام'!$A$5:$A$104,0)),"حبة"))</f>
        <v/>
      </c>
      <c r="G896" s="30"/>
      <c r="H896" s="29"/>
      <c r="I896" s="29"/>
    </row>
    <row r="897" customFormat="false" ht="15" hidden="false" customHeight="false" outlineLevel="0" collapsed="false">
      <c r="A897" s="32"/>
      <c r="B897" s="29"/>
      <c r="C897" s="29"/>
      <c r="D897" s="28" t="str">
        <f aca="false">IF($C897="","",IFERROR(INDEX('المواد الخام'!$B$5:$B$104,MATCH($C897,'المواد الخام'!$A$5:$A$104,0)),IFERROR(INDEX(المنتجات!$C$5:$C$24,MATCH($C897,المنتجات!$A$5:$A$24,0)),"كود غير موجود")))</f>
        <v/>
      </c>
      <c r="E897" s="24"/>
      <c r="F897" s="28" t="str">
        <f aca="false">IF($C897="","",IFERROR(INDEX('المواد الخام'!$D$5:$D$104,MATCH($C897,'المواد الخام'!$A$5:$A$104,0)),"حبة"))</f>
        <v/>
      </c>
      <c r="G897" s="30"/>
      <c r="H897" s="29"/>
      <c r="I897" s="29"/>
    </row>
    <row r="898" customFormat="false" ht="15" hidden="false" customHeight="false" outlineLevel="0" collapsed="false">
      <c r="A898" s="32"/>
      <c r="B898" s="29"/>
      <c r="C898" s="29"/>
      <c r="D898" s="28" t="str">
        <f aca="false">IF($C898="","",IFERROR(INDEX('المواد الخام'!$B$5:$B$104,MATCH($C898,'المواد الخام'!$A$5:$A$104,0)),IFERROR(INDEX(المنتجات!$C$5:$C$24,MATCH($C898,المنتجات!$A$5:$A$24,0)),"كود غير موجود")))</f>
        <v/>
      </c>
      <c r="E898" s="24"/>
      <c r="F898" s="28" t="str">
        <f aca="false">IF($C898="","",IFERROR(INDEX('المواد الخام'!$D$5:$D$104,MATCH($C898,'المواد الخام'!$A$5:$A$104,0)),"حبة"))</f>
        <v/>
      </c>
      <c r="G898" s="30"/>
      <c r="H898" s="29"/>
      <c r="I898" s="29"/>
    </row>
    <row r="899" customFormat="false" ht="15" hidden="false" customHeight="false" outlineLevel="0" collapsed="false">
      <c r="A899" s="32"/>
      <c r="B899" s="29"/>
      <c r="C899" s="29"/>
      <c r="D899" s="28" t="str">
        <f aca="false">IF($C899="","",IFERROR(INDEX('المواد الخام'!$B$5:$B$104,MATCH($C899,'المواد الخام'!$A$5:$A$104,0)),IFERROR(INDEX(المنتجات!$C$5:$C$24,MATCH($C899,المنتجات!$A$5:$A$24,0)),"كود غير موجود")))</f>
        <v/>
      </c>
      <c r="E899" s="24"/>
      <c r="F899" s="28" t="str">
        <f aca="false">IF($C899="","",IFERROR(INDEX('المواد الخام'!$D$5:$D$104,MATCH($C899,'المواد الخام'!$A$5:$A$104,0)),"حبة"))</f>
        <v/>
      </c>
      <c r="G899" s="30"/>
      <c r="H899" s="29"/>
      <c r="I899" s="29"/>
    </row>
    <row r="900" customFormat="false" ht="15" hidden="false" customHeight="false" outlineLevel="0" collapsed="false">
      <c r="A900" s="32"/>
      <c r="B900" s="29"/>
      <c r="C900" s="29"/>
      <c r="D900" s="28" t="str">
        <f aca="false">IF($C900="","",IFERROR(INDEX('المواد الخام'!$B$5:$B$104,MATCH($C900,'المواد الخام'!$A$5:$A$104,0)),IFERROR(INDEX(المنتجات!$C$5:$C$24,MATCH($C900,المنتجات!$A$5:$A$24,0)),"كود غير موجود")))</f>
        <v/>
      </c>
      <c r="E900" s="24"/>
      <c r="F900" s="28" t="str">
        <f aca="false">IF($C900="","",IFERROR(INDEX('المواد الخام'!$D$5:$D$104,MATCH($C900,'المواد الخام'!$A$5:$A$104,0)),"حبة"))</f>
        <v/>
      </c>
      <c r="G900" s="30"/>
      <c r="H900" s="29"/>
      <c r="I900" s="29"/>
    </row>
    <row r="901" customFormat="false" ht="15" hidden="false" customHeight="false" outlineLevel="0" collapsed="false">
      <c r="A901" s="32"/>
      <c r="B901" s="29"/>
      <c r="C901" s="29"/>
      <c r="D901" s="28" t="str">
        <f aca="false">IF($C901="","",IFERROR(INDEX('المواد الخام'!$B$5:$B$104,MATCH($C901,'المواد الخام'!$A$5:$A$104,0)),IFERROR(INDEX(المنتجات!$C$5:$C$24,MATCH($C901,المنتجات!$A$5:$A$24,0)),"كود غير موجود")))</f>
        <v/>
      </c>
      <c r="E901" s="24"/>
      <c r="F901" s="28" t="str">
        <f aca="false">IF($C901="","",IFERROR(INDEX('المواد الخام'!$D$5:$D$104,MATCH($C901,'المواد الخام'!$A$5:$A$104,0)),"حبة"))</f>
        <v/>
      </c>
      <c r="G901" s="30"/>
      <c r="H901" s="29"/>
      <c r="I901" s="29"/>
    </row>
    <row r="902" customFormat="false" ht="15" hidden="false" customHeight="false" outlineLevel="0" collapsed="false">
      <c r="A902" s="32"/>
      <c r="B902" s="29"/>
      <c r="C902" s="29"/>
      <c r="D902" s="28" t="str">
        <f aca="false">IF($C902="","",IFERROR(INDEX('المواد الخام'!$B$5:$B$104,MATCH($C902,'المواد الخام'!$A$5:$A$104,0)),IFERROR(INDEX(المنتجات!$C$5:$C$24,MATCH($C902,المنتجات!$A$5:$A$24,0)),"كود غير موجود")))</f>
        <v/>
      </c>
      <c r="E902" s="24"/>
      <c r="F902" s="28" t="str">
        <f aca="false">IF($C902="","",IFERROR(INDEX('المواد الخام'!$D$5:$D$104,MATCH($C902,'المواد الخام'!$A$5:$A$104,0)),"حبة"))</f>
        <v/>
      </c>
      <c r="G902" s="30"/>
      <c r="H902" s="29"/>
      <c r="I902" s="29"/>
    </row>
    <row r="903" customFormat="false" ht="15" hidden="false" customHeight="false" outlineLevel="0" collapsed="false">
      <c r="A903" s="32"/>
      <c r="B903" s="29"/>
      <c r="C903" s="29"/>
      <c r="D903" s="28" t="str">
        <f aca="false">IF($C903="","",IFERROR(INDEX('المواد الخام'!$B$5:$B$104,MATCH($C903,'المواد الخام'!$A$5:$A$104,0)),IFERROR(INDEX(المنتجات!$C$5:$C$24,MATCH($C903,المنتجات!$A$5:$A$24,0)),"كود غير موجود")))</f>
        <v/>
      </c>
      <c r="E903" s="24"/>
      <c r="F903" s="28" t="str">
        <f aca="false">IF($C903="","",IFERROR(INDEX('المواد الخام'!$D$5:$D$104,MATCH($C903,'المواد الخام'!$A$5:$A$104,0)),"حبة"))</f>
        <v/>
      </c>
      <c r="G903" s="30"/>
      <c r="H903" s="29"/>
      <c r="I903" s="29"/>
    </row>
    <row r="904" customFormat="false" ht="15" hidden="false" customHeight="false" outlineLevel="0" collapsed="false">
      <c r="A904" s="32"/>
      <c r="B904" s="29"/>
      <c r="C904" s="29"/>
      <c r="D904" s="28" t="str">
        <f aca="false">IF($C904="","",IFERROR(INDEX('المواد الخام'!$B$5:$B$104,MATCH($C904,'المواد الخام'!$A$5:$A$104,0)),IFERROR(INDEX(المنتجات!$C$5:$C$24,MATCH($C904,المنتجات!$A$5:$A$24,0)),"كود غير موجود")))</f>
        <v/>
      </c>
      <c r="E904" s="24"/>
      <c r="F904" s="28" t="str">
        <f aca="false">IF($C904="","",IFERROR(INDEX('المواد الخام'!$D$5:$D$104,MATCH($C904,'المواد الخام'!$A$5:$A$104,0)),"حبة"))</f>
        <v/>
      </c>
      <c r="G904" s="30"/>
      <c r="H904" s="29"/>
      <c r="I904" s="29"/>
    </row>
    <row r="905" customFormat="false" ht="15" hidden="false" customHeight="false" outlineLevel="0" collapsed="false">
      <c r="A905" s="32"/>
      <c r="B905" s="29"/>
      <c r="C905" s="29"/>
      <c r="D905" s="28" t="str">
        <f aca="false">IF($C905="","",IFERROR(INDEX('المواد الخام'!$B$5:$B$104,MATCH($C905,'المواد الخام'!$A$5:$A$104,0)),IFERROR(INDEX(المنتجات!$C$5:$C$24,MATCH($C905,المنتجات!$A$5:$A$24,0)),"كود غير موجود")))</f>
        <v/>
      </c>
      <c r="E905" s="24"/>
      <c r="F905" s="28" t="str">
        <f aca="false">IF($C905="","",IFERROR(INDEX('المواد الخام'!$D$5:$D$104,MATCH($C905,'المواد الخام'!$A$5:$A$104,0)),"حبة"))</f>
        <v/>
      </c>
      <c r="G905" s="30"/>
      <c r="H905" s="29"/>
      <c r="I905" s="29"/>
    </row>
    <row r="906" customFormat="false" ht="15" hidden="false" customHeight="false" outlineLevel="0" collapsed="false">
      <c r="A906" s="32"/>
      <c r="B906" s="29"/>
      <c r="C906" s="29"/>
      <c r="D906" s="28" t="str">
        <f aca="false">IF($C906="","",IFERROR(INDEX('المواد الخام'!$B$5:$B$104,MATCH($C906,'المواد الخام'!$A$5:$A$104,0)),IFERROR(INDEX(المنتجات!$C$5:$C$24,MATCH($C906,المنتجات!$A$5:$A$24,0)),"كود غير موجود")))</f>
        <v/>
      </c>
      <c r="E906" s="24"/>
      <c r="F906" s="28" t="str">
        <f aca="false">IF($C906="","",IFERROR(INDEX('المواد الخام'!$D$5:$D$104,MATCH($C906,'المواد الخام'!$A$5:$A$104,0)),"حبة"))</f>
        <v/>
      </c>
      <c r="G906" s="30"/>
      <c r="H906" s="29"/>
      <c r="I906" s="29"/>
    </row>
    <row r="907" customFormat="false" ht="15" hidden="false" customHeight="false" outlineLevel="0" collapsed="false">
      <c r="A907" s="32"/>
      <c r="B907" s="29"/>
      <c r="C907" s="29"/>
      <c r="D907" s="28" t="str">
        <f aca="false">IF($C907="","",IFERROR(INDEX('المواد الخام'!$B$5:$B$104,MATCH($C907,'المواد الخام'!$A$5:$A$104,0)),IFERROR(INDEX(المنتجات!$C$5:$C$24,MATCH($C907,المنتجات!$A$5:$A$24,0)),"كود غير موجود")))</f>
        <v/>
      </c>
      <c r="E907" s="24"/>
      <c r="F907" s="28" t="str">
        <f aca="false">IF($C907="","",IFERROR(INDEX('المواد الخام'!$D$5:$D$104,MATCH($C907,'المواد الخام'!$A$5:$A$104,0)),"حبة"))</f>
        <v/>
      </c>
      <c r="G907" s="30"/>
      <c r="H907" s="29"/>
      <c r="I907" s="29"/>
    </row>
    <row r="908" customFormat="false" ht="15" hidden="false" customHeight="false" outlineLevel="0" collapsed="false">
      <c r="A908" s="32"/>
      <c r="B908" s="29"/>
      <c r="C908" s="29"/>
      <c r="D908" s="28" t="str">
        <f aca="false">IF($C908="","",IFERROR(INDEX('المواد الخام'!$B$5:$B$104,MATCH($C908,'المواد الخام'!$A$5:$A$104,0)),IFERROR(INDEX(المنتجات!$C$5:$C$24,MATCH($C908,المنتجات!$A$5:$A$24,0)),"كود غير موجود")))</f>
        <v/>
      </c>
      <c r="E908" s="24"/>
      <c r="F908" s="28" t="str">
        <f aca="false">IF($C908="","",IFERROR(INDEX('المواد الخام'!$D$5:$D$104,MATCH($C908,'المواد الخام'!$A$5:$A$104,0)),"حبة"))</f>
        <v/>
      </c>
      <c r="G908" s="30"/>
      <c r="H908" s="29"/>
      <c r="I908" s="29"/>
    </row>
    <row r="909" customFormat="false" ht="15" hidden="false" customHeight="false" outlineLevel="0" collapsed="false">
      <c r="A909" s="32"/>
      <c r="B909" s="29"/>
      <c r="C909" s="29"/>
      <c r="D909" s="28" t="str">
        <f aca="false">IF($C909="","",IFERROR(INDEX('المواد الخام'!$B$5:$B$104,MATCH($C909,'المواد الخام'!$A$5:$A$104,0)),IFERROR(INDEX(المنتجات!$C$5:$C$24,MATCH($C909,المنتجات!$A$5:$A$24,0)),"كود غير موجود")))</f>
        <v/>
      </c>
      <c r="E909" s="24"/>
      <c r="F909" s="28" t="str">
        <f aca="false">IF($C909="","",IFERROR(INDEX('المواد الخام'!$D$5:$D$104,MATCH($C909,'المواد الخام'!$A$5:$A$104,0)),"حبة"))</f>
        <v/>
      </c>
      <c r="G909" s="30"/>
      <c r="H909" s="29"/>
      <c r="I909" s="29"/>
    </row>
    <row r="910" customFormat="false" ht="15" hidden="false" customHeight="false" outlineLevel="0" collapsed="false">
      <c r="A910" s="32"/>
      <c r="B910" s="29"/>
      <c r="C910" s="29"/>
      <c r="D910" s="28" t="str">
        <f aca="false">IF($C910="","",IFERROR(INDEX('المواد الخام'!$B$5:$B$104,MATCH($C910,'المواد الخام'!$A$5:$A$104,0)),IFERROR(INDEX(المنتجات!$C$5:$C$24,MATCH($C910,المنتجات!$A$5:$A$24,0)),"كود غير موجود")))</f>
        <v/>
      </c>
      <c r="E910" s="24"/>
      <c r="F910" s="28" t="str">
        <f aca="false">IF($C910="","",IFERROR(INDEX('المواد الخام'!$D$5:$D$104,MATCH($C910,'المواد الخام'!$A$5:$A$104,0)),"حبة"))</f>
        <v/>
      </c>
      <c r="G910" s="30"/>
      <c r="H910" s="29"/>
      <c r="I910" s="29"/>
    </row>
    <row r="911" customFormat="false" ht="15" hidden="false" customHeight="false" outlineLevel="0" collapsed="false">
      <c r="A911" s="32"/>
      <c r="B911" s="29"/>
      <c r="C911" s="29"/>
      <c r="D911" s="28" t="str">
        <f aca="false">IF($C911="","",IFERROR(INDEX('المواد الخام'!$B$5:$B$104,MATCH($C911,'المواد الخام'!$A$5:$A$104,0)),IFERROR(INDEX(المنتجات!$C$5:$C$24,MATCH($C911,المنتجات!$A$5:$A$24,0)),"كود غير موجود")))</f>
        <v/>
      </c>
      <c r="E911" s="24"/>
      <c r="F911" s="28" t="str">
        <f aca="false">IF($C911="","",IFERROR(INDEX('المواد الخام'!$D$5:$D$104,MATCH($C911,'المواد الخام'!$A$5:$A$104,0)),"حبة"))</f>
        <v/>
      </c>
      <c r="G911" s="30"/>
      <c r="H911" s="29"/>
      <c r="I911" s="29"/>
    </row>
    <row r="912" customFormat="false" ht="15" hidden="false" customHeight="false" outlineLevel="0" collapsed="false">
      <c r="A912" s="32"/>
      <c r="B912" s="29"/>
      <c r="C912" s="29"/>
      <c r="D912" s="28" t="str">
        <f aca="false">IF($C912="","",IFERROR(INDEX('المواد الخام'!$B$5:$B$104,MATCH($C912,'المواد الخام'!$A$5:$A$104,0)),IFERROR(INDEX(المنتجات!$C$5:$C$24,MATCH($C912,المنتجات!$A$5:$A$24,0)),"كود غير موجود")))</f>
        <v/>
      </c>
      <c r="E912" s="24"/>
      <c r="F912" s="28" t="str">
        <f aca="false">IF($C912="","",IFERROR(INDEX('المواد الخام'!$D$5:$D$104,MATCH($C912,'المواد الخام'!$A$5:$A$104,0)),"حبة"))</f>
        <v/>
      </c>
      <c r="G912" s="30"/>
      <c r="H912" s="29"/>
      <c r="I912" s="29"/>
    </row>
    <row r="913" customFormat="false" ht="15" hidden="false" customHeight="false" outlineLevel="0" collapsed="false">
      <c r="A913" s="32"/>
      <c r="B913" s="29"/>
      <c r="C913" s="29"/>
      <c r="D913" s="28" t="str">
        <f aca="false">IF($C913="","",IFERROR(INDEX('المواد الخام'!$B$5:$B$104,MATCH($C913,'المواد الخام'!$A$5:$A$104,0)),IFERROR(INDEX(المنتجات!$C$5:$C$24,MATCH($C913,المنتجات!$A$5:$A$24,0)),"كود غير موجود")))</f>
        <v/>
      </c>
      <c r="E913" s="24"/>
      <c r="F913" s="28" t="str">
        <f aca="false">IF($C913="","",IFERROR(INDEX('المواد الخام'!$D$5:$D$104,MATCH($C913,'المواد الخام'!$A$5:$A$104,0)),"حبة"))</f>
        <v/>
      </c>
      <c r="G913" s="30"/>
      <c r="H913" s="29"/>
      <c r="I913" s="29"/>
    </row>
    <row r="914" customFormat="false" ht="15" hidden="false" customHeight="false" outlineLevel="0" collapsed="false">
      <c r="A914" s="32"/>
      <c r="B914" s="29"/>
      <c r="C914" s="29"/>
      <c r="D914" s="28" t="str">
        <f aca="false">IF($C914="","",IFERROR(INDEX('المواد الخام'!$B$5:$B$104,MATCH($C914,'المواد الخام'!$A$5:$A$104,0)),IFERROR(INDEX(المنتجات!$C$5:$C$24,MATCH($C914,المنتجات!$A$5:$A$24,0)),"كود غير موجود")))</f>
        <v/>
      </c>
      <c r="E914" s="24"/>
      <c r="F914" s="28" t="str">
        <f aca="false">IF($C914="","",IFERROR(INDEX('المواد الخام'!$D$5:$D$104,MATCH($C914,'المواد الخام'!$A$5:$A$104,0)),"حبة"))</f>
        <v/>
      </c>
      <c r="G914" s="30"/>
      <c r="H914" s="29"/>
      <c r="I914" s="29"/>
    </row>
    <row r="915" customFormat="false" ht="15" hidden="false" customHeight="false" outlineLevel="0" collapsed="false">
      <c r="A915" s="32"/>
      <c r="B915" s="29"/>
      <c r="C915" s="29"/>
      <c r="D915" s="28" t="str">
        <f aca="false">IF($C915="","",IFERROR(INDEX('المواد الخام'!$B$5:$B$104,MATCH($C915,'المواد الخام'!$A$5:$A$104,0)),IFERROR(INDEX(المنتجات!$C$5:$C$24,MATCH($C915,المنتجات!$A$5:$A$24,0)),"كود غير موجود")))</f>
        <v/>
      </c>
      <c r="E915" s="24"/>
      <c r="F915" s="28" t="str">
        <f aca="false">IF($C915="","",IFERROR(INDEX('المواد الخام'!$D$5:$D$104,MATCH($C915,'المواد الخام'!$A$5:$A$104,0)),"حبة"))</f>
        <v/>
      </c>
      <c r="G915" s="30"/>
      <c r="H915" s="29"/>
      <c r="I915" s="29"/>
    </row>
    <row r="916" customFormat="false" ht="15" hidden="false" customHeight="false" outlineLevel="0" collapsed="false">
      <c r="A916" s="32"/>
      <c r="B916" s="29"/>
      <c r="C916" s="29"/>
      <c r="D916" s="28" t="str">
        <f aca="false">IF($C916="","",IFERROR(INDEX('المواد الخام'!$B$5:$B$104,MATCH($C916,'المواد الخام'!$A$5:$A$104,0)),IFERROR(INDEX(المنتجات!$C$5:$C$24,MATCH($C916,المنتجات!$A$5:$A$24,0)),"كود غير موجود")))</f>
        <v/>
      </c>
      <c r="E916" s="24"/>
      <c r="F916" s="28" t="str">
        <f aca="false">IF($C916="","",IFERROR(INDEX('المواد الخام'!$D$5:$D$104,MATCH($C916,'المواد الخام'!$A$5:$A$104,0)),"حبة"))</f>
        <v/>
      </c>
      <c r="G916" s="30"/>
      <c r="H916" s="29"/>
      <c r="I916" s="29"/>
    </row>
    <row r="917" customFormat="false" ht="15" hidden="false" customHeight="false" outlineLevel="0" collapsed="false">
      <c r="A917" s="32"/>
      <c r="B917" s="29"/>
      <c r="C917" s="29"/>
      <c r="D917" s="28" t="str">
        <f aca="false">IF($C917="","",IFERROR(INDEX('المواد الخام'!$B$5:$B$104,MATCH($C917,'المواد الخام'!$A$5:$A$104,0)),IFERROR(INDEX(المنتجات!$C$5:$C$24,MATCH($C917,المنتجات!$A$5:$A$24,0)),"كود غير موجود")))</f>
        <v/>
      </c>
      <c r="E917" s="24"/>
      <c r="F917" s="28" t="str">
        <f aca="false">IF($C917="","",IFERROR(INDEX('المواد الخام'!$D$5:$D$104,MATCH($C917,'المواد الخام'!$A$5:$A$104,0)),"حبة"))</f>
        <v/>
      </c>
      <c r="G917" s="30"/>
      <c r="H917" s="29"/>
      <c r="I917" s="29"/>
    </row>
    <row r="918" customFormat="false" ht="15" hidden="false" customHeight="false" outlineLevel="0" collapsed="false">
      <c r="A918" s="32"/>
      <c r="B918" s="29"/>
      <c r="C918" s="29"/>
      <c r="D918" s="28" t="str">
        <f aca="false">IF($C918="","",IFERROR(INDEX('المواد الخام'!$B$5:$B$104,MATCH($C918,'المواد الخام'!$A$5:$A$104,0)),IFERROR(INDEX(المنتجات!$C$5:$C$24,MATCH($C918,المنتجات!$A$5:$A$24,0)),"كود غير موجود")))</f>
        <v/>
      </c>
      <c r="E918" s="24"/>
      <c r="F918" s="28" t="str">
        <f aca="false">IF($C918="","",IFERROR(INDEX('المواد الخام'!$D$5:$D$104,MATCH($C918,'المواد الخام'!$A$5:$A$104,0)),"حبة"))</f>
        <v/>
      </c>
      <c r="G918" s="30"/>
      <c r="H918" s="29"/>
      <c r="I918" s="29"/>
    </row>
    <row r="919" customFormat="false" ht="15" hidden="false" customHeight="false" outlineLevel="0" collapsed="false">
      <c r="A919" s="32"/>
      <c r="B919" s="29"/>
      <c r="C919" s="29"/>
      <c r="D919" s="28" t="str">
        <f aca="false">IF($C919="","",IFERROR(INDEX('المواد الخام'!$B$5:$B$104,MATCH($C919,'المواد الخام'!$A$5:$A$104,0)),IFERROR(INDEX(المنتجات!$C$5:$C$24,MATCH($C919,المنتجات!$A$5:$A$24,0)),"كود غير موجود")))</f>
        <v/>
      </c>
      <c r="E919" s="24"/>
      <c r="F919" s="28" t="str">
        <f aca="false">IF($C919="","",IFERROR(INDEX('المواد الخام'!$D$5:$D$104,MATCH($C919,'المواد الخام'!$A$5:$A$104,0)),"حبة"))</f>
        <v/>
      </c>
      <c r="G919" s="30"/>
      <c r="H919" s="29"/>
      <c r="I919" s="29"/>
    </row>
    <row r="920" customFormat="false" ht="15" hidden="false" customHeight="false" outlineLevel="0" collapsed="false">
      <c r="A920" s="32"/>
      <c r="B920" s="29"/>
      <c r="C920" s="29"/>
      <c r="D920" s="28" t="str">
        <f aca="false">IF($C920="","",IFERROR(INDEX('المواد الخام'!$B$5:$B$104,MATCH($C920,'المواد الخام'!$A$5:$A$104,0)),IFERROR(INDEX(المنتجات!$C$5:$C$24,MATCH($C920,المنتجات!$A$5:$A$24,0)),"كود غير موجود")))</f>
        <v/>
      </c>
      <c r="E920" s="24"/>
      <c r="F920" s="28" t="str">
        <f aca="false">IF($C920="","",IFERROR(INDEX('المواد الخام'!$D$5:$D$104,MATCH($C920,'المواد الخام'!$A$5:$A$104,0)),"حبة"))</f>
        <v/>
      </c>
      <c r="G920" s="30"/>
      <c r="H920" s="29"/>
      <c r="I920" s="29"/>
    </row>
    <row r="921" customFormat="false" ht="15" hidden="false" customHeight="false" outlineLevel="0" collapsed="false">
      <c r="A921" s="32"/>
      <c r="B921" s="29"/>
      <c r="C921" s="29"/>
      <c r="D921" s="28" t="str">
        <f aca="false">IF($C921="","",IFERROR(INDEX('المواد الخام'!$B$5:$B$104,MATCH($C921,'المواد الخام'!$A$5:$A$104,0)),IFERROR(INDEX(المنتجات!$C$5:$C$24,MATCH($C921,المنتجات!$A$5:$A$24,0)),"كود غير موجود")))</f>
        <v/>
      </c>
      <c r="E921" s="24"/>
      <c r="F921" s="28" t="str">
        <f aca="false">IF($C921="","",IFERROR(INDEX('المواد الخام'!$D$5:$D$104,MATCH($C921,'المواد الخام'!$A$5:$A$104,0)),"حبة"))</f>
        <v/>
      </c>
      <c r="G921" s="30"/>
      <c r="H921" s="29"/>
      <c r="I921" s="29"/>
    </row>
    <row r="922" customFormat="false" ht="15" hidden="false" customHeight="false" outlineLevel="0" collapsed="false">
      <c r="A922" s="32"/>
      <c r="B922" s="29"/>
      <c r="C922" s="29"/>
      <c r="D922" s="28" t="str">
        <f aca="false">IF($C922="","",IFERROR(INDEX('المواد الخام'!$B$5:$B$104,MATCH($C922,'المواد الخام'!$A$5:$A$104,0)),IFERROR(INDEX(المنتجات!$C$5:$C$24,MATCH($C922,المنتجات!$A$5:$A$24,0)),"كود غير موجود")))</f>
        <v/>
      </c>
      <c r="E922" s="24"/>
      <c r="F922" s="28" t="str">
        <f aca="false">IF($C922="","",IFERROR(INDEX('المواد الخام'!$D$5:$D$104,MATCH($C922,'المواد الخام'!$A$5:$A$104,0)),"حبة"))</f>
        <v/>
      </c>
      <c r="G922" s="30"/>
      <c r="H922" s="29"/>
      <c r="I922" s="29"/>
    </row>
    <row r="923" customFormat="false" ht="15" hidden="false" customHeight="false" outlineLevel="0" collapsed="false">
      <c r="A923" s="32"/>
      <c r="B923" s="29"/>
      <c r="C923" s="29"/>
      <c r="D923" s="28" t="str">
        <f aca="false">IF($C923="","",IFERROR(INDEX('المواد الخام'!$B$5:$B$104,MATCH($C923,'المواد الخام'!$A$5:$A$104,0)),IFERROR(INDEX(المنتجات!$C$5:$C$24,MATCH($C923,المنتجات!$A$5:$A$24,0)),"كود غير موجود")))</f>
        <v/>
      </c>
      <c r="E923" s="24"/>
      <c r="F923" s="28" t="str">
        <f aca="false">IF($C923="","",IFERROR(INDEX('المواد الخام'!$D$5:$D$104,MATCH($C923,'المواد الخام'!$A$5:$A$104,0)),"حبة"))</f>
        <v/>
      </c>
      <c r="G923" s="30"/>
      <c r="H923" s="29"/>
      <c r="I923" s="29"/>
    </row>
    <row r="924" customFormat="false" ht="15" hidden="false" customHeight="false" outlineLevel="0" collapsed="false">
      <c r="A924" s="32"/>
      <c r="B924" s="29"/>
      <c r="C924" s="29"/>
      <c r="D924" s="28" t="str">
        <f aca="false">IF($C924="","",IFERROR(INDEX('المواد الخام'!$B$5:$B$104,MATCH($C924,'المواد الخام'!$A$5:$A$104,0)),IFERROR(INDEX(المنتجات!$C$5:$C$24,MATCH($C924,المنتجات!$A$5:$A$24,0)),"كود غير موجود")))</f>
        <v/>
      </c>
      <c r="E924" s="24"/>
      <c r="F924" s="28" t="str">
        <f aca="false">IF($C924="","",IFERROR(INDEX('المواد الخام'!$D$5:$D$104,MATCH($C924,'المواد الخام'!$A$5:$A$104,0)),"حبة"))</f>
        <v/>
      </c>
      <c r="G924" s="30"/>
      <c r="H924" s="29"/>
      <c r="I924" s="29"/>
    </row>
    <row r="925" customFormat="false" ht="15" hidden="false" customHeight="false" outlineLevel="0" collapsed="false">
      <c r="A925" s="32"/>
      <c r="B925" s="29"/>
      <c r="C925" s="29"/>
      <c r="D925" s="28" t="str">
        <f aca="false">IF($C925="","",IFERROR(INDEX('المواد الخام'!$B$5:$B$104,MATCH($C925,'المواد الخام'!$A$5:$A$104,0)),IFERROR(INDEX(المنتجات!$C$5:$C$24,MATCH($C925,المنتجات!$A$5:$A$24,0)),"كود غير موجود")))</f>
        <v/>
      </c>
      <c r="E925" s="24"/>
      <c r="F925" s="28" t="str">
        <f aca="false">IF($C925="","",IFERROR(INDEX('المواد الخام'!$D$5:$D$104,MATCH($C925,'المواد الخام'!$A$5:$A$104,0)),"حبة"))</f>
        <v/>
      </c>
      <c r="G925" s="30"/>
      <c r="H925" s="29"/>
      <c r="I925" s="29"/>
    </row>
    <row r="926" customFormat="false" ht="15" hidden="false" customHeight="false" outlineLevel="0" collapsed="false">
      <c r="A926" s="32"/>
      <c r="B926" s="29"/>
      <c r="C926" s="29"/>
      <c r="D926" s="28" t="str">
        <f aca="false">IF($C926="","",IFERROR(INDEX('المواد الخام'!$B$5:$B$104,MATCH($C926,'المواد الخام'!$A$5:$A$104,0)),IFERROR(INDEX(المنتجات!$C$5:$C$24,MATCH($C926,المنتجات!$A$5:$A$24,0)),"كود غير موجود")))</f>
        <v/>
      </c>
      <c r="E926" s="24"/>
      <c r="F926" s="28" t="str">
        <f aca="false">IF($C926="","",IFERROR(INDEX('المواد الخام'!$D$5:$D$104,MATCH($C926,'المواد الخام'!$A$5:$A$104,0)),"حبة"))</f>
        <v/>
      </c>
      <c r="G926" s="30"/>
      <c r="H926" s="29"/>
      <c r="I926" s="29"/>
    </row>
    <row r="927" customFormat="false" ht="15" hidden="false" customHeight="false" outlineLevel="0" collapsed="false">
      <c r="A927" s="32"/>
      <c r="B927" s="29"/>
      <c r="C927" s="29"/>
      <c r="D927" s="28" t="str">
        <f aca="false">IF($C927="","",IFERROR(INDEX('المواد الخام'!$B$5:$B$104,MATCH($C927,'المواد الخام'!$A$5:$A$104,0)),IFERROR(INDEX(المنتجات!$C$5:$C$24,MATCH($C927,المنتجات!$A$5:$A$24,0)),"كود غير موجود")))</f>
        <v/>
      </c>
      <c r="E927" s="24"/>
      <c r="F927" s="28" t="str">
        <f aca="false">IF($C927="","",IFERROR(INDEX('المواد الخام'!$D$5:$D$104,MATCH($C927,'المواد الخام'!$A$5:$A$104,0)),"حبة"))</f>
        <v/>
      </c>
      <c r="G927" s="30"/>
      <c r="H927" s="29"/>
      <c r="I927" s="29"/>
    </row>
    <row r="928" customFormat="false" ht="15" hidden="false" customHeight="false" outlineLevel="0" collapsed="false">
      <c r="A928" s="32"/>
      <c r="B928" s="29"/>
      <c r="C928" s="29"/>
      <c r="D928" s="28" t="str">
        <f aca="false">IF($C928="","",IFERROR(INDEX('المواد الخام'!$B$5:$B$104,MATCH($C928,'المواد الخام'!$A$5:$A$104,0)),IFERROR(INDEX(المنتجات!$C$5:$C$24,MATCH($C928,المنتجات!$A$5:$A$24,0)),"كود غير موجود")))</f>
        <v/>
      </c>
      <c r="E928" s="24"/>
      <c r="F928" s="28" t="str">
        <f aca="false">IF($C928="","",IFERROR(INDEX('المواد الخام'!$D$5:$D$104,MATCH($C928,'المواد الخام'!$A$5:$A$104,0)),"حبة"))</f>
        <v/>
      </c>
      <c r="G928" s="30"/>
      <c r="H928" s="29"/>
      <c r="I928" s="29"/>
    </row>
    <row r="929" customFormat="false" ht="15" hidden="false" customHeight="false" outlineLevel="0" collapsed="false">
      <c r="A929" s="32"/>
      <c r="B929" s="29"/>
      <c r="C929" s="29"/>
      <c r="D929" s="28" t="str">
        <f aca="false">IF($C929="","",IFERROR(INDEX('المواد الخام'!$B$5:$B$104,MATCH($C929,'المواد الخام'!$A$5:$A$104,0)),IFERROR(INDEX(المنتجات!$C$5:$C$24,MATCH($C929,المنتجات!$A$5:$A$24,0)),"كود غير موجود")))</f>
        <v/>
      </c>
      <c r="E929" s="24"/>
      <c r="F929" s="28" t="str">
        <f aca="false">IF($C929="","",IFERROR(INDEX('المواد الخام'!$D$5:$D$104,MATCH($C929,'المواد الخام'!$A$5:$A$104,0)),"حبة"))</f>
        <v/>
      </c>
      <c r="G929" s="30"/>
      <c r="H929" s="29"/>
      <c r="I929" s="29"/>
    </row>
    <row r="930" customFormat="false" ht="15" hidden="false" customHeight="false" outlineLevel="0" collapsed="false">
      <c r="A930" s="32"/>
      <c r="B930" s="29"/>
      <c r="C930" s="29"/>
      <c r="D930" s="28" t="str">
        <f aca="false">IF($C930="","",IFERROR(INDEX('المواد الخام'!$B$5:$B$104,MATCH($C930,'المواد الخام'!$A$5:$A$104,0)),IFERROR(INDEX(المنتجات!$C$5:$C$24,MATCH($C930,المنتجات!$A$5:$A$24,0)),"كود غير موجود")))</f>
        <v/>
      </c>
      <c r="E930" s="24"/>
      <c r="F930" s="28" t="str">
        <f aca="false">IF($C930="","",IFERROR(INDEX('المواد الخام'!$D$5:$D$104,MATCH($C930,'المواد الخام'!$A$5:$A$104,0)),"حبة"))</f>
        <v/>
      </c>
      <c r="G930" s="30"/>
      <c r="H930" s="29"/>
      <c r="I930" s="29"/>
    </row>
    <row r="931" customFormat="false" ht="15" hidden="false" customHeight="false" outlineLevel="0" collapsed="false">
      <c r="A931" s="32"/>
      <c r="B931" s="29"/>
      <c r="C931" s="29"/>
      <c r="D931" s="28" t="str">
        <f aca="false">IF($C931="","",IFERROR(INDEX('المواد الخام'!$B$5:$B$104,MATCH($C931,'المواد الخام'!$A$5:$A$104,0)),IFERROR(INDEX(المنتجات!$C$5:$C$24,MATCH($C931,المنتجات!$A$5:$A$24,0)),"كود غير موجود")))</f>
        <v/>
      </c>
      <c r="E931" s="24"/>
      <c r="F931" s="28" t="str">
        <f aca="false">IF($C931="","",IFERROR(INDEX('المواد الخام'!$D$5:$D$104,MATCH($C931,'المواد الخام'!$A$5:$A$104,0)),"حبة"))</f>
        <v/>
      </c>
      <c r="G931" s="30"/>
      <c r="H931" s="29"/>
      <c r="I931" s="29"/>
    </row>
    <row r="932" customFormat="false" ht="15" hidden="false" customHeight="false" outlineLevel="0" collapsed="false">
      <c r="A932" s="32"/>
      <c r="B932" s="29"/>
      <c r="C932" s="29"/>
      <c r="D932" s="28" t="str">
        <f aca="false">IF($C932="","",IFERROR(INDEX('المواد الخام'!$B$5:$B$104,MATCH($C932,'المواد الخام'!$A$5:$A$104,0)),IFERROR(INDEX(المنتجات!$C$5:$C$24,MATCH($C932,المنتجات!$A$5:$A$24,0)),"كود غير موجود")))</f>
        <v/>
      </c>
      <c r="E932" s="24"/>
      <c r="F932" s="28" t="str">
        <f aca="false">IF($C932="","",IFERROR(INDEX('المواد الخام'!$D$5:$D$104,MATCH($C932,'المواد الخام'!$A$5:$A$104,0)),"حبة"))</f>
        <v/>
      </c>
      <c r="G932" s="30"/>
      <c r="H932" s="29"/>
      <c r="I932" s="29"/>
    </row>
    <row r="933" customFormat="false" ht="15" hidden="false" customHeight="false" outlineLevel="0" collapsed="false">
      <c r="A933" s="32"/>
      <c r="B933" s="29"/>
      <c r="C933" s="29"/>
      <c r="D933" s="28" t="str">
        <f aca="false">IF($C933="","",IFERROR(INDEX('المواد الخام'!$B$5:$B$104,MATCH($C933,'المواد الخام'!$A$5:$A$104,0)),IFERROR(INDEX(المنتجات!$C$5:$C$24,MATCH($C933,المنتجات!$A$5:$A$24,0)),"كود غير موجود")))</f>
        <v/>
      </c>
      <c r="E933" s="24"/>
      <c r="F933" s="28" t="str">
        <f aca="false">IF($C933="","",IFERROR(INDEX('المواد الخام'!$D$5:$D$104,MATCH($C933,'المواد الخام'!$A$5:$A$104,0)),"حبة"))</f>
        <v/>
      </c>
      <c r="G933" s="30"/>
      <c r="H933" s="29"/>
      <c r="I933" s="29"/>
    </row>
    <row r="934" customFormat="false" ht="15" hidden="false" customHeight="false" outlineLevel="0" collapsed="false">
      <c r="A934" s="32"/>
      <c r="B934" s="29"/>
      <c r="C934" s="29"/>
      <c r="D934" s="28" t="str">
        <f aca="false">IF($C934="","",IFERROR(INDEX('المواد الخام'!$B$5:$B$104,MATCH($C934,'المواد الخام'!$A$5:$A$104,0)),IFERROR(INDEX(المنتجات!$C$5:$C$24,MATCH($C934,المنتجات!$A$5:$A$24,0)),"كود غير موجود")))</f>
        <v/>
      </c>
      <c r="E934" s="24"/>
      <c r="F934" s="28" t="str">
        <f aca="false">IF($C934="","",IFERROR(INDEX('المواد الخام'!$D$5:$D$104,MATCH($C934,'المواد الخام'!$A$5:$A$104,0)),"حبة"))</f>
        <v/>
      </c>
      <c r="G934" s="30"/>
      <c r="H934" s="29"/>
      <c r="I934" s="29"/>
    </row>
    <row r="935" customFormat="false" ht="15" hidden="false" customHeight="false" outlineLevel="0" collapsed="false">
      <c r="A935" s="32"/>
      <c r="B935" s="29"/>
      <c r="C935" s="29"/>
      <c r="D935" s="28" t="str">
        <f aca="false">IF($C935="","",IFERROR(INDEX('المواد الخام'!$B$5:$B$104,MATCH($C935,'المواد الخام'!$A$5:$A$104,0)),IFERROR(INDEX(المنتجات!$C$5:$C$24,MATCH($C935,المنتجات!$A$5:$A$24,0)),"كود غير موجود")))</f>
        <v/>
      </c>
      <c r="E935" s="24"/>
      <c r="F935" s="28" t="str">
        <f aca="false">IF($C935="","",IFERROR(INDEX('المواد الخام'!$D$5:$D$104,MATCH($C935,'المواد الخام'!$A$5:$A$104,0)),"حبة"))</f>
        <v/>
      </c>
      <c r="G935" s="30"/>
      <c r="H935" s="29"/>
      <c r="I935" s="29"/>
    </row>
    <row r="936" customFormat="false" ht="15" hidden="false" customHeight="false" outlineLevel="0" collapsed="false">
      <c r="A936" s="32"/>
      <c r="B936" s="29"/>
      <c r="C936" s="29"/>
      <c r="D936" s="28" t="str">
        <f aca="false">IF($C936="","",IFERROR(INDEX('المواد الخام'!$B$5:$B$104,MATCH($C936,'المواد الخام'!$A$5:$A$104,0)),IFERROR(INDEX(المنتجات!$C$5:$C$24,MATCH($C936,المنتجات!$A$5:$A$24,0)),"كود غير موجود")))</f>
        <v/>
      </c>
      <c r="E936" s="24"/>
      <c r="F936" s="28" t="str">
        <f aca="false">IF($C936="","",IFERROR(INDEX('المواد الخام'!$D$5:$D$104,MATCH($C936,'المواد الخام'!$A$5:$A$104,0)),"حبة"))</f>
        <v/>
      </c>
      <c r="G936" s="30"/>
      <c r="H936" s="29"/>
      <c r="I936" s="29"/>
    </row>
    <row r="937" customFormat="false" ht="15" hidden="false" customHeight="false" outlineLevel="0" collapsed="false">
      <c r="A937" s="32"/>
      <c r="B937" s="29"/>
      <c r="C937" s="29"/>
      <c r="D937" s="28" t="str">
        <f aca="false">IF($C937="","",IFERROR(INDEX('المواد الخام'!$B$5:$B$104,MATCH($C937,'المواد الخام'!$A$5:$A$104,0)),IFERROR(INDEX(المنتجات!$C$5:$C$24,MATCH($C937,المنتجات!$A$5:$A$24,0)),"كود غير موجود")))</f>
        <v/>
      </c>
      <c r="E937" s="24"/>
      <c r="F937" s="28" t="str">
        <f aca="false">IF($C937="","",IFERROR(INDEX('المواد الخام'!$D$5:$D$104,MATCH($C937,'المواد الخام'!$A$5:$A$104,0)),"حبة"))</f>
        <v/>
      </c>
      <c r="G937" s="30"/>
      <c r="H937" s="29"/>
      <c r="I937" s="29"/>
    </row>
    <row r="938" customFormat="false" ht="15" hidden="false" customHeight="false" outlineLevel="0" collapsed="false">
      <c r="A938" s="32"/>
      <c r="B938" s="29"/>
      <c r="C938" s="29"/>
      <c r="D938" s="28" t="str">
        <f aca="false">IF($C938="","",IFERROR(INDEX('المواد الخام'!$B$5:$B$104,MATCH($C938,'المواد الخام'!$A$5:$A$104,0)),IFERROR(INDEX(المنتجات!$C$5:$C$24,MATCH($C938,المنتجات!$A$5:$A$24,0)),"كود غير موجود")))</f>
        <v/>
      </c>
      <c r="E938" s="24"/>
      <c r="F938" s="28" t="str">
        <f aca="false">IF($C938="","",IFERROR(INDEX('المواد الخام'!$D$5:$D$104,MATCH($C938,'المواد الخام'!$A$5:$A$104,0)),"حبة"))</f>
        <v/>
      </c>
      <c r="G938" s="30"/>
      <c r="H938" s="29"/>
      <c r="I938" s="29"/>
    </row>
    <row r="939" customFormat="false" ht="15" hidden="false" customHeight="false" outlineLevel="0" collapsed="false">
      <c r="A939" s="32"/>
      <c r="B939" s="29"/>
      <c r="C939" s="29"/>
      <c r="D939" s="28" t="str">
        <f aca="false">IF($C939="","",IFERROR(INDEX('المواد الخام'!$B$5:$B$104,MATCH($C939,'المواد الخام'!$A$5:$A$104,0)),IFERROR(INDEX(المنتجات!$C$5:$C$24,MATCH($C939,المنتجات!$A$5:$A$24,0)),"كود غير موجود")))</f>
        <v/>
      </c>
      <c r="E939" s="24"/>
      <c r="F939" s="28" t="str">
        <f aca="false">IF($C939="","",IFERROR(INDEX('المواد الخام'!$D$5:$D$104,MATCH($C939,'المواد الخام'!$A$5:$A$104,0)),"حبة"))</f>
        <v/>
      </c>
      <c r="G939" s="30"/>
      <c r="H939" s="29"/>
      <c r="I939" s="29"/>
    </row>
    <row r="940" customFormat="false" ht="15" hidden="false" customHeight="false" outlineLevel="0" collapsed="false">
      <c r="A940" s="32"/>
      <c r="B940" s="29"/>
      <c r="C940" s="29"/>
      <c r="D940" s="28" t="str">
        <f aca="false">IF($C940="","",IFERROR(INDEX('المواد الخام'!$B$5:$B$104,MATCH($C940,'المواد الخام'!$A$5:$A$104,0)),IFERROR(INDEX(المنتجات!$C$5:$C$24,MATCH($C940,المنتجات!$A$5:$A$24,0)),"كود غير موجود")))</f>
        <v/>
      </c>
      <c r="E940" s="24"/>
      <c r="F940" s="28" t="str">
        <f aca="false">IF($C940="","",IFERROR(INDEX('المواد الخام'!$D$5:$D$104,MATCH($C940,'المواد الخام'!$A$5:$A$104,0)),"حبة"))</f>
        <v/>
      </c>
      <c r="G940" s="30"/>
      <c r="H940" s="29"/>
      <c r="I940" s="29"/>
    </row>
    <row r="941" customFormat="false" ht="15" hidden="false" customHeight="false" outlineLevel="0" collapsed="false">
      <c r="A941" s="32"/>
      <c r="B941" s="29"/>
      <c r="C941" s="29"/>
      <c r="D941" s="28" t="str">
        <f aca="false">IF($C941="","",IFERROR(INDEX('المواد الخام'!$B$5:$B$104,MATCH($C941,'المواد الخام'!$A$5:$A$104,0)),IFERROR(INDEX(المنتجات!$C$5:$C$24,MATCH($C941,المنتجات!$A$5:$A$24,0)),"كود غير موجود")))</f>
        <v/>
      </c>
      <c r="E941" s="24"/>
      <c r="F941" s="28" t="str">
        <f aca="false">IF($C941="","",IFERROR(INDEX('المواد الخام'!$D$5:$D$104,MATCH($C941,'المواد الخام'!$A$5:$A$104,0)),"حبة"))</f>
        <v/>
      </c>
      <c r="G941" s="30"/>
      <c r="H941" s="29"/>
      <c r="I941" s="29"/>
    </row>
    <row r="942" customFormat="false" ht="15" hidden="false" customHeight="false" outlineLevel="0" collapsed="false">
      <c r="A942" s="32"/>
      <c r="B942" s="29"/>
      <c r="C942" s="29"/>
      <c r="D942" s="28" t="str">
        <f aca="false">IF($C942="","",IFERROR(INDEX('المواد الخام'!$B$5:$B$104,MATCH($C942,'المواد الخام'!$A$5:$A$104,0)),IFERROR(INDEX(المنتجات!$C$5:$C$24,MATCH($C942,المنتجات!$A$5:$A$24,0)),"كود غير موجود")))</f>
        <v/>
      </c>
      <c r="E942" s="24"/>
      <c r="F942" s="28" t="str">
        <f aca="false">IF($C942="","",IFERROR(INDEX('المواد الخام'!$D$5:$D$104,MATCH($C942,'المواد الخام'!$A$5:$A$104,0)),"حبة"))</f>
        <v/>
      </c>
      <c r="G942" s="30"/>
      <c r="H942" s="29"/>
      <c r="I942" s="29"/>
    </row>
    <row r="943" customFormat="false" ht="15" hidden="false" customHeight="false" outlineLevel="0" collapsed="false">
      <c r="A943" s="32"/>
      <c r="B943" s="29"/>
      <c r="C943" s="29"/>
      <c r="D943" s="28" t="str">
        <f aca="false">IF($C943="","",IFERROR(INDEX('المواد الخام'!$B$5:$B$104,MATCH($C943,'المواد الخام'!$A$5:$A$104,0)),IFERROR(INDEX(المنتجات!$C$5:$C$24,MATCH($C943,المنتجات!$A$5:$A$24,0)),"كود غير موجود")))</f>
        <v/>
      </c>
      <c r="E943" s="24"/>
      <c r="F943" s="28" t="str">
        <f aca="false">IF($C943="","",IFERROR(INDEX('المواد الخام'!$D$5:$D$104,MATCH($C943,'المواد الخام'!$A$5:$A$104,0)),"حبة"))</f>
        <v/>
      </c>
      <c r="G943" s="30"/>
      <c r="H943" s="29"/>
      <c r="I943" s="29"/>
    </row>
    <row r="944" customFormat="false" ht="15" hidden="false" customHeight="false" outlineLevel="0" collapsed="false">
      <c r="A944" s="32"/>
      <c r="B944" s="29"/>
      <c r="C944" s="29"/>
      <c r="D944" s="28" t="str">
        <f aca="false">IF($C944="","",IFERROR(INDEX('المواد الخام'!$B$5:$B$104,MATCH($C944,'المواد الخام'!$A$5:$A$104,0)),IFERROR(INDEX(المنتجات!$C$5:$C$24,MATCH($C944,المنتجات!$A$5:$A$24,0)),"كود غير موجود")))</f>
        <v/>
      </c>
      <c r="E944" s="24"/>
      <c r="F944" s="28" t="str">
        <f aca="false">IF($C944="","",IFERROR(INDEX('المواد الخام'!$D$5:$D$104,MATCH($C944,'المواد الخام'!$A$5:$A$104,0)),"حبة"))</f>
        <v/>
      </c>
      <c r="G944" s="30"/>
      <c r="H944" s="29"/>
      <c r="I944" s="29"/>
    </row>
    <row r="945" customFormat="false" ht="15" hidden="false" customHeight="false" outlineLevel="0" collapsed="false">
      <c r="A945" s="32"/>
      <c r="B945" s="29"/>
      <c r="C945" s="29"/>
      <c r="D945" s="28" t="str">
        <f aca="false">IF($C945="","",IFERROR(INDEX('المواد الخام'!$B$5:$B$104,MATCH($C945,'المواد الخام'!$A$5:$A$104,0)),IFERROR(INDEX(المنتجات!$C$5:$C$24,MATCH($C945,المنتجات!$A$5:$A$24,0)),"كود غير موجود")))</f>
        <v/>
      </c>
      <c r="E945" s="24"/>
      <c r="F945" s="28" t="str">
        <f aca="false">IF($C945="","",IFERROR(INDEX('المواد الخام'!$D$5:$D$104,MATCH($C945,'المواد الخام'!$A$5:$A$104,0)),"حبة"))</f>
        <v/>
      </c>
      <c r="G945" s="30"/>
      <c r="H945" s="29"/>
      <c r="I945" s="29"/>
    </row>
    <row r="946" customFormat="false" ht="15" hidden="false" customHeight="false" outlineLevel="0" collapsed="false">
      <c r="A946" s="32"/>
      <c r="B946" s="29"/>
      <c r="C946" s="29"/>
      <c r="D946" s="28" t="str">
        <f aca="false">IF($C946="","",IFERROR(INDEX('المواد الخام'!$B$5:$B$104,MATCH($C946,'المواد الخام'!$A$5:$A$104,0)),IFERROR(INDEX(المنتجات!$C$5:$C$24,MATCH($C946,المنتجات!$A$5:$A$24,0)),"كود غير موجود")))</f>
        <v/>
      </c>
      <c r="E946" s="24"/>
      <c r="F946" s="28" t="str">
        <f aca="false">IF($C946="","",IFERROR(INDEX('المواد الخام'!$D$5:$D$104,MATCH($C946,'المواد الخام'!$A$5:$A$104,0)),"حبة"))</f>
        <v/>
      </c>
      <c r="G946" s="30"/>
      <c r="H946" s="29"/>
      <c r="I946" s="29"/>
    </row>
    <row r="947" customFormat="false" ht="15" hidden="false" customHeight="false" outlineLevel="0" collapsed="false">
      <c r="A947" s="32"/>
      <c r="B947" s="29"/>
      <c r="C947" s="29"/>
      <c r="D947" s="28" t="str">
        <f aca="false">IF($C947="","",IFERROR(INDEX('المواد الخام'!$B$5:$B$104,MATCH($C947,'المواد الخام'!$A$5:$A$104,0)),IFERROR(INDEX(المنتجات!$C$5:$C$24,MATCH($C947,المنتجات!$A$5:$A$24,0)),"كود غير موجود")))</f>
        <v/>
      </c>
      <c r="E947" s="24"/>
      <c r="F947" s="28" t="str">
        <f aca="false">IF($C947="","",IFERROR(INDEX('المواد الخام'!$D$5:$D$104,MATCH($C947,'المواد الخام'!$A$5:$A$104,0)),"حبة"))</f>
        <v/>
      </c>
      <c r="G947" s="30"/>
      <c r="H947" s="29"/>
      <c r="I947" s="29"/>
    </row>
    <row r="948" customFormat="false" ht="15" hidden="false" customHeight="false" outlineLevel="0" collapsed="false">
      <c r="A948" s="32"/>
      <c r="B948" s="29"/>
      <c r="C948" s="29"/>
      <c r="D948" s="28" t="str">
        <f aca="false">IF($C948="","",IFERROR(INDEX('المواد الخام'!$B$5:$B$104,MATCH($C948,'المواد الخام'!$A$5:$A$104,0)),IFERROR(INDEX(المنتجات!$C$5:$C$24,MATCH($C948,المنتجات!$A$5:$A$24,0)),"كود غير موجود")))</f>
        <v/>
      </c>
      <c r="E948" s="24"/>
      <c r="F948" s="28" t="str">
        <f aca="false">IF($C948="","",IFERROR(INDEX('المواد الخام'!$D$5:$D$104,MATCH($C948,'المواد الخام'!$A$5:$A$104,0)),"حبة"))</f>
        <v/>
      </c>
      <c r="G948" s="30"/>
      <c r="H948" s="29"/>
      <c r="I948" s="29"/>
    </row>
    <row r="949" customFormat="false" ht="15" hidden="false" customHeight="false" outlineLevel="0" collapsed="false">
      <c r="A949" s="32"/>
      <c r="B949" s="29"/>
      <c r="C949" s="29"/>
      <c r="D949" s="28" t="str">
        <f aca="false">IF($C949="","",IFERROR(INDEX('المواد الخام'!$B$5:$B$104,MATCH($C949,'المواد الخام'!$A$5:$A$104,0)),IFERROR(INDEX(المنتجات!$C$5:$C$24,MATCH($C949,المنتجات!$A$5:$A$24,0)),"كود غير موجود")))</f>
        <v/>
      </c>
      <c r="E949" s="24"/>
      <c r="F949" s="28" t="str">
        <f aca="false">IF($C949="","",IFERROR(INDEX('المواد الخام'!$D$5:$D$104,MATCH($C949,'المواد الخام'!$A$5:$A$104,0)),"حبة"))</f>
        <v/>
      </c>
      <c r="G949" s="30"/>
      <c r="H949" s="29"/>
      <c r="I949" s="29"/>
    </row>
    <row r="950" customFormat="false" ht="15" hidden="false" customHeight="false" outlineLevel="0" collapsed="false">
      <c r="A950" s="32"/>
      <c r="B950" s="29"/>
      <c r="C950" s="29"/>
      <c r="D950" s="28" t="str">
        <f aca="false">IF($C950="","",IFERROR(INDEX('المواد الخام'!$B$5:$B$104,MATCH($C950,'المواد الخام'!$A$5:$A$104,0)),IFERROR(INDEX(المنتجات!$C$5:$C$24,MATCH($C950,المنتجات!$A$5:$A$24,0)),"كود غير موجود")))</f>
        <v/>
      </c>
      <c r="E950" s="24"/>
      <c r="F950" s="28" t="str">
        <f aca="false">IF($C950="","",IFERROR(INDEX('المواد الخام'!$D$5:$D$104,MATCH($C950,'المواد الخام'!$A$5:$A$104,0)),"حبة"))</f>
        <v/>
      </c>
      <c r="G950" s="30"/>
      <c r="H950" s="29"/>
      <c r="I950" s="29"/>
    </row>
    <row r="951" customFormat="false" ht="15" hidden="false" customHeight="false" outlineLevel="0" collapsed="false">
      <c r="A951" s="32"/>
      <c r="B951" s="29"/>
      <c r="C951" s="29"/>
      <c r="D951" s="28" t="str">
        <f aca="false">IF($C951="","",IFERROR(INDEX('المواد الخام'!$B$5:$B$104,MATCH($C951,'المواد الخام'!$A$5:$A$104,0)),IFERROR(INDEX(المنتجات!$C$5:$C$24,MATCH($C951,المنتجات!$A$5:$A$24,0)),"كود غير موجود")))</f>
        <v/>
      </c>
      <c r="E951" s="24"/>
      <c r="F951" s="28" t="str">
        <f aca="false">IF($C951="","",IFERROR(INDEX('المواد الخام'!$D$5:$D$104,MATCH($C951,'المواد الخام'!$A$5:$A$104,0)),"حبة"))</f>
        <v/>
      </c>
      <c r="G951" s="30"/>
      <c r="H951" s="29"/>
      <c r="I951" s="29"/>
    </row>
    <row r="952" customFormat="false" ht="15" hidden="false" customHeight="false" outlineLevel="0" collapsed="false">
      <c r="A952" s="32"/>
      <c r="B952" s="29"/>
      <c r="C952" s="29"/>
      <c r="D952" s="28" t="str">
        <f aca="false">IF($C952="","",IFERROR(INDEX('المواد الخام'!$B$5:$B$104,MATCH($C952,'المواد الخام'!$A$5:$A$104,0)),IFERROR(INDEX(المنتجات!$C$5:$C$24,MATCH($C952,المنتجات!$A$5:$A$24,0)),"كود غير موجود")))</f>
        <v/>
      </c>
      <c r="E952" s="24"/>
      <c r="F952" s="28" t="str">
        <f aca="false">IF($C952="","",IFERROR(INDEX('المواد الخام'!$D$5:$D$104,MATCH($C952,'المواد الخام'!$A$5:$A$104,0)),"حبة"))</f>
        <v/>
      </c>
      <c r="G952" s="30"/>
      <c r="H952" s="29"/>
      <c r="I952" s="29"/>
    </row>
    <row r="953" customFormat="false" ht="15" hidden="false" customHeight="false" outlineLevel="0" collapsed="false">
      <c r="A953" s="32"/>
      <c r="B953" s="29"/>
      <c r="C953" s="29"/>
      <c r="D953" s="28" t="str">
        <f aca="false">IF($C953="","",IFERROR(INDEX('المواد الخام'!$B$5:$B$104,MATCH($C953,'المواد الخام'!$A$5:$A$104,0)),IFERROR(INDEX(المنتجات!$C$5:$C$24,MATCH($C953,المنتجات!$A$5:$A$24,0)),"كود غير موجود")))</f>
        <v/>
      </c>
      <c r="E953" s="24"/>
      <c r="F953" s="28" t="str">
        <f aca="false">IF($C953="","",IFERROR(INDEX('المواد الخام'!$D$5:$D$104,MATCH($C953,'المواد الخام'!$A$5:$A$104,0)),"حبة"))</f>
        <v/>
      </c>
      <c r="G953" s="30"/>
      <c r="H953" s="29"/>
      <c r="I953" s="29"/>
    </row>
    <row r="954" customFormat="false" ht="15" hidden="false" customHeight="false" outlineLevel="0" collapsed="false">
      <c r="A954" s="32"/>
      <c r="B954" s="29"/>
      <c r="C954" s="29"/>
      <c r="D954" s="28" t="str">
        <f aca="false">IF($C954="","",IFERROR(INDEX('المواد الخام'!$B$5:$B$104,MATCH($C954,'المواد الخام'!$A$5:$A$104,0)),IFERROR(INDEX(المنتجات!$C$5:$C$24,MATCH($C954,المنتجات!$A$5:$A$24,0)),"كود غير موجود")))</f>
        <v/>
      </c>
      <c r="E954" s="24"/>
      <c r="F954" s="28" t="str">
        <f aca="false">IF($C954="","",IFERROR(INDEX('المواد الخام'!$D$5:$D$104,MATCH($C954,'المواد الخام'!$A$5:$A$104,0)),"حبة"))</f>
        <v/>
      </c>
      <c r="G954" s="30"/>
      <c r="H954" s="29"/>
      <c r="I954" s="29"/>
    </row>
    <row r="955" customFormat="false" ht="15" hidden="false" customHeight="false" outlineLevel="0" collapsed="false">
      <c r="A955" s="32"/>
      <c r="B955" s="29"/>
      <c r="C955" s="29"/>
      <c r="D955" s="28" t="str">
        <f aca="false">IF($C955="","",IFERROR(INDEX('المواد الخام'!$B$5:$B$104,MATCH($C955,'المواد الخام'!$A$5:$A$104,0)),IFERROR(INDEX(المنتجات!$C$5:$C$24,MATCH($C955,المنتجات!$A$5:$A$24,0)),"كود غير موجود")))</f>
        <v/>
      </c>
      <c r="E955" s="24"/>
      <c r="F955" s="28" t="str">
        <f aca="false">IF($C955="","",IFERROR(INDEX('المواد الخام'!$D$5:$D$104,MATCH($C955,'المواد الخام'!$A$5:$A$104,0)),"حبة"))</f>
        <v/>
      </c>
      <c r="G955" s="30"/>
      <c r="H955" s="29"/>
      <c r="I955" s="29"/>
    </row>
    <row r="956" customFormat="false" ht="15" hidden="false" customHeight="false" outlineLevel="0" collapsed="false">
      <c r="A956" s="32"/>
      <c r="B956" s="29"/>
      <c r="C956" s="29"/>
      <c r="D956" s="28" t="str">
        <f aca="false">IF($C956="","",IFERROR(INDEX('المواد الخام'!$B$5:$B$104,MATCH($C956,'المواد الخام'!$A$5:$A$104,0)),IFERROR(INDEX(المنتجات!$C$5:$C$24,MATCH($C956,المنتجات!$A$5:$A$24,0)),"كود غير موجود")))</f>
        <v/>
      </c>
      <c r="E956" s="24"/>
      <c r="F956" s="28" t="str">
        <f aca="false">IF($C956="","",IFERROR(INDEX('المواد الخام'!$D$5:$D$104,MATCH($C956,'المواد الخام'!$A$5:$A$104,0)),"حبة"))</f>
        <v/>
      </c>
      <c r="G956" s="30"/>
      <c r="H956" s="29"/>
      <c r="I956" s="29"/>
    </row>
    <row r="957" customFormat="false" ht="15" hidden="false" customHeight="false" outlineLevel="0" collapsed="false">
      <c r="A957" s="32"/>
      <c r="B957" s="29"/>
      <c r="C957" s="29"/>
      <c r="D957" s="28" t="str">
        <f aca="false">IF($C957="","",IFERROR(INDEX('المواد الخام'!$B$5:$B$104,MATCH($C957,'المواد الخام'!$A$5:$A$104,0)),IFERROR(INDEX(المنتجات!$C$5:$C$24,MATCH($C957,المنتجات!$A$5:$A$24,0)),"كود غير موجود")))</f>
        <v/>
      </c>
      <c r="E957" s="24"/>
      <c r="F957" s="28" t="str">
        <f aca="false">IF($C957="","",IFERROR(INDEX('المواد الخام'!$D$5:$D$104,MATCH($C957,'المواد الخام'!$A$5:$A$104,0)),"حبة"))</f>
        <v/>
      </c>
      <c r="G957" s="30"/>
      <c r="H957" s="29"/>
      <c r="I957" s="29"/>
    </row>
    <row r="958" customFormat="false" ht="15" hidden="false" customHeight="false" outlineLevel="0" collapsed="false">
      <c r="A958" s="32"/>
      <c r="B958" s="29"/>
      <c r="C958" s="29"/>
      <c r="D958" s="28" t="str">
        <f aca="false">IF($C958="","",IFERROR(INDEX('المواد الخام'!$B$5:$B$104,MATCH($C958,'المواد الخام'!$A$5:$A$104,0)),IFERROR(INDEX(المنتجات!$C$5:$C$24,MATCH($C958,المنتجات!$A$5:$A$24,0)),"كود غير موجود")))</f>
        <v/>
      </c>
      <c r="E958" s="24"/>
      <c r="F958" s="28" t="str">
        <f aca="false">IF($C958="","",IFERROR(INDEX('المواد الخام'!$D$5:$D$104,MATCH($C958,'المواد الخام'!$A$5:$A$104,0)),"حبة"))</f>
        <v/>
      </c>
      <c r="G958" s="30"/>
      <c r="H958" s="29"/>
      <c r="I958" s="29"/>
    </row>
    <row r="959" customFormat="false" ht="15" hidden="false" customHeight="false" outlineLevel="0" collapsed="false">
      <c r="A959" s="32"/>
      <c r="B959" s="29"/>
      <c r="C959" s="29"/>
      <c r="D959" s="28" t="str">
        <f aca="false">IF($C959="","",IFERROR(INDEX('المواد الخام'!$B$5:$B$104,MATCH($C959,'المواد الخام'!$A$5:$A$104,0)),IFERROR(INDEX(المنتجات!$C$5:$C$24,MATCH($C959,المنتجات!$A$5:$A$24,0)),"كود غير موجود")))</f>
        <v/>
      </c>
      <c r="E959" s="24"/>
      <c r="F959" s="28" t="str">
        <f aca="false">IF($C959="","",IFERROR(INDEX('المواد الخام'!$D$5:$D$104,MATCH($C959,'المواد الخام'!$A$5:$A$104,0)),"حبة"))</f>
        <v/>
      </c>
      <c r="G959" s="30"/>
      <c r="H959" s="29"/>
      <c r="I959" s="29"/>
    </row>
    <row r="960" customFormat="false" ht="15" hidden="false" customHeight="false" outlineLevel="0" collapsed="false">
      <c r="A960" s="32"/>
      <c r="B960" s="29"/>
      <c r="C960" s="29"/>
      <c r="D960" s="28" t="str">
        <f aca="false">IF($C960="","",IFERROR(INDEX('المواد الخام'!$B$5:$B$104,MATCH($C960,'المواد الخام'!$A$5:$A$104,0)),IFERROR(INDEX(المنتجات!$C$5:$C$24,MATCH($C960,المنتجات!$A$5:$A$24,0)),"كود غير موجود")))</f>
        <v/>
      </c>
      <c r="E960" s="24"/>
      <c r="F960" s="28" t="str">
        <f aca="false">IF($C960="","",IFERROR(INDEX('المواد الخام'!$D$5:$D$104,MATCH($C960,'المواد الخام'!$A$5:$A$104,0)),"حبة"))</f>
        <v/>
      </c>
      <c r="G960" s="30"/>
      <c r="H960" s="29"/>
      <c r="I960" s="29"/>
    </row>
    <row r="961" customFormat="false" ht="15" hidden="false" customHeight="false" outlineLevel="0" collapsed="false">
      <c r="A961" s="32"/>
      <c r="B961" s="29"/>
      <c r="C961" s="29"/>
      <c r="D961" s="28" t="str">
        <f aca="false">IF($C961="","",IFERROR(INDEX('المواد الخام'!$B$5:$B$104,MATCH($C961,'المواد الخام'!$A$5:$A$104,0)),IFERROR(INDEX(المنتجات!$C$5:$C$24,MATCH($C961,المنتجات!$A$5:$A$24,0)),"كود غير موجود")))</f>
        <v/>
      </c>
      <c r="E961" s="24"/>
      <c r="F961" s="28" t="str">
        <f aca="false">IF($C961="","",IFERROR(INDEX('المواد الخام'!$D$5:$D$104,MATCH($C961,'المواد الخام'!$A$5:$A$104,0)),"حبة"))</f>
        <v/>
      </c>
      <c r="G961" s="30"/>
      <c r="H961" s="29"/>
      <c r="I961" s="29"/>
    </row>
    <row r="962" customFormat="false" ht="15" hidden="false" customHeight="false" outlineLevel="0" collapsed="false">
      <c r="A962" s="32"/>
      <c r="B962" s="29"/>
      <c r="C962" s="29"/>
      <c r="D962" s="28" t="str">
        <f aca="false">IF($C962="","",IFERROR(INDEX('المواد الخام'!$B$5:$B$104,MATCH($C962,'المواد الخام'!$A$5:$A$104,0)),IFERROR(INDEX(المنتجات!$C$5:$C$24,MATCH($C962,المنتجات!$A$5:$A$24,0)),"كود غير موجود")))</f>
        <v/>
      </c>
      <c r="E962" s="24"/>
      <c r="F962" s="28" t="str">
        <f aca="false">IF($C962="","",IFERROR(INDEX('المواد الخام'!$D$5:$D$104,MATCH($C962,'المواد الخام'!$A$5:$A$104,0)),"حبة"))</f>
        <v/>
      </c>
      <c r="G962" s="30"/>
      <c r="H962" s="29"/>
      <c r="I962" s="29"/>
    </row>
    <row r="963" customFormat="false" ht="15" hidden="false" customHeight="false" outlineLevel="0" collapsed="false">
      <c r="A963" s="32"/>
      <c r="B963" s="29"/>
      <c r="C963" s="29"/>
      <c r="D963" s="28" t="str">
        <f aca="false">IF($C963="","",IFERROR(INDEX('المواد الخام'!$B$5:$B$104,MATCH($C963,'المواد الخام'!$A$5:$A$104,0)),IFERROR(INDEX(المنتجات!$C$5:$C$24,MATCH($C963,المنتجات!$A$5:$A$24,0)),"كود غير موجود")))</f>
        <v/>
      </c>
      <c r="E963" s="24"/>
      <c r="F963" s="28" t="str">
        <f aca="false">IF($C963="","",IFERROR(INDEX('المواد الخام'!$D$5:$D$104,MATCH($C963,'المواد الخام'!$A$5:$A$104,0)),"حبة"))</f>
        <v/>
      </c>
      <c r="G963" s="30"/>
      <c r="H963" s="29"/>
      <c r="I963" s="29"/>
    </row>
    <row r="964" customFormat="false" ht="15" hidden="false" customHeight="false" outlineLevel="0" collapsed="false">
      <c r="A964" s="32"/>
      <c r="B964" s="29"/>
      <c r="C964" s="29"/>
      <c r="D964" s="28" t="str">
        <f aca="false">IF($C964="","",IFERROR(INDEX('المواد الخام'!$B$5:$B$104,MATCH($C964,'المواد الخام'!$A$5:$A$104,0)),IFERROR(INDEX(المنتجات!$C$5:$C$24,MATCH($C964,المنتجات!$A$5:$A$24,0)),"كود غير موجود")))</f>
        <v/>
      </c>
      <c r="E964" s="24"/>
      <c r="F964" s="28" t="str">
        <f aca="false">IF($C964="","",IFERROR(INDEX('المواد الخام'!$D$5:$D$104,MATCH($C964,'المواد الخام'!$A$5:$A$104,0)),"حبة"))</f>
        <v/>
      </c>
      <c r="G964" s="30"/>
      <c r="H964" s="29"/>
      <c r="I964" s="29"/>
    </row>
    <row r="965" customFormat="false" ht="15" hidden="false" customHeight="false" outlineLevel="0" collapsed="false">
      <c r="A965" s="32"/>
      <c r="B965" s="29"/>
      <c r="C965" s="29"/>
      <c r="D965" s="28" t="str">
        <f aca="false">IF($C965="","",IFERROR(INDEX('المواد الخام'!$B$5:$B$104,MATCH($C965,'المواد الخام'!$A$5:$A$104,0)),IFERROR(INDEX(المنتجات!$C$5:$C$24,MATCH($C965,المنتجات!$A$5:$A$24,0)),"كود غير موجود")))</f>
        <v/>
      </c>
      <c r="E965" s="24"/>
      <c r="F965" s="28" t="str">
        <f aca="false">IF($C965="","",IFERROR(INDEX('المواد الخام'!$D$5:$D$104,MATCH($C965,'المواد الخام'!$A$5:$A$104,0)),"حبة"))</f>
        <v/>
      </c>
      <c r="G965" s="30"/>
      <c r="H965" s="29"/>
      <c r="I965" s="29"/>
    </row>
    <row r="966" customFormat="false" ht="15" hidden="false" customHeight="false" outlineLevel="0" collapsed="false">
      <c r="A966" s="32"/>
      <c r="B966" s="29"/>
      <c r="C966" s="29"/>
      <c r="D966" s="28" t="str">
        <f aca="false">IF($C966="","",IFERROR(INDEX('المواد الخام'!$B$5:$B$104,MATCH($C966,'المواد الخام'!$A$5:$A$104,0)),IFERROR(INDEX(المنتجات!$C$5:$C$24,MATCH($C966,المنتجات!$A$5:$A$24,0)),"كود غير موجود")))</f>
        <v/>
      </c>
      <c r="E966" s="24"/>
      <c r="F966" s="28" t="str">
        <f aca="false">IF($C966="","",IFERROR(INDEX('المواد الخام'!$D$5:$D$104,MATCH($C966,'المواد الخام'!$A$5:$A$104,0)),"حبة"))</f>
        <v/>
      </c>
      <c r="G966" s="30"/>
      <c r="H966" s="29"/>
      <c r="I966" s="29"/>
    </row>
    <row r="967" customFormat="false" ht="15" hidden="false" customHeight="false" outlineLevel="0" collapsed="false">
      <c r="A967" s="32"/>
      <c r="B967" s="29"/>
      <c r="C967" s="29"/>
      <c r="D967" s="28" t="str">
        <f aca="false">IF($C967="","",IFERROR(INDEX('المواد الخام'!$B$5:$B$104,MATCH($C967,'المواد الخام'!$A$5:$A$104,0)),IFERROR(INDEX(المنتجات!$C$5:$C$24,MATCH($C967,المنتجات!$A$5:$A$24,0)),"كود غير موجود")))</f>
        <v/>
      </c>
      <c r="E967" s="24"/>
      <c r="F967" s="28" t="str">
        <f aca="false">IF($C967="","",IFERROR(INDEX('المواد الخام'!$D$5:$D$104,MATCH($C967,'المواد الخام'!$A$5:$A$104,0)),"حبة"))</f>
        <v/>
      </c>
      <c r="G967" s="30"/>
      <c r="H967" s="29"/>
      <c r="I967" s="29"/>
    </row>
    <row r="968" customFormat="false" ht="15" hidden="false" customHeight="false" outlineLevel="0" collapsed="false">
      <c r="A968" s="32"/>
      <c r="B968" s="29"/>
      <c r="C968" s="29"/>
      <c r="D968" s="28" t="str">
        <f aca="false">IF($C968="","",IFERROR(INDEX('المواد الخام'!$B$5:$B$104,MATCH($C968,'المواد الخام'!$A$5:$A$104,0)),IFERROR(INDEX(المنتجات!$C$5:$C$24,MATCH($C968,المنتجات!$A$5:$A$24,0)),"كود غير موجود")))</f>
        <v/>
      </c>
      <c r="E968" s="24"/>
      <c r="F968" s="28" t="str">
        <f aca="false">IF($C968="","",IFERROR(INDEX('المواد الخام'!$D$5:$D$104,MATCH($C968,'المواد الخام'!$A$5:$A$104,0)),"حبة"))</f>
        <v/>
      </c>
      <c r="G968" s="30"/>
      <c r="H968" s="29"/>
      <c r="I968" s="29"/>
    </row>
    <row r="969" customFormat="false" ht="15" hidden="false" customHeight="false" outlineLevel="0" collapsed="false">
      <c r="A969" s="32"/>
      <c r="B969" s="29"/>
      <c r="C969" s="29"/>
      <c r="D969" s="28" t="str">
        <f aca="false">IF($C969="","",IFERROR(INDEX('المواد الخام'!$B$5:$B$104,MATCH($C969,'المواد الخام'!$A$5:$A$104,0)),IFERROR(INDEX(المنتجات!$C$5:$C$24,MATCH($C969,المنتجات!$A$5:$A$24,0)),"كود غير موجود")))</f>
        <v/>
      </c>
      <c r="E969" s="24"/>
      <c r="F969" s="28" t="str">
        <f aca="false">IF($C969="","",IFERROR(INDEX('المواد الخام'!$D$5:$D$104,MATCH($C969,'المواد الخام'!$A$5:$A$104,0)),"حبة"))</f>
        <v/>
      </c>
      <c r="G969" s="30"/>
      <c r="H969" s="29"/>
      <c r="I969" s="29"/>
    </row>
    <row r="970" customFormat="false" ht="15" hidden="false" customHeight="false" outlineLevel="0" collapsed="false">
      <c r="A970" s="32"/>
      <c r="B970" s="29"/>
      <c r="C970" s="29"/>
      <c r="D970" s="28" t="str">
        <f aca="false">IF($C970="","",IFERROR(INDEX('المواد الخام'!$B$5:$B$104,MATCH($C970,'المواد الخام'!$A$5:$A$104,0)),IFERROR(INDEX(المنتجات!$C$5:$C$24,MATCH($C970,المنتجات!$A$5:$A$24,0)),"كود غير موجود")))</f>
        <v/>
      </c>
      <c r="E970" s="24"/>
      <c r="F970" s="28" t="str">
        <f aca="false">IF($C970="","",IFERROR(INDEX('المواد الخام'!$D$5:$D$104,MATCH($C970,'المواد الخام'!$A$5:$A$104,0)),"حبة"))</f>
        <v/>
      </c>
      <c r="G970" s="30"/>
      <c r="H970" s="29"/>
      <c r="I970" s="29"/>
    </row>
    <row r="971" customFormat="false" ht="15" hidden="false" customHeight="false" outlineLevel="0" collapsed="false">
      <c r="A971" s="32"/>
      <c r="B971" s="29"/>
      <c r="C971" s="29"/>
      <c r="D971" s="28" t="str">
        <f aca="false">IF($C971="","",IFERROR(INDEX('المواد الخام'!$B$5:$B$104,MATCH($C971,'المواد الخام'!$A$5:$A$104,0)),IFERROR(INDEX(المنتجات!$C$5:$C$24,MATCH($C971,المنتجات!$A$5:$A$24,0)),"كود غير موجود")))</f>
        <v/>
      </c>
      <c r="E971" s="24"/>
      <c r="F971" s="28" t="str">
        <f aca="false">IF($C971="","",IFERROR(INDEX('المواد الخام'!$D$5:$D$104,MATCH($C971,'المواد الخام'!$A$5:$A$104,0)),"حبة"))</f>
        <v/>
      </c>
      <c r="G971" s="30"/>
      <c r="H971" s="29"/>
      <c r="I971" s="29"/>
    </row>
    <row r="972" customFormat="false" ht="15" hidden="false" customHeight="false" outlineLevel="0" collapsed="false">
      <c r="A972" s="32"/>
      <c r="B972" s="29"/>
      <c r="C972" s="29"/>
      <c r="D972" s="28" t="str">
        <f aca="false">IF($C972="","",IFERROR(INDEX('المواد الخام'!$B$5:$B$104,MATCH($C972,'المواد الخام'!$A$5:$A$104,0)),IFERROR(INDEX(المنتجات!$C$5:$C$24,MATCH($C972,المنتجات!$A$5:$A$24,0)),"كود غير موجود")))</f>
        <v/>
      </c>
      <c r="E972" s="24"/>
      <c r="F972" s="28" t="str">
        <f aca="false">IF($C972="","",IFERROR(INDEX('المواد الخام'!$D$5:$D$104,MATCH($C972,'المواد الخام'!$A$5:$A$104,0)),"حبة"))</f>
        <v/>
      </c>
      <c r="G972" s="30"/>
      <c r="H972" s="29"/>
      <c r="I972" s="29"/>
    </row>
    <row r="973" customFormat="false" ht="15" hidden="false" customHeight="false" outlineLevel="0" collapsed="false">
      <c r="A973" s="32"/>
      <c r="B973" s="29"/>
      <c r="C973" s="29"/>
      <c r="D973" s="28" t="str">
        <f aca="false">IF($C973="","",IFERROR(INDEX('المواد الخام'!$B$5:$B$104,MATCH($C973,'المواد الخام'!$A$5:$A$104,0)),IFERROR(INDEX(المنتجات!$C$5:$C$24,MATCH($C973,المنتجات!$A$5:$A$24,0)),"كود غير موجود")))</f>
        <v/>
      </c>
      <c r="E973" s="24"/>
      <c r="F973" s="28" t="str">
        <f aca="false">IF($C973="","",IFERROR(INDEX('المواد الخام'!$D$5:$D$104,MATCH($C973,'المواد الخام'!$A$5:$A$104,0)),"حبة"))</f>
        <v/>
      </c>
      <c r="G973" s="30"/>
      <c r="H973" s="29"/>
      <c r="I973" s="29"/>
    </row>
    <row r="974" customFormat="false" ht="15" hidden="false" customHeight="false" outlineLevel="0" collapsed="false">
      <c r="A974" s="32"/>
      <c r="B974" s="29"/>
      <c r="C974" s="29"/>
      <c r="D974" s="28" t="str">
        <f aca="false">IF($C974="","",IFERROR(INDEX('المواد الخام'!$B$5:$B$104,MATCH($C974,'المواد الخام'!$A$5:$A$104,0)),IFERROR(INDEX(المنتجات!$C$5:$C$24,MATCH($C974,المنتجات!$A$5:$A$24,0)),"كود غير موجود")))</f>
        <v/>
      </c>
      <c r="E974" s="24"/>
      <c r="F974" s="28" t="str">
        <f aca="false">IF($C974="","",IFERROR(INDEX('المواد الخام'!$D$5:$D$104,MATCH($C974,'المواد الخام'!$A$5:$A$104,0)),"حبة"))</f>
        <v/>
      </c>
      <c r="G974" s="30"/>
      <c r="H974" s="29"/>
      <c r="I974" s="29"/>
    </row>
    <row r="975" customFormat="false" ht="15" hidden="false" customHeight="false" outlineLevel="0" collapsed="false">
      <c r="A975" s="32"/>
      <c r="B975" s="29"/>
      <c r="C975" s="29"/>
      <c r="D975" s="28" t="str">
        <f aca="false">IF($C975="","",IFERROR(INDEX('المواد الخام'!$B$5:$B$104,MATCH($C975,'المواد الخام'!$A$5:$A$104,0)),IFERROR(INDEX(المنتجات!$C$5:$C$24,MATCH($C975,المنتجات!$A$5:$A$24,0)),"كود غير موجود")))</f>
        <v/>
      </c>
      <c r="E975" s="24"/>
      <c r="F975" s="28" t="str">
        <f aca="false">IF($C975="","",IFERROR(INDEX('المواد الخام'!$D$5:$D$104,MATCH($C975,'المواد الخام'!$A$5:$A$104,0)),"حبة"))</f>
        <v/>
      </c>
      <c r="G975" s="30"/>
      <c r="H975" s="29"/>
      <c r="I975" s="29"/>
    </row>
    <row r="976" customFormat="false" ht="15" hidden="false" customHeight="false" outlineLevel="0" collapsed="false">
      <c r="A976" s="32"/>
      <c r="B976" s="29"/>
      <c r="C976" s="29"/>
      <c r="D976" s="28" t="str">
        <f aca="false">IF($C976="","",IFERROR(INDEX('المواد الخام'!$B$5:$B$104,MATCH($C976,'المواد الخام'!$A$5:$A$104,0)),IFERROR(INDEX(المنتجات!$C$5:$C$24,MATCH($C976,المنتجات!$A$5:$A$24,0)),"كود غير موجود")))</f>
        <v/>
      </c>
      <c r="E976" s="24"/>
      <c r="F976" s="28" t="str">
        <f aca="false">IF($C976="","",IFERROR(INDEX('المواد الخام'!$D$5:$D$104,MATCH($C976,'المواد الخام'!$A$5:$A$104,0)),"حبة"))</f>
        <v/>
      </c>
      <c r="G976" s="30"/>
      <c r="H976" s="29"/>
      <c r="I976" s="29"/>
    </row>
    <row r="977" customFormat="false" ht="15" hidden="false" customHeight="false" outlineLevel="0" collapsed="false">
      <c r="A977" s="32"/>
      <c r="B977" s="29"/>
      <c r="C977" s="29"/>
      <c r="D977" s="28" t="str">
        <f aca="false">IF($C977="","",IFERROR(INDEX('المواد الخام'!$B$5:$B$104,MATCH($C977,'المواد الخام'!$A$5:$A$104,0)),IFERROR(INDEX(المنتجات!$C$5:$C$24,MATCH($C977,المنتجات!$A$5:$A$24,0)),"كود غير موجود")))</f>
        <v/>
      </c>
      <c r="E977" s="24"/>
      <c r="F977" s="28" t="str">
        <f aca="false">IF($C977="","",IFERROR(INDEX('المواد الخام'!$D$5:$D$104,MATCH($C977,'المواد الخام'!$A$5:$A$104,0)),"حبة"))</f>
        <v/>
      </c>
      <c r="G977" s="30"/>
      <c r="H977" s="29"/>
      <c r="I977" s="29"/>
    </row>
    <row r="978" customFormat="false" ht="15" hidden="false" customHeight="false" outlineLevel="0" collapsed="false">
      <c r="A978" s="32"/>
      <c r="B978" s="29"/>
      <c r="C978" s="29"/>
      <c r="D978" s="28" t="str">
        <f aca="false">IF($C978="","",IFERROR(INDEX('المواد الخام'!$B$5:$B$104,MATCH($C978,'المواد الخام'!$A$5:$A$104,0)),IFERROR(INDEX(المنتجات!$C$5:$C$24,MATCH($C978,المنتجات!$A$5:$A$24,0)),"كود غير موجود")))</f>
        <v/>
      </c>
      <c r="E978" s="24"/>
      <c r="F978" s="28" t="str">
        <f aca="false">IF($C978="","",IFERROR(INDEX('المواد الخام'!$D$5:$D$104,MATCH($C978,'المواد الخام'!$A$5:$A$104,0)),"حبة"))</f>
        <v/>
      </c>
      <c r="G978" s="30"/>
      <c r="H978" s="29"/>
      <c r="I978" s="29"/>
    </row>
    <row r="979" customFormat="false" ht="15" hidden="false" customHeight="false" outlineLevel="0" collapsed="false">
      <c r="A979" s="32"/>
      <c r="B979" s="29"/>
      <c r="C979" s="29"/>
      <c r="D979" s="28" t="str">
        <f aca="false">IF($C979="","",IFERROR(INDEX('المواد الخام'!$B$5:$B$104,MATCH($C979,'المواد الخام'!$A$5:$A$104,0)),IFERROR(INDEX(المنتجات!$C$5:$C$24,MATCH($C979,المنتجات!$A$5:$A$24,0)),"كود غير موجود")))</f>
        <v/>
      </c>
      <c r="E979" s="24"/>
      <c r="F979" s="28" t="str">
        <f aca="false">IF($C979="","",IFERROR(INDEX('المواد الخام'!$D$5:$D$104,MATCH($C979,'المواد الخام'!$A$5:$A$104,0)),"حبة"))</f>
        <v/>
      </c>
      <c r="G979" s="30"/>
      <c r="H979" s="29"/>
      <c r="I979" s="29"/>
    </row>
    <row r="980" customFormat="false" ht="15" hidden="false" customHeight="false" outlineLevel="0" collapsed="false">
      <c r="A980" s="32"/>
      <c r="B980" s="29"/>
      <c r="C980" s="29"/>
      <c r="D980" s="28" t="str">
        <f aca="false">IF($C980="","",IFERROR(INDEX('المواد الخام'!$B$5:$B$104,MATCH($C980,'المواد الخام'!$A$5:$A$104,0)),IFERROR(INDEX(المنتجات!$C$5:$C$24,MATCH($C980,المنتجات!$A$5:$A$24,0)),"كود غير موجود")))</f>
        <v/>
      </c>
      <c r="E980" s="24"/>
      <c r="F980" s="28" t="str">
        <f aca="false">IF($C980="","",IFERROR(INDEX('المواد الخام'!$D$5:$D$104,MATCH($C980,'المواد الخام'!$A$5:$A$104,0)),"حبة"))</f>
        <v/>
      </c>
      <c r="G980" s="30"/>
      <c r="H980" s="29"/>
      <c r="I980" s="29"/>
    </row>
    <row r="981" customFormat="false" ht="15" hidden="false" customHeight="false" outlineLevel="0" collapsed="false">
      <c r="A981" s="32"/>
      <c r="B981" s="29"/>
      <c r="C981" s="29"/>
      <c r="D981" s="28" t="str">
        <f aca="false">IF($C981="","",IFERROR(INDEX('المواد الخام'!$B$5:$B$104,MATCH($C981,'المواد الخام'!$A$5:$A$104,0)),IFERROR(INDEX(المنتجات!$C$5:$C$24,MATCH($C981,المنتجات!$A$5:$A$24,0)),"كود غير موجود")))</f>
        <v/>
      </c>
      <c r="E981" s="24"/>
      <c r="F981" s="28" t="str">
        <f aca="false">IF($C981="","",IFERROR(INDEX('المواد الخام'!$D$5:$D$104,MATCH($C981,'المواد الخام'!$A$5:$A$104,0)),"حبة"))</f>
        <v/>
      </c>
      <c r="G981" s="30"/>
      <c r="H981" s="29"/>
      <c r="I981" s="29"/>
    </row>
    <row r="982" customFormat="false" ht="15" hidden="false" customHeight="false" outlineLevel="0" collapsed="false">
      <c r="A982" s="32"/>
      <c r="B982" s="29"/>
      <c r="C982" s="29"/>
      <c r="D982" s="28" t="str">
        <f aca="false">IF($C982="","",IFERROR(INDEX('المواد الخام'!$B$5:$B$104,MATCH($C982,'المواد الخام'!$A$5:$A$104,0)),IFERROR(INDEX(المنتجات!$C$5:$C$24,MATCH($C982,المنتجات!$A$5:$A$24,0)),"كود غير موجود")))</f>
        <v/>
      </c>
      <c r="E982" s="24"/>
      <c r="F982" s="28" t="str">
        <f aca="false">IF($C982="","",IFERROR(INDEX('المواد الخام'!$D$5:$D$104,MATCH($C982,'المواد الخام'!$A$5:$A$104,0)),"حبة"))</f>
        <v/>
      </c>
      <c r="G982" s="30"/>
      <c r="H982" s="29"/>
      <c r="I982" s="29"/>
    </row>
    <row r="983" customFormat="false" ht="15" hidden="false" customHeight="false" outlineLevel="0" collapsed="false">
      <c r="A983" s="32"/>
      <c r="B983" s="29"/>
      <c r="C983" s="29"/>
      <c r="D983" s="28" t="str">
        <f aca="false">IF($C983="","",IFERROR(INDEX('المواد الخام'!$B$5:$B$104,MATCH($C983,'المواد الخام'!$A$5:$A$104,0)),IFERROR(INDEX(المنتجات!$C$5:$C$24,MATCH($C983,المنتجات!$A$5:$A$24,0)),"كود غير موجود")))</f>
        <v/>
      </c>
      <c r="E983" s="24"/>
      <c r="F983" s="28" t="str">
        <f aca="false">IF($C983="","",IFERROR(INDEX('المواد الخام'!$D$5:$D$104,MATCH($C983,'المواد الخام'!$A$5:$A$104,0)),"حبة"))</f>
        <v/>
      </c>
      <c r="G983" s="30"/>
      <c r="H983" s="29"/>
      <c r="I983" s="29"/>
    </row>
    <row r="984" customFormat="false" ht="15" hidden="false" customHeight="false" outlineLevel="0" collapsed="false">
      <c r="A984" s="32"/>
      <c r="B984" s="29"/>
      <c r="C984" s="29"/>
      <c r="D984" s="28" t="str">
        <f aca="false">IF($C984="","",IFERROR(INDEX('المواد الخام'!$B$5:$B$104,MATCH($C984,'المواد الخام'!$A$5:$A$104,0)),IFERROR(INDEX(المنتجات!$C$5:$C$24,MATCH($C984,المنتجات!$A$5:$A$24,0)),"كود غير موجود")))</f>
        <v/>
      </c>
      <c r="E984" s="24"/>
      <c r="F984" s="28" t="str">
        <f aca="false">IF($C984="","",IFERROR(INDEX('المواد الخام'!$D$5:$D$104,MATCH($C984,'المواد الخام'!$A$5:$A$104,0)),"حبة"))</f>
        <v/>
      </c>
      <c r="G984" s="30"/>
      <c r="H984" s="29"/>
      <c r="I984" s="29"/>
    </row>
    <row r="985" customFormat="false" ht="15" hidden="false" customHeight="false" outlineLevel="0" collapsed="false">
      <c r="A985" s="32"/>
      <c r="B985" s="29"/>
      <c r="C985" s="29"/>
      <c r="D985" s="28" t="str">
        <f aca="false">IF($C985="","",IFERROR(INDEX('المواد الخام'!$B$5:$B$104,MATCH($C985,'المواد الخام'!$A$5:$A$104,0)),IFERROR(INDEX(المنتجات!$C$5:$C$24,MATCH($C985,المنتجات!$A$5:$A$24,0)),"كود غير موجود")))</f>
        <v/>
      </c>
      <c r="E985" s="24"/>
      <c r="F985" s="28" t="str">
        <f aca="false">IF($C985="","",IFERROR(INDEX('المواد الخام'!$D$5:$D$104,MATCH($C985,'المواد الخام'!$A$5:$A$104,0)),"حبة"))</f>
        <v/>
      </c>
      <c r="G985" s="30"/>
      <c r="H985" s="29"/>
      <c r="I985" s="29"/>
    </row>
    <row r="986" customFormat="false" ht="15" hidden="false" customHeight="false" outlineLevel="0" collapsed="false">
      <c r="A986" s="32"/>
      <c r="B986" s="29"/>
      <c r="C986" s="29"/>
      <c r="D986" s="28" t="str">
        <f aca="false">IF($C986="","",IFERROR(INDEX('المواد الخام'!$B$5:$B$104,MATCH($C986,'المواد الخام'!$A$5:$A$104,0)),IFERROR(INDEX(المنتجات!$C$5:$C$24,MATCH($C986,المنتجات!$A$5:$A$24,0)),"كود غير موجود")))</f>
        <v/>
      </c>
      <c r="E986" s="24"/>
      <c r="F986" s="28" t="str">
        <f aca="false">IF($C986="","",IFERROR(INDEX('المواد الخام'!$D$5:$D$104,MATCH($C986,'المواد الخام'!$A$5:$A$104,0)),"حبة"))</f>
        <v/>
      </c>
      <c r="G986" s="30"/>
      <c r="H986" s="29"/>
      <c r="I986" s="29"/>
    </row>
    <row r="987" customFormat="false" ht="15" hidden="false" customHeight="false" outlineLevel="0" collapsed="false">
      <c r="A987" s="32"/>
      <c r="B987" s="29"/>
      <c r="C987" s="29"/>
      <c r="D987" s="28" t="str">
        <f aca="false">IF($C987="","",IFERROR(INDEX('المواد الخام'!$B$5:$B$104,MATCH($C987,'المواد الخام'!$A$5:$A$104,0)),IFERROR(INDEX(المنتجات!$C$5:$C$24,MATCH($C987,المنتجات!$A$5:$A$24,0)),"كود غير موجود")))</f>
        <v/>
      </c>
      <c r="E987" s="24"/>
      <c r="F987" s="28" t="str">
        <f aca="false">IF($C987="","",IFERROR(INDEX('المواد الخام'!$D$5:$D$104,MATCH($C987,'المواد الخام'!$A$5:$A$104,0)),"حبة"))</f>
        <v/>
      </c>
      <c r="G987" s="30"/>
      <c r="H987" s="29"/>
      <c r="I987" s="29"/>
    </row>
    <row r="988" customFormat="false" ht="15" hidden="false" customHeight="false" outlineLevel="0" collapsed="false">
      <c r="A988" s="32"/>
      <c r="B988" s="29"/>
      <c r="C988" s="29"/>
      <c r="D988" s="28" t="str">
        <f aca="false">IF($C988="","",IFERROR(INDEX('المواد الخام'!$B$5:$B$104,MATCH($C988,'المواد الخام'!$A$5:$A$104,0)),IFERROR(INDEX(المنتجات!$C$5:$C$24,MATCH($C988,المنتجات!$A$5:$A$24,0)),"كود غير موجود")))</f>
        <v/>
      </c>
      <c r="E988" s="24"/>
      <c r="F988" s="28" t="str">
        <f aca="false">IF($C988="","",IFERROR(INDEX('المواد الخام'!$D$5:$D$104,MATCH($C988,'المواد الخام'!$A$5:$A$104,0)),"حبة"))</f>
        <v/>
      </c>
      <c r="G988" s="30"/>
      <c r="H988" s="29"/>
      <c r="I988" s="29"/>
    </row>
    <row r="989" customFormat="false" ht="15" hidden="false" customHeight="false" outlineLevel="0" collapsed="false">
      <c r="A989" s="32"/>
      <c r="B989" s="29"/>
      <c r="C989" s="29"/>
      <c r="D989" s="28" t="str">
        <f aca="false">IF($C989="","",IFERROR(INDEX('المواد الخام'!$B$5:$B$104,MATCH($C989,'المواد الخام'!$A$5:$A$104,0)),IFERROR(INDEX(المنتجات!$C$5:$C$24,MATCH($C989,المنتجات!$A$5:$A$24,0)),"كود غير موجود")))</f>
        <v/>
      </c>
      <c r="E989" s="24"/>
      <c r="F989" s="28" t="str">
        <f aca="false">IF($C989="","",IFERROR(INDEX('المواد الخام'!$D$5:$D$104,MATCH($C989,'المواد الخام'!$A$5:$A$104,0)),"حبة"))</f>
        <v/>
      </c>
      <c r="G989" s="30"/>
      <c r="H989" s="29"/>
      <c r="I989" s="29"/>
    </row>
    <row r="990" customFormat="false" ht="15" hidden="false" customHeight="false" outlineLevel="0" collapsed="false">
      <c r="A990" s="32"/>
      <c r="B990" s="29"/>
      <c r="C990" s="29"/>
      <c r="D990" s="28" t="str">
        <f aca="false">IF($C990="","",IFERROR(INDEX('المواد الخام'!$B$5:$B$104,MATCH($C990,'المواد الخام'!$A$5:$A$104,0)),IFERROR(INDEX(المنتجات!$C$5:$C$24,MATCH($C990,المنتجات!$A$5:$A$24,0)),"كود غير موجود")))</f>
        <v/>
      </c>
      <c r="E990" s="24"/>
      <c r="F990" s="28" t="str">
        <f aca="false">IF($C990="","",IFERROR(INDEX('المواد الخام'!$D$5:$D$104,MATCH($C990,'المواد الخام'!$A$5:$A$104,0)),"حبة"))</f>
        <v/>
      </c>
      <c r="G990" s="30"/>
      <c r="H990" s="29"/>
      <c r="I990" s="29"/>
    </row>
    <row r="991" customFormat="false" ht="15" hidden="false" customHeight="false" outlineLevel="0" collapsed="false">
      <c r="A991" s="32"/>
      <c r="B991" s="29"/>
      <c r="C991" s="29"/>
      <c r="D991" s="28" t="str">
        <f aca="false">IF($C991="","",IFERROR(INDEX('المواد الخام'!$B$5:$B$104,MATCH($C991,'المواد الخام'!$A$5:$A$104,0)),IFERROR(INDEX(المنتجات!$C$5:$C$24,MATCH($C991,المنتجات!$A$5:$A$24,0)),"كود غير موجود")))</f>
        <v/>
      </c>
      <c r="E991" s="24"/>
      <c r="F991" s="28" t="str">
        <f aca="false">IF($C991="","",IFERROR(INDEX('المواد الخام'!$D$5:$D$104,MATCH($C991,'المواد الخام'!$A$5:$A$104,0)),"حبة"))</f>
        <v/>
      </c>
      <c r="G991" s="30"/>
      <c r="H991" s="29"/>
      <c r="I991" s="29"/>
    </row>
    <row r="992" customFormat="false" ht="15" hidden="false" customHeight="false" outlineLevel="0" collapsed="false">
      <c r="A992" s="32"/>
      <c r="B992" s="29"/>
      <c r="C992" s="29"/>
      <c r="D992" s="28" t="str">
        <f aca="false">IF($C992="","",IFERROR(INDEX('المواد الخام'!$B$5:$B$104,MATCH($C992,'المواد الخام'!$A$5:$A$104,0)),IFERROR(INDEX(المنتجات!$C$5:$C$24,MATCH($C992,المنتجات!$A$5:$A$24,0)),"كود غير موجود")))</f>
        <v/>
      </c>
      <c r="E992" s="24"/>
      <c r="F992" s="28" t="str">
        <f aca="false">IF($C992="","",IFERROR(INDEX('المواد الخام'!$D$5:$D$104,MATCH($C992,'المواد الخام'!$A$5:$A$104,0)),"حبة"))</f>
        <v/>
      </c>
      <c r="G992" s="30"/>
      <c r="H992" s="29"/>
      <c r="I992" s="29"/>
    </row>
    <row r="993" customFormat="false" ht="15" hidden="false" customHeight="false" outlineLevel="0" collapsed="false">
      <c r="A993" s="32"/>
      <c r="B993" s="29"/>
      <c r="C993" s="29"/>
      <c r="D993" s="28" t="str">
        <f aca="false">IF($C993="","",IFERROR(INDEX('المواد الخام'!$B$5:$B$104,MATCH($C993,'المواد الخام'!$A$5:$A$104,0)),IFERROR(INDEX(المنتجات!$C$5:$C$24,MATCH($C993,المنتجات!$A$5:$A$24,0)),"كود غير موجود")))</f>
        <v/>
      </c>
      <c r="E993" s="24"/>
      <c r="F993" s="28" t="str">
        <f aca="false">IF($C993="","",IFERROR(INDEX('المواد الخام'!$D$5:$D$104,MATCH($C993,'المواد الخام'!$A$5:$A$104,0)),"حبة"))</f>
        <v/>
      </c>
      <c r="G993" s="30"/>
      <c r="H993" s="29"/>
      <c r="I993" s="29"/>
    </row>
    <row r="994" customFormat="false" ht="15" hidden="false" customHeight="false" outlineLevel="0" collapsed="false">
      <c r="A994" s="32"/>
      <c r="B994" s="29"/>
      <c r="C994" s="29"/>
      <c r="D994" s="28" t="str">
        <f aca="false">IF($C994="","",IFERROR(INDEX('المواد الخام'!$B$5:$B$104,MATCH($C994,'المواد الخام'!$A$5:$A$104,0)),IFERROR(INDEX(المنتجات!$C$5:$C$24,MATCH($C994,المنتجات!$A$5:$A$24,0)),"كود غير موجود")))</f>
        <v/>
      </c>
      <c r="E994" s="24"/>
      <c r="F994" s="28" t="str">
        <f aca="false">IF($C994="","",IFERROR(INDEX('المواد الخام'!$D$5:$D$104,MATCH($C994,'المواد الخام'!$A$5:$A$104,0)),"حبة"))</f>
        <v/>
      </c>
      <c r="G994" s="30"/>
      <c r="H994" s="29"/>
      <c r="I994" s="29"/>
    </row>
    <row r="995" customFormat="false" ht="15" hidden="false" customHeight="false" outlineLevel="0" collapsed="false">
      <c r="A995" s="32"/>
      <c r="B995" s="29"/>
      <c r="C995" s="29"/>
      <c r="D995" s="28" t="str">
        <f aca="false">IF($C995="","",IFERROR(INDEX('المواد الخام'!$B$5:$B$104,MATCH($C995,'المواد الخام'!$A$5:$A$104,0)),IFERROR(INDEX(المنتجات!$C$5:$C$24,MATCH($C995,المنتجات!$A$5:$A$24,0)),"كود غير موجود")))</f>
        <v/>
      </c>
      <c r="E995" s="24"/>
      <c r="F995" s="28" t="str">
        <f aca="false">IF($C995="","",IFERROR(INDEX('المواد الخام'!$D$5:$D$104,MATCH($C995,'المواد الخام'!$A$5:$A$104,0)),"حبة"))</f>
        <v/>
      </c>
      <c r="G995" s="30"/>
      <c r="H995" s="29"/>
      <c r="I995" s="29"/>
    </row>
    <row r="996" customFormat="false" ht="15" hidden="false" customHeight="false" outlineLevel="0" collapsed="false">
      <c r="A996" s="32"/>
      <c r="B996" s="29"/>
      <c r="C996" s="29"/>
      <c r="D996" s="28" t="str">
        <f aca="false">IF($C996="","",IFERROR(INDEX('المواد الخام'!$B$5:$B$104,MATCH($C996,'المواد الخام'!$A$5:$A$104,0)),IFERROR(INDEX(المنتجات!$C$5:$C$24,MATCH($C996,المنتجات!$A$5:$A$24,0)),"كود غير موجود")))</f>
        <v/>
      </c>
      <c r="E996" s="24"/>
      <c r="F996" s="28" t="str">
        <f aca="false">IF($C996="","",IFERROR(INDEX('المواد الخام'!$D$5:$D$104,MATCH($C996,'المواد الخام'!$A$5:$A$104,0)),"حبة"))</f>
        <v/>
      </c>
      <c r="G996" s="30"/>
      <c r="H996" s="29"/>
      <c r="I996" s="29"/>
    </row>
    <row r="997" customFormat="false" ht="15" hidden="false" customHeight="false" outlineLevel="0" collapsed="false">
      <c r="A997" s="32"/>
      <c r="B997" s="29"/>
      <c r="C997" s="29"/>
      <c r="D997" s="28" t="str">
        <f aca="false">IF($C997="","",IFERROR(INDEX('المواد الخام'!$B$5:$B$104,MATCH($C997,'المواد الخام'!$A$5:$A$104,0)),IFERROR(INDEX(المنتجات!$C$5:$C$24,MATCH($C997,المنتجات!$A$5:$A$24,0)),"كود غير موجود")))</f>
        <v/>
      </c>
      <c r="E997" s="24"/>
      <c r="F997" s="28" t="str">
        <f aca="false">IF($C997="","",IFERROR(INDEX('المواد الخام'!$D$5:$D$104,MATCH($C997,'المواد الخام'!$A$5:$A$104,0)),"حبة"))</f>
        <v/>
      </c>
      <c r="G997" s="30"/>
      <c r="H997" s="29"/>
      <c r="I997" s="29"/>
    </row>
    <row r="998" customFormat="false" ht="15" hidden="false" customHeight="false" outlineLevel="0" collapsed="false">
      <c r="A998" s="32"/>
      <c r="B998" s="29"/>
      <c r="C998" s="29"/>
      <c r="D998" s="28" t="str">
        <f aca="false">IF($C998="","",IFERROR(INDEX('المواد الخام'!$B$5:$B$104,MATCH($C998,'المواد الخام'!$A$5:$A$104,0)),IFERROR(INDEX(المنتجات!$C$5:$C$24,MATCH($C998,المنتجات!$A$5:$A$24,0)),"كود غير موجود")))</f>
        <v/>
      </c>
      <c r="E998" s="24"/>
      <c r="F998" s="28" t="str">
        <f aca="false">IF($C998="","",IFERROR(INDEX('المواد الخام'!$D$5:$D$104,MATCH($C998,'المواد الخام'!$A$5:$A$104,0)),"حبة"))</f>
        <v/>
      </c>
      <c r="G998" s="30"/>
      <c r="H998" s="29"/>
      <c r="I998" s="29"/>
    </row>
    <row r="999" customFormat="false" ht="15" hidden="false" customHeight="false" outlineLevel="0" collapsed="false">
      <c r="A999" s="32"/>
      <c r="B999" s="29"/>
      <c r="C999" s="29"/>
      <c r="D999" s="28" t="str">
        <f aca="false">IF($C999="","",IFERROR(INDEX('المواد الخام'!$B$5:$B$104,MATCH($C999,'المواد الخام'!$A$5:$A$104,0)),IFERROR(INDEX(المنتجات!$C$5:$C$24,MATCH($C999,المنتجات!$A$5:$A$24,0)),"كود غير موجود")))</f>
        <v/>
      </c>
      <c r="E999" s="24"/>
      <c r="F999" s="28" t="str">
        <f aca="false">IF($C999="","",IFERROR(INDEX('المواد الخام'!$D$5:$D$104,MATCH($C999,'المواد الخام'!$A$5:$A$104,0)),"حبة"))</f>
        <v/>
      </c>
      <c r="G999" s="30"/>
      <c r="H999" s="29"/>
      <c r="I999" s="29"/>
    </row>
    <row r="1000" customFormat="false" ht="15" hidden="false" customHeight="false" outlineLevel="0" collapsed="false">
      <c r="A1000" s="32"/>
      <c r="B1000" s="29"/>
      <c r="C1000" s="29"/>
      <c r="D1000" s="28" t="str">
        <f aca="false">IF($C1000="","",IFERROR(INDEX('المواد الخام'!$B$5:$B$104,MATCH($C1000,'المواد الخام'!$A$5:$A$104,0)),IFERROR(INDEX(المنتجات!$C$5:$C$24,MATCH($C1000,المنتجات!$A$5:$A$24,0)),"كود غير موجود")))</f>
        <v/>
      </c>
      <c r="E1000" s="24"/>
      <c r="F1000" s="28" t="str">
        <f aca="false">IF($C1000="","",IFERROR(INDEX('المواد الخام'!$D$5:$D$104,MATCH($C1000,'المواد الخام'!$A$5:$A$104,0)),"حبة"))</f>
        <v/>
      </c>
      <c r="G1000" s="30"/>
      <c r="H1000" s="29"/>
      <c r="I1000" s="29"/>
    </row>
    <row r="1001" customFormat="false" ht="15" hidden="false" customHeight="false" outlineLevel="0" collapsed="false">
      <c r="A1001" s="32"/>
      <c r="B1001" s="29"/>
      <c r="C1001" s="29"/>
      <c r="D1001" s="28" t="str">
        <f aca="false">IF($C1001="","",IFERROR(INDEX('المواد الخام'!$B$5:$B$104,MATCH($C1001,'المواد الخام'!$A$5:$A$104,0)),IFERROR(INDEX(المنتجات!$C$5:$C$24,MATCH($C1001,المنتجات!$A$5:$A$24,0)),"كود غير موجود")))</f>
        <v/>
      </c>
      <c r="E1001" s="24"/>
      <c r="F1001" s="28" t="str">
        <f aca="false">IF($C1001="","",IFERROR(INDEX('المواد الخام'!$D$5:$D$104,MATCH($C1001,'المواد الخام'!$A$5:$A$104,0)),"حبة"))</f>
        <v/>
      </c>
      <c r="G1001" s="30"/>
      <c r="H1001" s="29"/>
      <c r="I1001" s="29"/>
    </row>
    <row r="1002" customFormat="false" ht="15" hidden="false" customHeight="false" outlineLevel="0" collapsed="false">
      <c r="A1002" s="32"/>
      <c r="B1002" s="29"/>
      <c r="C1002" s="29"/>
      <c r="D1002" s="28" t="str">
        <f aca="false">IF($C1002="","",IFERROR(INDEX('المواد الخام'!$B$5:$B$104,MATCH($C1002,'المواد الخام'!$A$5:$A$104,0)),IFERROR(INDEX(المنتجات!$C$5:$C$24,MATCH($C1002,المنتجات!$A$5:$A$24,0)),"كود غير موجود")))</f>
        <v/>
      </c>
      <c r="E1002" s="24"/>
      <c r="F1002" s="28" t="str">
        <f aca="false">IF($C1002="","",IFERROR(INDEX('المواد الخام'!$D$5:$D$104,MATCH($C1002,'المواد الخام'!$A$5:$A$104,0)),"حبة"))</f>
        <v/>
      </c>
      <c r="G1002" s="30"/>
      <c r="H1002" s="29"/>
      <c r="I1002" s="29"/>
    </row>
    <row r="1003" customFormat="false" ht="15" hidden="false" customHeight="false" outlineLevel="0" collapsed="false">
      <c r="A1003" s="32"/>
      <c r="B1003" s="29"/>
      <c r="C1003" s="29"/>
      <c r="D1003" s="28" t="str">
        <f aca="false">IF($C1003="","",IFERROR(INDEX('المواد الخام'!$B$5:$B$104,MATCH($C1003,'المواد الخام'!$A$5:$A$104,0)),IFERROR(INDEX(المنتجات!$C$5:$C$24,MATCH($C1003,المنتجات!$A$5:$A$24,0)),"كود غير موجود")))</f>
        <v/>
      </c>
      <c r="E1003" s="24"/>
      <c r="F1003" s="28" t="str">
        <f aca="false">IF($C1003="","",IFERROR(INDEX('المواد الخام'!$D$5:$D$104,MATCH($C1003,'المواد الخام'!$A$5:$A$104,0)),"حبة"))</f>
        <v/>
      </c>
      <c r="G1003" s="30"/>
      <c r="H1003" s="29"/>
      <c r="I1003" s="29"/>
    </row>
    <row r="1004" customFormat="false" ht="15" hidden="false" customHeight="false" outlineLevel="0" collapsed="false">
      <c r="A1004" s="32"/>
      <c r="B1004" s="29"/>
      <c r="C1004" s="29"/>
      <c r="D1004" s="28" t="str">
        <f aca="false">IF($C1004="","",IFERROR(INDEX('المواد الخام'!$B$5:$B$104,MATCH($C1004,'المواد الخام'!$A$5:$A$104,0)),IFERROR(INDEX(المنتجات!$C$5:$C$24,MATCH($C1004,المنتجات!$A$5:$A$24,0)),"كود غير موجود")))</f>
        <v/>
      </c>
      <c r="E1004" s="24"/>
      <c r="F1004" s="28" t="str">
        <f aca="false">IF($C1004="","",IFERROR(INDEX('المواد الخام'!$D$5:$D$104,MATCH($C1004,'المواد الخام'!$A$5:$A$104,0)),"حبة"))</f>
        <v/>
      </c>
      <c r="G1004" s="30"/>
      <c r="H1004" s="29"/>
      <c r="I1004" s="29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B5:B1004" type="list">
      <formula1>الإعدادات!$G$5:$G$16</formula1>
      <formula2>0</formula2>
    </dataValidation>
    <dataValidation allowBlank="true" errorStyle="stop" operator="between" showDropDown="false" showErrorMessage="false" showInputMessage="false" sqref="C5:C1004" type="list">
      <formula1>الإعدادات!$L$5:$L$124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8" t="s">
        <v>199</v>
      </c>
      <c r="B1" s="18"/>
      <c r="C1" s="18"/>
      <c r="D1" s="18"/>
      <c r="E1" s="18"/>
      <c r="F1" s="18"/>
      <c r="G1" s="18"/>
      <c r="H1" s="18"/>
    </row>
    <row r="2" customFormat="false" ht="31.5" hidden="false" customHeight="true" outlineLevel="0" collapsed="false">
      <c r="A2" s="19" t="s">
        <v>200</v>
      </c>
      <c r="B2" s="19"/>
      <c r="C2" s="19"/>
      <c r="D2" s="19"/>
      <c r="E2" s="19"/>
      <c r="F2" s="19"/>
      <c r="G2" s="19"/>
      <c r="H2" s="19"/>
    </row>
    <row r="4" customFormat="false" ht="33.75" hidden="false" customHeight="true" outlineLevel="0" collapsed="false">
      <c r="A4" s="20" t="s">
        <v>201</v>
      </c>
      <c r="B4" s="20" t="s">
        <v>59</v>
      </c>
      <c r="C4" s="20" t="s">
        <v>196</v>
      </c>
      <c r="D4" s="20" t="s">
        <v>202</v>
      </c>
      <c r="E4" s="20" t="s">
        <v>203</v>
      </c>
      <c r="F4" s="20" t="s">
        <v>181</v>
      </c>
      <c r="G4" s="20" t="s">
        <v>204</v>
      </c>
      <c r="H4" s="20" t="s">
        <v>72</v>
      </c>
    </row>
    <row r="5" customFormat="false" ht="15" hidden="false" customHeight="false" outlineLevel="0" collapsed="false">
      <c r="A5" s="32"/>
      <c r="B5" s="29"/>
      <c r="C5" s="28" t="str">
        <f aca="false">IF($B5="","",IFERROR(INDEX('المواد الخام'!$B$5:$B$104,MATCH($B5,'المواد الخام'!$A$5:$A$104,0)),IFERROR(INDEX(المنتجات!$C$5:$C$24,MATCH($B5,المنتجات!$A$5:$A$24,0)),"كود غير موجود")))</f>
        <v/>
      </c>
      <c r="D5" s="27" t="str">
        <f aca="false">IF($B5="","",IFERROR(INDEX('المواد الخام'!$L$5:$L$104,MATCH($B5,'المواد الخام'!$A$5:$A$104,0)),IFERROR(INDEX(المنتجات!$P$5:$P$24,MATCH($B5,المنتجات!$A$5:$A$24,0)),0)))</f>
        <v/>
      </c>
      <c r="E5" s="24"/>
      <c r="F5" s="27" t="str">
        <f aca="false">IF(OR($B5="",E5=""),"",E5-D5)</f>
        <v/>
      </c>
      <c r="G5" s="28" t="str">
        <f aca="false">IF(F5="","",IF(F5=0,"مطابق",IF(F5&gt;0,"سجّل تسوية زيادة","سجّل تسوية نقص")))</f>
        <v/>
      </c>
      <c r="H5" s="29"/>
    </row>
    <row r="6" customFormat="false" ht="15" hidden="false" customHeight="false" outlineLevel="0" collapsed="false">
      <c r="A6" s="32"/>
      <c r="B6" s="29"/>
      <c r="C6" s="28" t="str">
        <f aca="false">IF($B6="","",IFERROR(INDEX('المواد الخام'!$B$5:$B$104,MATCH($B6,'المواد الخام'!$A$5:$A$104,0)),IFERROR(INDEX(المنتجات!$C$5:$C$24,MATCH($B6,المنتجات!$A$5:$A$24,0)),"كود غير موجود")))</f>
        <v/>
      </c>
      <c r="D6" s="27" t="str">
        <f aca="false">IF($B6="","",IFERROR(INDEX('المواد الخام'!$L$5:$L$104,MATCH($B6,'المواد الخام'!$A$5:$A$104,0)),IFERROR(INDEX(المنتجات!$P$5:$P$24,MATCH($B6,المنتجات!$A$5:$A$24,0)),0)))</f>
        <v/>
      </c>
      <c r="E6" s="24"/>
      <c r="F6" s="27" t="str">
        <f aca="false">IF(OR($B6="",E6=""),"",E6-D6)</f>
        <v/>
      </c>
      <c r="G6" s="28" t="str">
        <f aca="false">IF(F6="","",IF(F6=0,"مطابق",IF(F6&gt;0,"سجّل تسوية زيادة","سجّل تسوية نقص")))</f>
        <v/>
      </c>
      <c r="H6" s="29"/>
    </row>
    <row r="7" customFormat="false" ht="15" hidden="false" customHeight="false" outlineLevel="0" collapsed="false">
      <c r="A7" s="32"/>
      <c r="B7" s="29"/>
      <c r="C7" s="28" t="str">
        <f aca="false">IF($B7="","",IFERROR(INDEX('المواد الخام'!$B$5:$B$104,MATCH($B7,'المواد الخام'!$A$5:$A$104,0)),IFERROR(INDEX(المنتجات!$C$5:$C$24,MATCH($B7,المنتجات!$A$5:$A$24,0)),"كود غير موجود")))</f>
        <v/>
      </c>
      <c r="D7" s="27" t="str">
        <f aca="false">IF($B7="","",IFERROR(INDEX('المواد الخام'!$L$5:$L$104,MATCH($B7,'المواد الخام'!$A$5:$A$104,0)),IFERROR(INDEX(المنتجات!$P$5:$P$24,MATCH($B7,المنتجات!$A$5:$A$24,0)),0)))</f>
        <v/>
      </c>
      <c r="E7" s="24"/>
      <c r="F7" s="27" t="str">
        <f aca="false">IF(OR($B7="",E7=""),"",E7-D7)</f>
        <v/>
      </c>
      <c r="G7" s="28" t="str">
        <f aca="false">IF(F7="","",IF(F7=0,"مطابق",IF(F7&gt;0,"سجّل تسوية زيادة","سجّل تسوية نقص")))</f>
        <v/>
      </c>
      <c r="H7" s="29"/>
    </row>
    <row r="8" customFormat="false" ht="15" hidden="false" customHeight="false" outlineLevel="0" collapsed="false">
      <c r="A8" s="32"/>
      <c r="B8" s="29"/>
      <c r="C8" s="28" t="str">
        <f aca="false">IF($B8="","",IFERROR(INDEX('المواد الخام'!$B$5:$B$104,MATCH($B8,'المواد الخام'!$A$5:$A$104,0)),IFERROR(INDEX(المنتجات!$C$5:$C$24,MATCH($B8,المنتجات!$A$5:$A$24,0)),"كود غير موجود")))</f>
        <v/>
      </c>
      <c r="D8" s="27" t="str">
        <f aca="false">IF($B8="","",IFERROR(INDEX('المواد الخام'!$L$5:$L$104,MATCH($B8,'المواد الخام'!$A$5:$A$104,0)),IFERROR(INDEX(المنتجات!$P$5:$P$24,MATCH($B8,المنتجات!$A$5:$A$24,0)),0)))</f>
        <v/>
      </c>
      <c r="E8" s="24"/>
      <c r="F8" s="27" t="str">
        <f aca="false">IF(OR($B8="",E8=""),"",E8-D8)</f>
        <v/>
      </c>
      <c r="G8" s="28" t="str">
        <f aca="false">IF(F8="","",IF(F8=0,"مطابق",IF(F8&gt;0,"سجّل تسوية زيادة","سجّل تسوية نقص")))</f>
        <v/>
      </c>
      <c r="H8" s="29"/>
    </row>
    <row r="9" customFormat="false" ht="15" hidden="false" customHeight="false" outlineLevel="0" collapsed="false">
      <c r="A9" s="32"/>
      <c r="B9" s="29"/>
      <c r="C9" s="28" t="str">
        <f aca="false">IF($B9="","",IFERROR(INDEX('المواد الخام'!$B$5:$B$104,MATCH($B9,'المواد الخام'!$A$5:$A$104,0)),IFERROR(INDEX(المنتجات!$C$5:$C$24,MATCH($B9,المنتجات!$A$5:$A$24,0)),"كود غير موجود")))</f>
        <v/>
      </c>
      <c r="D9" s="27" t="str">
        <f aca="false">IF($B9="","",IFERROR(INDEX('المواد الخام'!$L$5:$L$104,MATCH($B9,'المواد الخام'!$A$5:$A$104,0)),IFERROR(INDEX(المنتجات!$P$5:$P$24,MATCH($B9,المنتجات!$A$5:$A$24,0)),0)))</f>
        <v/>
      </c>
      <c r="E9" s="24"/>
      <c r="F9" s="27" t="str">
        <f aca="false">IF(OR($B9="",E9=""),"",E9-D9)</f>
        <v/>
      </c>
      <c r="G9" s="28" t="str">
        <f aca="false">IF(F9="","",IF(F9=0,"مطابق",IF(F9&gt;0,"سجّل تسوية زيادة","سجّل تسوية نقص")))</f>
        <v/>
      </c>
      <c r="H9" s="29"/>
    </row>
    <row r="10" customFormat="false" ht="15" hidden="false" customHeight="false" outlineLevel="0" collapsed="false">
      <c r="A10" s="32"/>
      <c r="B10" s="29"/>
      <c r="C10" s="28" t="str">
        <f aca="false">IF($B10="","",IFERROR(INDEX('المواد الخام'!$B$5:$B$104,MATCH($B10,'المواد الخام'!$A$5:$A$104,0)),IFERROR(INDEX(المنتجات!$C$5:$C$24,MATCH($B10,المنتجات!$A$5:$A$24,0)),"كود غير موجود")))</f>
        <v/>
      </c>
      <c r="D10" s="27" t="str">
        <f aca="false">IF($B10="","",IFERROR(INDEX('المواد الخام'!$L$5:$L$104,MATCH($B10,'المواد الخام'!$A$5:$A$104,0)),IFERROR(INDEX(المنتجات!$P$5:$P$24,MATCH($B10,المنتجات!$A$5:$A$24,0)),0)))</f>
        <v/>
      </c>
      <c r="E10" s="24"/>
      <c r="F10" s="27" t="str">
        <f aca="false">IF(OR($B10="",E10=""),"",E10-D10)</f>
        <v/>
      </c>
      <c r="G10" s="28" t="str">
        <f aca="false">IF(F10="","",IF(F10=0,"مطابق",IF(F10&gt;0,"سجّل تسوية زيادة","سجّل تسوية نقص")))</f>
        <v/>
      </c>
      <c r="H10" s="29"/>
    </row>
    <row r="11" customFormat="false" ht="15" hidden="false" customHeight="false" outlineLevel="0" collapsed="false">
      <c r="A11" s="32"/>
      <c r="B11" s="29"/>
      <c r="C11" s="28" t="str">
        <f aca="false">IF($B11="","",IFERROR(INDEX('المواد الخام'!$B$5:$B$104,MATCH($B11,'المواد الخام'!$A$5:$A$104,0)),IFERROR(INDEX(المنتجات!$C$5:$C$24,MATCH($B11,المنتجات!$A$5:$A$24,0)),"كود غير موجود")))</f>
        <v/>
      </c>
      <c r="D11" s="27" t="str">
        <f aca="false">IF($B11="","",IFERROR(INDEX('المواد الخام'!$L$5:$L$104,MATCH($B11,'المواد الخام'!$A$5:$A$104,0)),IFERROR(INDEX(المنتجات!$P$5:$P$24,MATCH($B11,المنتجات!$A$5:$A$24,0)),0)))</f>
        <v/>
      </c>
      <c r="E11" s="24"/>
      <c r="F11" s="27" t="str">
        <f aca="false">IF(OR($B11="",E11=""),"",E11-D11)</f>
        <v/>
      </c>
      <c r="G11" s="28" t="str">
        <f aca="false">IF(F11="","",IF(F11=0,"مطابق",IF(F11&gt;0,"سجّل تسوية زيادة","سجّل تسوية نقص")))</f>
        <v/>
      </c>
      <c r="H11" s="29"/>
    </row>
    <row r="12" customFormat="false" ht="15" hidden="false" customHeight="false" outlineLevel="0" collapsed="false">
      <c r="A12" s="32"/>
      <c r="B12" s="29"/>
      <c r="C12" s="28" t="str">
        <f aca="false">IF($B12="","",IFERROR(INDEX('المواد الخام'!$B$5:$B$104,MATCH($B12,'المواد الخام'!$A$5:$A$104,0)),IFERROR(INDEX(المنتجات!$C$5:$C$24,MATCH($B12,المنتجات!$A$5:$A$24,0)),"كود غير موجود")))</f>
        <v/>
      </c>
      <c r="D12" s="27" t="str">
        <f aca="false">IF($B12="","",IFERROR(INDEX('المواد الخام'!$L$5:$L$104,MATCH($B12,'المواد الخام'!$A$5:$A$104,0)),IFERROR(INDEX(المنتجات!$P$5:$P$24,MATCH($B12,المنتجات!$A$5:$A$24,0)),0)))</f>
        <v/>
      </c>
      <c r="E12" s="24"/>
      <c r="F12" s="27" t="str">
        <f aca="false">IF(OR($B12="",E12=""),"",E12-D12)</f>
        <v/>
      </c>
      <c r="G12" s="28" t="str">
        <f aca="false">IF(F12="","",IF(F12=0,"مطابق",IF(F12&gt;0,"سجّل تسوية زيادة","سجّل تسوية نقص")))</f>
        <v/>
      </c>
      <c r="H12" s="29"/>
    </row>
    <row r="13" customFormat="false" ht="15" hidden="false" customHeight="false" outlineLevel="0" collapsed="false">
      <c r="A13" s="32"/>
      <c r="B13" s="29"/>
      <c r="C13" s="28" t="str">
        <f aca="false">IF($B13="","",IFERROR(INDEX('المواد الخام'!$B$5:$B$104,MATCH($B13,'المواد الخام'!$A$5:$A$104,0)),IFERROR(INDEX(المنتجات!$C$5:$C$24,MATCH($B13,المنتجات!$A$5:$A$24,0)),"كود غير موجود")))</f>
        <v/>
      </c>
      <c r="D13" s="27" t="str">
        <f aca="false">IF($B13="","",IFERROR(INDEX('المواد الخام'!$L$5:$L$104,MATCH($B13,'المواد الخام'!$A$5:$A$104,0)),IFERROR(INDEX(المنتجات!$P$5:$P$24,MATCH($B13,المنتجات!$A$5:$A$24,0)),0)))</f>
        <v/>
      </c>
      <c r="E13" s="24"/>
      <c r="F13" s="27" t="str">
        <f aca="false">IF(OR($B13="",E13=""),"",E13-D13)</f>
        <v/>
      </c>
      <c r="G13" s="28" t="str">
        <f aca="false">IF(F13="","",IF(F13=0,"مطابق",IF(F13&gt;0,"سجّل تسوية زيادة","سجّل تسوية نقص")))</f>
        <v/>
      </c>
      <c r="H13" s="29"/>
    </row>
    <row r="14" customFormat="false" ht="15" hidden="false" customHeight="false" outlineLevel="0" collapsed="false">
      <c r="A14" s="32"/>
      <c r="B14" s="29"/>
      <c r="C14" s="28" t="str">
        <f aca="false">IF($B14="","",IFERROR(INDEX('المواد الخام'!$B$5:$B$104,MATCH($B14,'المواد الخام'!$A$5:$A$104,0)),IFERROR(INDEX(المنتجات!$C$5:$C$24,MATCH($B14,المنتجات!$A$5:$A$24,0)),"كود غير موجود")))</f>
        <v/>
      </c>
      <c r="D14" s="27" t="str">
        <f aca="false">IF($B14="","",IFERROR(INDEX('المواد الخام'!$L$5:$L$104,MATCH($B14,'المواد الخام'!$A$5:$A$104,0)),IFERROR(INDEX(المنتجات!$P$5:$P$24,MATCH($B14,المنتجات!$A$5:$A$24,0)),0)))</f>
        <v/>
      </c>
      <c r="E14" s="24"/>
      <c r="F14" s="27" t="str">
        <f aca="false">IF(OR($B14="",E14=""),"",E14-D14)</f>
        <v/>
      </c>
      <c r="G14" s="28" t="str">
        <f aca="false">IF(F14="","",IF(F14=0,"مطابق",IF(F14&gt;0,"سجّل تسوية زيادة","سجّل تسوية نقص")))</f>
        <v/>
      </c>
      <c r="H14" s="29"/>
    </row>
    <row r="15" customFormat="false" ht="15" hidden="false" customHeight="false" outlineLevel="0" collapsed="false">
      <c r="A15" s="32"/>
      <c r="B15" s="29"/>
      <c r="C15" s="28" t="str">
        <f aca="false">IF($B15="","",IFERROR(INDEX('المواد الخام'!$B$5:$B$104,MATCH($B15,'المواد الخام'!$A$5:$A$104,0)),IFERROR(INDEX(المنتجات!$C$5:$C$24,MATCH($B15,المنتجات!$A$5:$A$24,0)),"كود غير موجود")))</f>
        <v/>
      </c>
      <c r="D15" s="27" t="str">
        <f aca="false">IF($B15="","",IFERROR(INDEX('المواد الخام'!$L$5:$L$104,MATCH($B15,'المواد الخام'!$A$5:$A$104,0)),IFERROR(INDEX(المنتجات!$P$5:$P$24,MATCH($B15,المنتجات!$A$5:$A$24,0)),0)))</f>
        <v/>
      </c>
      <c r="E15" s="24"/>
      <c r="F15" s="27" t="str">
        <f aca="false">IF(OR($B15="",E15=""),"",E15-D15)</f>
        <v/>
      </c>
      <c r="G15" s="28" t="str">
        <f aca="false">IF(F15="","",IF(F15=0,"مطابق",IF(F15&gt;0,"سجّل تسوية زيادة","سجّل تسوية نقص")))</f>
        <v/>
      </c>
      <c r="H15" s="29"/>
    </row>
    <row r="16" customFormat="false" ht="15" hidden="false" customHeight="false" outlineLevel="0" collapsed="false">
      <c r="A16" s="32"/>
      <c r="B16" s="29"/>
      <c r="C16" s="28" t="str">
        <f aca="false">IF($B16="","",IFERROR(INDEX('المواد الخام'!$B$5:$B$104,MATCH($B16,'المواد الخام'!$A$5:$A$104,0)),IFERROR(INDEX(المنتجات!$C$5:$C$24,MATCH($B16,المنتجات!$A$5:$A$24,0)),"كود غير موجود")))</f>
        <v/>
      </c>
      <c r="D16" s="27" t="str">
        <f aca="false">IF($B16="","",IFERROR(INDEX('المواد الخام'!$L$5:$L$104,MATCH($B16,'المواد الخام'!$A$5:$A$104,0)),IFERROR(INDEX(المنتجات!$P$5:$P$24,MATCH($B16,المنتجات!$A$5:$A$24,0)),0)))</f>
        <v/>
      </c>
      <c r="E16" s="24"/>
      <c r="F16" s="27" t="str">
        <f aca="false">IF(OR($B16="",E16=""),"",E16-D16)</f>
        <v/>
      </c>
      <c r="G16" s="28" t="str">
        <f aca="false">IF(F16="","",IF(F16=0,"مطابق",IF(F16&gt;0,"سجّل تسوية زيادة","سجّل تسوية نقص")))</f>
        <v/>
      </c>
      <c r="H16" s="29"/>
    </row>
    <row r="17" customFormat="false" ht="15" hidden="false" customHeight="false" outlineLevel="0" collapsed="false">
      <c r="A17" s="32"/>
      <c r="B17" s="29"/>
      <c r="C17" s="28" t="str">
        <f aca="false">IF($B17="","",IFERROR(INDEX('المواد الخام'!$B$5:$B$104,MATCH($B17,'المواد الخام'!$A$5:$A$104,0)),IFERROR(INDEX(المنتجات!$C$5:$C$24,MATCH($B17,المنتجات!$A$5:$A$24,0)),"كود غير موجود")))</f>
        <v/>
      </c>
      <c r="D17" s="27" t="str">
        <f aca="false">IF($B17="","",IFERROR(INDEX('المواد الخام'!$L$5:$L$104,MATCH($B17,'المواد الخام'!$A$5:$A$104,0)),IFERROR(INDEX(المنتجات!$P$5:$P$24,MATCH($B17,المنتجات!$A$5:$A$24,0)),0)))</f>
        <v/>
      </c>
      <c r="E17" s="24"/>
      <c r="F17" s="27" t="str">
        <f aca="false">IF(OR($B17="",E17=""),"",E17-D17)</f>
        <v/>
      </c>
      <c r="G17" s="28" t="str">
        <f aca="false">IF(F17="","",IF(F17=0,"مطابق",IF(F17&gt;0,"سجّل تسوية زيادة","سجّل تسوية نقص")))</f>
        <v/>
      </c>
      <c r="H17" s="29"/>
    </row>
    <row r="18" customFormat="false" ht="15" hidden="false" customHeight="false" outlineLevel="0" collapsed="false">
      <c r="A18" s="32"/>
      <c r="B18" s="29"/>
      <c r="C18" s="28" t="str">
        <f aca="false">IF($B18="","",IFERROR(INDEX('المواد الخام'!$B$5:$B$104,MATCH($B18,'المواد الخام'!$A$5:$A$104,0)),IFERROR(INDEX(المنتجات!$C$5:$C$24,MATCH($B18,المنتجات!$A$5:$A$24,0)),"كود غير موجود")))</f>
        <v/>
      </c>
      <c r="D18" s="27" t="str">
        <f aca="false">IF($B18="","",IFERROR(INDEX('المواد الخام'!$L$5:$L$104,MATCH($B18,'المواد الخام'!$A$5:$A$104,0)),IFERROR(INDEX(المنتجات!$P$5:$P$24,MATCH($B18,المنتجات!$A$5:$A$24,0)),0)))</f>
        <v/>
      </c>
      <c r="E18" s="24"/>
      <c r="F18" s="27" t="str">
        <f aca="false">IF(OR($B18="",E18=""),"",E18-D18)</f>
        <v/>
      </c>
      <c r="G18" s="28" t="str">
        <f aca="false">IF(F18="","",IF(F18=0,"مطابق",IF(F18&gt;0,"سجّل تسوية زيادة","سجّل تسوية نقص")))</f>
        <v/>
      </c>
      <c r="H18" s="29"/>
    </row>
    <row r="19" customFormat="false" ht="15" hidden="false" customHeight="false" outlineLevel="0" collapsed="false">
      <c r="A19" s="32"/>
      <c r="B19" s="29"/>
      <c r="C19" s="28" t="str">
        <f aca="false">IF($B19="","",IFERROR(INDEX('المواد الخام'!$B$5:$B$104,MATCH($B19,'المواد الخام'!$A$5:$A$104,0)),IFERROR(INDEX(المنتجات!$C$5:$C$24,MATCH($B19,المنتجات!$A$5:$A$24,0)),"كود غير موجود")))</f>
        <v/>
      </c>
      <c r="D19" s="27" t="str">
        <f aca="false">IF($B19="","",IFERROR(INDEX('المواد الخام'!$L$5:$L$104,MATCH($B19,'المواد الخام'!$A$5:$A$104,0)),IFERROR(INDEX(المنتجات!$P$5:$P$24,MATCH($B19,المنتجات!$A$5:$A$24,0)),0)))</f>
        <v/>
      </c>
      <c r="E19" s="24"/>
      <c r="F19" s="27" t="str">
        <f aca="false">IF(OR($B19="",E19=""),"",E19-D19)</f>
        <v/>
      </c>
      <c r="G19" s="28" t="str">
        <f aca="false">IF(F19="","",IF(F19=0,"مطابق",IF(F19&gt;0,"سجّل تسوية زيادة","سجّل تسوية نقص")))</f>
        <v/>
      </c>
      <c r="H19" s="29"/>
    </row>
    <row r="20" customFormat="false" ht="15" hidden="false" customHeight="false" outlineLevel="0" collapsed="false">
      <c r="A20" s="32"/>
      <c r="B20" s="29"/>
      <c r="C20" s="28" t="str">
        <f aca="false">IF($B20="","",IFERROR(INDEX('المواد الخام'!$B$5:$B$104,MATCH($B20,'المواد الخام'!$A$5:$A$104,0)),IFERROR(INDEX(المنتجات!$C$5:$C$24,MATCH($B20,المنتجات!$A$5:$A$24,0)),"كود غير موجود")))</f>
        <v/>
      </c>
      <c r="D20" s="27" t="str">
        <f aca="false">IF($B20="","",IFERROR(INDEX('المواد الخام'!$L$5:$L$104,MATCH($B20,'المواد الخام'!$A$5:$A$104,0)),IFERROR(INDEX(المنتجات!$P$5:$P$24,MATCH($B20,المنتجات!$A$5:$A$24,0)),0)))</f>
        <v/>
      </c>
      <c r="E20" s="24"/>
      <c r="F20" s="27" t="str">
        <f aca="false">IF(OR($B20="",E20=""),"",E20-D20)</f>
        <v/>
      </c>
      <c r="G20" s="28" t="str">
        <f aca="false">IF(F20="","",IF(F20=0,"مطابق",IF(F20&gt;0,"سجّل تسوية زيادة","سجّل تسوية نقص")))</f>
        <v/>
      </c>
      <c r="H20" s="29"/>
    </row>
    <row r="21" customFormat="false" ht="15" hidden="false" customHeight="false" outlineLevel="0" collapsed="false">
      <c r="A21" s="32"/>
      <c r="B21" s="29"/>
      <c r="C21" s="28" t="str">
        <f aca="false">IF($B21="","",IFERROR(INDEX('المواد الخام'!$B$5:$B$104,MATCH($B21,'المواد الخام'!$A$5:$A$104,0)),IFERROR(INDEX(المنتجات!$C$5:$C$24,MATCH($B21,المنتجات!$A$5:$A$24,0)),"كود غير موجود")))</f>
        <v/>
      </c>
      <c r="D21" s="27" t="str">
        <f aca="false">IF($B21="","",IFERROR(INDEX('المواد الخام'!$L$5:$L$104,MATCH($B21,'المواد الخام'!$A$5:$A$104,0)),IFERROR(INDEX(المنتجات!$P$5:$P$24,MATCH($B21,المنتجات!$A$5:$A$24,0)),0)))</f>
        <v/>
      </c>
      <c r="E21" s="24"/>
      <c r="F21" s="27" t="str">
        <f aca="false">IF(OR($B21="",E21=""),"",E21-D21)</f>
        <v/>
      </c>
      <c r="G21" s="28" t="str">
        <f aca="false">IF(F21="","",IF(F21=0,"مطابق",IF(F21&gt;0,"سجّل تسوية زيادة","سجّل تسوية نقص")))</f>
        <v/>
      </c>
      <c r="H21" s="29"/>
    </row>
    <row r="22" customFormat="false" ht="15" hidden="false" customHeight="false" outlineLevel="0" collapsed="false">
      <c r="A22" s="32"/>
      <c r="B22" s="29"/>
      <c r="C22" s="28" t="str">
        <f aca="false">IF($B22="","",IFERROR(INDEX('المواد الخام'!$B$5:$B$104,MATCH($B22,'المواد الخام'!$A$5:$A$104,0)),IFERROR(INDEX(المنتجات!$C$5:$C$24,MATCH($B22,المنتجات!$A$5:$A$24,0)),"كود غير موجود")))</f>
        <v/>
      </c>
      <c r="D22" s="27" t="str">
        <f aca="false">IF($B22="","",IFERROR(INDEX('المواد الخام'!$L$5:$L$104,MATCH($B22,'المواد الخام'!$A$5:$A$104,0)),IFERROR(INDEX(المنتجات!$P$5:$P$24,MATCH($B22,المنتجات!$A$5:$A$24,0)),0)))</f>
        <v/>
      </c>
      <c r="E22" s="24"/>
      <c r="F22" s="27" t="str">
        <f aca="false">IF(OR($B22="",E22=""),"",E22-D22)</f>
        <v/>
      </c>
      <c r="G22" s="28" t="str">
        <f aca="false">IF(F22="","",IF(F22=0,"مطابق",IF(F22&gt;0,"سجّل تسوية زيادة","سجّل تسوية نقص")))</f>
        <v/>
      </c>
      <c r="H22" s="29"/>
    </row>
    <row r="23" customFormat="false" ht="15" hidden="false" customHeight="false" outlineLevel="0" collapsed="false">
      <c r="A23" s="32"/>
      <c r="B23" s="29"/>
      <c r="C23" s="28" t="str">
        <f aca="false">IF($B23="","",IFERROR(INDEX('المواد الخام'!$B$5:$B$104,MATCH($B23,'المواد الخام'!$A$5:$A$104,0)),IFERROR(INDEX(المنتجات!$C$5:$C$24,MATCH($B23,المنتجات!$A$5:$A$24,0)),"كود غير موجود")))</f>
        <v/>
      </c>
      <c r="D23" s="27" t="str">
        <f aca="false">IF($B23="","",IFERROR(INDEX('المواد الخام'!$L$5:$L$104,MATCH($B23,'المواد الخام'!$A$5:$A$104,0)),IFERROR(INDEX(المنتجات!$P$5:$P$24,MATCH($B23,المنتجات!$A$5:$A$24,0)),0)))</f>
        <v/>
      </c>
      <c r="E23" s="24"/>
      <c r="F23" s="27" t="str">
        <f aca="false">IF(OR($B23="",E23=""),"",E23-D23)</f>
        <v/>
      </c>
      <c r="G23" s="28" t="str">
        <f aca="false">IF(F23="","",IF(F23=0,"مطابق",IF(F23&gt;0,"سجّل تسوية زيادة","سجّل تسوية نقص")))</f>
        <v/>
      </c>
      <c r="H23" s="29"/>
    </row>
    <row r="24" customFormat="false" ht="15" hidden="false" customHeight="false" outlineLevel="0" collapsed="false">
      <c r="A24" s="32"/>
      <c r="B24" s="29"/>
      <c r="C24" s="28" t="str">
        <f aca="false">IF($B24="","",IFERROR(INDEX('المواد الخام'!$B$5:$B$104,MATCH($B24,'المواد الخام'!$A$5:$A$104,0)),IFERROR(INDEX(المنتجات!$C$5:$C$24,MATCH($B24,المنتجات!$A$5:$A$24,0)),"كود غير موجود")))</f>
        <v/>
      </c>
      <c r="D24" s="27" t="str">
        <f aca="false">IF($B24="","",IFERROR(INDEX('المواد الخام'!$L$5:$L$104,MATCH($B24,'المواد الخام'!$A$5:$A$104,0)),IFERROR(INDEX(المنتجات!$P$5:$P$24,MATCH($B24,المنتجات!$A$5:$A$24,0)),0)))</f>
        <v/>
      </c>
      <c r="E24" s="24"/>
      <c r="F24" s="27" t="str">
        <f aca="false">IF(OR($B24="",E24=""),"",E24-D24)</f>
        <v/>
      </c>
      <c r="G24" s="28" t="str">
        <f aca="false">IF(F24="","",IF(F24=0,"مطابق",IF(F24&gt;0,"سجّل تسوية زيادة","سجّل تسوية نقص")))</f>
        <v/>
      </c>
      <c r="H24" s="29"/>
    </row>
    <row r="25" customFormat="false" ht="15" hidden="false" customHeight="false" outlineLevel="0" collapsed="false">
      <c r="A25" s="32"/>
      <c r="B25" s="29"/>
      <c r="C25" s="28" t="str">
        <f aca="false">IF($B25="","",IFERROR(INDEX('المواد الخام'!$B$5:$B$104,MATCH($B25,'المواد الخام'!$A$5:$A$104,0)),IFERROR(INDEX(المنتجات!$C$5:$C$24,MATCH($B25,المنتجات!$A$5:$A$24,0)),"كود غير موجود")))</f>
        <v/>
      </c>
      <c r="D25" s="27" t="str">
        <f aca="false">IF($B25="","",IFERROR(INDEX('المواد الخام'!$L$5:$L$104,MATCH($B25,'المواد الخام'!$A$5:$A$104,0)),IFERROR(INDEX(المنتجات!$P$5:$P$24,MATCH($B25,المنتجات!$A$5:$A$24,0)),0)))</f>
        <v/>
      </c>
      <c r="E25" s="24"/>
      <c r="F25" s="27" t="str">
        <f aca="false">IF(OR($B25="",E25=""),"",E25-D25)</f>
        <v/>
      </c>
      <c r="G25" s="28" t="str">
        <f aca="false">IF(F25="","",IF(F25=0,"مطابق",IF(F25&gt;0,"سجّل تسوية زيادة","سجّل تسوية نقص")))</f>
        <v/>
      </c>
      <c r="H25" s="29"/>
    </row>
    <row r="26" customFormat="false" ht="15" hidden="false" customHeight="false" outlineLevel="0" collapsed="false">
      <c r="A26" s="32"/>
      <c r="B26" s="29"/>
      <c r="C26" s="28" t="str">
        <f aca="false">IF($B26="","",IFERROR(INDEX('المواد الخام'!$B$5:$B$104,MATCH($B26,'المواد الخام'!$A$5:$A$104,0)),IFERROR(INDEX(المنتجات!$C$5:$C$24,MATCH($B26,المنتجات!$A$5:$A$24,0)),"كود غير موجود")))</f>
        <v/>
      </c>
      <c r="D26" s="27" t="str">
        <f aca="false">IF($B26="","",IFERROR(INDEX('المواد الخام'!$L$5:$L$104,MATCH($B26,'المواد الخام'!$A$5:$A$104,0)),IFERROR(INDEX(المنتجات!$P$5:$P$24,MATCH($B26,المنتجات!$A$5:$A$24,0)),0)))</f>
        <v/>
      </c>
      <c r="E26" s="24"/>
      <c r="F26" s="27" t="str">
        <f aca="false">IF(OR($B26="",E26=""),"",E26-D26)</f>
        <v/>
      </c>
      <c r="G26" s="28" t="str">
        <f aca="false">IF(F26="","",IF(F26=0,"مطابق",IF(F26&gt;0,"سجّل تسوية زيادة","سجّل تسوية نقص")))</f>
        <v/>
      </c>
      <c r="H26" s="29"/>
    </row>
    <row r="27" customFormat="false" ht="15" hidden="false" customHeight="false" outlineLevel="0" collapsed="false">
      <c r="A27" s="32"/>
      <c r="B27" s="29"/>
      <c r="C27" s="28" t="str">
        <f aca="false">IF($B27="","",IFERROR(INDEX('المواد الخام'!$B$5:$B$104,MATCH($B27,'المواد الخام'!$A$5:$A$104,0)),IFERROR(INDEX(المنتجات!$C$5:$C$24,MATCH($B27,المنتجات!$A$5:$A$24,0)),"كود غير موجود")))</f>
        <v/>
      </c>
      <c r="D27" s="27" t="str">
        <f aca="false">IF($B27="","",IFERROR(INDEX('المواد الخام'!$L$5:$L$104,MATCH($B27,'المواد الخام'!$A$5:$A$104,0)),IFERROR(INDEX(المنتجات!$P$5:$P$24,MATCH($B27,المنتجات!$A$5:$A$24,0)),0)))</f>
        <v/>
      </c>
      <c r="E27" s="24"/>
      <c r="F27" s="27" t="str">
        <f aca="false">IF(OR($B27="",E27=""),"",E27-D27)</f>
        <v/>
      </c>
      <c r="G27" s="28" t="str">
        <f aca="false">IF(F27="","",IF(F27=0,"مطابق",IF(F27&gt;0,"سجّل تسوية زيادة","سجّل تسوية نقص")))</f>
        <v/>
      </c>
      <c r="H27" s="29"/>
    </row>
    <row r="28" customFormat="false" ht="15" hidden="false" customHeight="false" outlineLevel="0" collapsed="false">
      <c r="A28" s="32"/>
      <c r="B28" s="29"/>
      <c r="C28" s="28" t="str">
        <f aca="false">IF($B28="","",IFERROR(INDEX('المواد الخام'!$B$5:$B$104,MATCH($B28,'المواد الخام'!$A$5:$A$104,0)),IFERROR(INDEX(المنتجات!$C$5:$C$24,MATCH($B28,المنتجات!$A$5:$A$24,0)),"كود غير موجود")))</f>
        <v/>
      </c>
      <c r="D28" s="27" t="str">
        <f aca="false">IF($B28="","",IFERROR(INDEX('المواد الخام'!$L$5:$L$104,MATCH($B28,'المواد الخام'!$A$5:$A$104,0)),IFERROR(INDEX(المنتجات!$P$5:$P$24,MATCH($B28,المنتجات!$A$5:$A$24,0)),0)))</f>
        <v/>
      </c>
      <c r="E28" s="24"/>
      <c r="F28" s="27" t="str">
        <f aca="false">IF(OR($B28="",E28=""),"",E28-D28)</f>
        <v/>
      </c>
      <c r="G28" s="28" t="str">
        <f aca="false">IF(F28="","",IF(F28=0,"مطابق",IF(F28&gt;0,"سجّل تسوية زيادة","سجّل تسوية نقص")))</f>
        <v/>
      </c>
      <c r="H28" s="29"/>
    </row>
    <row r="29" customFormat="false" ht="15" hidden="false" customHeight="false" outlineLevel="0" collapsed="false">
      <c r="A29" s="32"/>
      <c r="B29" s="29"/>
      <c r="C29" s="28" t="str">
        <f aca="false">IF($B29="","",IFERROR(INDEX('المواد الخام'!$B$5:$B$104,MATCH($B29,'المواد الخام'!$A$5:$A$104,0)),IFERROR(INDEX(المنتجات!$C$5:$C$24,MATCH($B29,المنتجات!$A$5:$A$24,0)),"كود غير موجود")))</f>
        <v/>
      </c>
      <c r="D29" s="27" t="str">
        <f aca="false">IF($B29="","",IFERROR(INDEX('المواد الخام'!$L$5:$L$104,MATCH($B29,'المواد الخام'!$A$5:$A$104,0)),IFERROR(INDEX(المنتجات!$P$5:$P$24,MATCH($B29,المنتجات!$A$5:$A$24,0)),0)))</f>
        <v/>
      </c>
      <c r="E29" s="24"/>
      <c r="F29" s="27" t="str">
        <f aca="false">IF(OR($B29="",E29=""),"",E29-D29)</f>
        <v/>
      </c>
      <c r="G29" s="28" t="str">
        <f aca="false">IF(F29="","",IF(F29=0,"مطابق",IF(F29&gt;0,"سجّل تسوية زيادة","سجّل تسوية نقص")))</f>
        <v/>
      </c>
      <c r="H29" s="29"/>
    </row>
    <row r="30" customFormat="false" ht="15" hidden="false" customHeight="false" outlineLevel="0" collapsed="false">
      <c r="A30" s="32"/>
      <c r="B30" s="29"/>
      <c r="C30" s="28" t="str">
        <f aca="false">IF($B30="","",IFERROR(INDEX('المواد الخام'!$B$5:$B$104,MATCH($B30,'المواد الخام'!$A$5:$A$104,0)),IFERROR(INDEX(المنتجات!$C$5:$C$24,MATCH($B30,المنتجات!$A$5:$A$24,0)),"كود غير موجود")))</f>
        <v/>
      </c>
      <c r="D30" s="27" t="str">
        <f aca="false">IF($B30="","",IFERROR(INDEX('المواد الخام'!$L$5:$L$104,MATCH($B30,'المواد الخام'!$A$5:$A$104,0)),IFERROR(INDEX(المنتجات!$P$5:$P$24,MATCH($B30,المنتجات!$A$5:$A$24,0)),0)))</f>
        <v/>
      </c>
      <c r="E30" s="24"/>
      <c r="F30" s="27" t="str">
        <f aca="false">IF(OR($B30="",E30=""),"",E30-D30)</f>
        <v/>
      </c>
      <c r="G30" s="28" t="str">
        <f aca="false">IF(F30="","",IF(F30=0,"مطابق",IF(F30&gt;0,"سجّل تسوية زيادة","سجّل تسوية نقص")))</f>
        <v/>
      </c>
      <c r="H30" s="29"/>
    </row>
    <row r="31" customFormat="false" ht="15" hidden="false" customHeight="false" outlineLevel="0" collapsed="false">
      <c r="A31" s="32"/>
      <c r="B31" s="29"/>
      <c r="C31" s="28" t="str">
        <f aca="false">IF($B31="","",IFERROR(INDEX('المواد الخام'!$B$5:$B$104,MATCH($B31,'المواد الخام'!$A$5:$A$104,0)),IFERROR(INDEX(المنتجات!$C$5:$C$24,MATCH($B31,المنتجات!$A$5:$A$24,0)),"كود غير موجود")))</f>
        <v/>
      </c>
      <c r="D31" s="27" t="str">
        <f aca="false">IF($B31="","",IFERROR(INDEX('المواد الخام'!$L$5:$L$104,MATCH($B31,'المواد الخام'!$A$5:$A$104,0)),IFERROR(INDEX(المنتجات!$P$5:$P$24,MATCH($B31,المنتجات!$A$5:$A$24,0)),0)))</f>
        <v/>
      </c>
      <c r="E31" s="24"/>
      <c r="F31" s="27" t="str">
        <f aca="false">IF(OR($B31="",E31=""),"",E31-D31)</f>
        <v/>
      </c>
      <c r="G31" s="28" t="str">
        <f aca="false">IF(F31="","",IF(F31=0,"مطابق",IF(F31&gt;0,"سجّل تسوية زيادة","سجّل تسوية نقص")))</f>
        <v/>
      </c>
      <c r="H31" s="29"/>
    </row>
    <row r="32" customFormat="false" ht="15" hidden="false" customHeight="false" outlineLevel="0" collapsed="false">
      <c r="A32" s="32"/>
      <c r="B32" s="29"/>
      <c r="C32" s="28" t="str">
        <f aca="false">IF($B32="","",IFERROR(INDEX('المواد الخام'!$B$5:$B$104,MATCH($B32,'المواد الخام'!$A$5:$A$104,0)),IFERROR(INDEX(المنتجات!$C$5:$C$24,MATCH($B32,المنتجات!$A$5:$A$24,0)),"كود غير موجود")))</f>
        <v/>
      </c>
      <c r="D32" s="27" t="str">
        <f aca="false">IF($B32="","",IFERROR(INDEX('المواد الخام'!$L$5:$L$104,MATCH($B32,'المواد الخام'!$A$5:$A$104,0)),IFERROR(INDEX(المنتجات!$P$5:$P$24,MATCH($B32,المنتجات!$A$5:$A$24,0)),0)))</f>
        <v/>
      </c>
      <c r="E32" s="24"/>
      <c r="F32" s="27" t="str">
        <f aca="false">IF(OR($B32="",E32=""),"",E32-D32)</f>
        <v/>
      </c>
      <c r="G32" s="28" t="str">
        <f aca="false">IF(F32="","",IF(F32=0,"مطابق",IF(F32&gt;0,"سجّل تسوية زيادة","سجّل تسوية نقص")))</f>
        <v/>
      </c>
      <c r="H32" s="29"/>
    </row>
    <row r="33" customFormat="false" ht="15" hidden="false" customHeight="false" outlineLevel="0" collapsed="false">
      <c r="A33" s="32"/>
      <c r="B33" s="29"/>
      <c r="C33" s="28" t="str">
        <f aca="false">IF($B33="","",IFERROR(INDEX('المواد الخام'!$B$5:$B$104,MATCH($B33,'المواد الخام'!$A$5:$A$104,0)),IFERROR(INDEX(المنتجات!$C$5:$C$24,MATCH($B33,المنتجات!$A$5:$A$24,0)),"كود غير موجود")))</f>
        <v/>
      </c>
      <c r="D33" s="27" t="str">
        <f aca="false">IF($B33="","",IFERROR(INDEX('المواد الخام'!$L$5:$L$104,MATCH($B33,'المواد الخام'!$A$5:$A$104,0)),IFERROR(INDEX(المنتجات!$P$5:$P$24,MATCH($B33,المنتجات!$A$5:$A$24,0)),0)))</f>
        <v/>
      </c>
      <c r="E33" s="24"/>
      <c r="F33" s="27" t="str">
        <f aca="false">IF(OR($B33="",E33=""),"",E33-D33)</f>
        <v/>
      </c>
      <c r="G33" s="28" t="str">
        <f aca="false">IF(F33="","",IF(F33=0,"مطابق",IF(F33&gt;0,"سجّل تسوية زيادة","سجّل تسوية نقص")))</f>
        <v/>
      </c>
      <c r="H33" s="29"/>
    </row>
    <row r="34" customFormat="false" ht="15" hidden="false" customHeight="false" outlineLevel="0" collapsed="false">
      <c r="A34" s="32"/>
      <c r="B34" s="29"/>
      <c r="C34" s="28" t="str">
        <f aca="false">IF($B34="","",IFERROR(INDEX('المواد الخام'!$B$5:$B$104,MATCH($B34,'المواد الخام'!$A$5:$A$104,0)),IFERROR(INDEX(المنتجات!$C$5:$C$24,MATCH($B34,المنتجات!$A$5:$A$24,0)),"كود غير موجود")))</f>
        <v/>
      </c>
      <c r="D34" s="27" t="str">
        <f aca="false">IF($B34="","",IFERROR(INDEX('المواد الخام'!$L$5:$L$104,MATCH($B34,'المواد الخام'!$A$5:$A$104,0)),IFERROR(INDEX(المنتجات!$P$5:$P$24,MATCH($B34,المنتجات!$A$5:$A$24,0)),0)))</f>
        <v/>
      </c>
      <c r="E34" s="24"/>
      <c r="F34" s="27" t="str">
        <f aca="false">IF(OR($B34="",E34=""),"",E34-D34)</f>
        <v/>
      </c>
      <c r="G34" s="28" t="str">
        <f aca="false">IF(F34="","",IF(F34=0,"مطابق",IF(F34&gt;0,"سجّل تسوية زيادة","سجّل تسوية نقص")))</f>
        <v/>
      </c>
      <c r="H34" s="29"/>
    </row>
    <row r="35" customFormat="false" ht="15" hidden="false" customHeight="false" outlineLevel="0" collapsed="false">
      <c r="A35" s="32"/>
      <c r="B35" s="29"/>
      <c r="C35" s="28" t="str">
        <f aca="false">IF($B35="","",IFERROR(INDEX('المواد الخام'!$B$5:$B$104,MATCH($B35,'المواد الخام'!$A$5:$A$104,0)),IFERROR(INDEX(المنتجات!$C$5:$C$24,MATCH($B35,المنتجات!$A$5:$A$24,0)),"كود غير موجود")))</f>
        <v/>
      </c>
      <c r="D35" s="27" t="str">
        <f aca="false">IF($B35="","",IFERROR(INDEX('المواد الخام'!$L$5:$L$104,MATCH($B35,'المواد الخام'!$A$5:$A$104,0)),IFERROR(INDEX(المنتجات!$P$5:$P$24,MATCH($B35,المنتجات!$A$5:$A$24,0)),0)))</f>
        <v/>
      </c>
      <c r="E35" s="24"/>
      <c r="F35" s="27" t="str">
        <f aca="false">IF(OR($B35="",E35=""),"",E35-D35)</f>
        <v/>
      </c>
      <c r="G35" s="28" t="str">
        <f aca="false">IF(F35="","",IF(F35=0,"مطابق",IF(F35&gt;0,"سجّل تسوية زيادة","سجّل تسوية نقص")))</f>
        <v/>
      </c>
      <c r="H35" s="29"/>
    </row>
    <row r="36" customFormat="false" ht="15" hidden="false" customHeight="false" outlineLevel="0" collapsed="false">
      <c r="A36" s="32"/>
      <c r="B36" s="29"/>
      <c r="C36" s="28" t="str">
        <f aca="false">IF($B36="","",IFERROR(INDEX('المواد الخام'!$B$5:$B$104,MATCH($B36,'المواد الخام'!$A$5:$A$104,0)),IFERROR(INDEX(المنتجات!$C$5:$C$24,MATCH($B36,المنتجات!$A$5:$A$24,0)),"كود غير موجود")))</f>
        <v/>
      </c>
      <c r="D36" s="27" t="str">
        <f aca="false">IF($B36="","",IFERROR(INDEX('المواد الخام'!$L$5:$L$104,MATCH($B36,'المواد الخام'!$A$5:$A$104,0)),IFERROR(INDEX(المنتجات!$P$5:$P$24,MATCH($B36,المنتجات!$A$5:$A$24,0)),0)))</f>
        <v/>
      </c>
      <c r="E36" s="24"/>
      <c r="F36" s="27" t="str">
        <f aca="false">IF(OR($B36="",E36=""),"",E36-D36)</f>
        <v/>
      </c>
      <c r="G36" s="28" t="str">
        <f aca="false">IF(F36="","",IF(F36=0,"مطابق",IF(F36&gt;0,"سجّل تسوية زيادة","سجّل تسوية نقص")))</f>
        <v/>
      </c>
      <c r="H36" s="29"/>
    </row>
    <row r="37" customFormat="false" ht="15" hidden="false" customHeight="false" outlineLevel="0" collapsed="false">
      <c r="A37" s="32"/>
      <c r="B37" s="29"/>
      <c r="C37" s="28" t="str">
        <f aca="false">IF($B37="","",IFERROR(INDEX('المواد الخام'!$B$5:$B$104,MATCH($B37,'المواد الخام'!$A$5:$A$104,0)),IFERROR(INDEX(المنتجات!$C$5:$C$24,MATCH($B37,المنتجات!$A$5:$A$24,0)),"كود غير موجود")))</f>
        <v/>
      </c>
      <c r="D37" s="27" t="str">
        <f aca="false">IF($B37="","",IFERROR(INDEX('المواد الخام'!$L$5:$L$104,MATCH($B37,'المواد الخام'!$A$5:$A$104,0)),IFERROR(INDEX(المنتجات!$P$5:$P$24,MATCH($B37,المنتجات!$A$5:$A$24,0)),0)))</f>
        <v/>
      </c>
      <c r="E37" s="24"/>
      <c r="F37" s="27" t="str">
        <f aca="false">IF(OR($B37="",E37=""),"",E37-D37)</f>
        <v/>
      </c>
      <c r="G37" s="28" t="str">
        <f aca="false">IF(F37="","",IF(F37=0,"مطابق",IF(F37&gt;0,"سجّل تسوية زيادة","سجّل تسوية نقص")))</f>
        <v/>
      </c>
      <c r="H37" s="29"/>
    </row>
    <row r="38" customFormat="false" ht="15" hidden="false" customHeight="false" outlineLevel="0" collapsed="false">
      <c r="A38" s="32"/>
      <c r="B38" s="29"/>
      <c r="C38" s="28" t="str">
        <f aca="false">IF($B38="","",IFERROR(INDEX('المواد الخام'!$B$5:$B$104,MATCH($B38,'المواد الخام'!$A$5:$A$104,0)),IFERROR(INDEX(المنتجات!$C$5:$C$24,MATCH($B38,المنتجات!$A$5:$A$24,0)),"كود غير موجود")))</f>
        <v/>
      </c>
      <c r="D38" s="27" t="str">
        <f aca="false">IF($B38="","",IFERROR(INDEX('المواد الخام'!$L$5:$L$104,MATCH($B38,'المواد الخام'!$A$5:$A$104,0)),IFERROR(INDEX(المنتجات!$P$5:$P$24,MATCH($B38,المنتجات!$A$5:$A$24,0)),0)))</f>
        <v/>
      </c>
      <c r="E38" s="24"/>
      <c r="F38" s="27" t="str">
        <f aca="false">IF(OR($B38="",E38=""),"",E38-D38)</f>
        <v/>
      </c>
      <c r="G38" s="28" t="str">
        <f aca="false">IF(F38="","",IF(F38=0,"مطابق",IF(F38&gt;0,"سجّل تسوية زيادة","سجّل تسوية نقص")))</f>
        <v/>
      </c>
      <c r="H38" s="29"/>
    </row>
    <row r="39" customFormat="false" ht="15" hidden="false" customHeight="false" outlineLevel="0" collapsed="false">
      <c r="A39" s="32"/>
      <c r="B39" s="29"/>
      <c r="C39" s="28" t="str">
        <f aca="false">IF($B39="","",IFERROR(INDEX('المواد الخام'!$B$5:$B$104,MATCH($B39,'المواد الخام'!$A$5:$A$104,0)),IFERROR(INDEX(المنتجات!$C$5:$C$24,MATCH($B39,المنتجات!$A$5:$A$24,0)),"كود غير موجود")))</f>
        <v/>
      </c>
      <c r="D39" s="27" t="str">
        <f aca="false">IF($B39="","",IFERROR(INDEX('المواد الخام'!$L$5:$L$104,MATCH($B39,'المواد الخام'!$A$5:$A$104,0)),IFERROR(INDEX(المنتجات!$P$5:$P$24,MATCH($B39,المنتجات!$A$5:$A$24,0)),0)))</f>
        <v/>
      </c>
      <c r="E39" s="24"/>
      <c r="F39" s="27" t="str">
        <f aca="false">IF(OR($B39="",E39=""),"",E39-D39)</f>
        <v/>
      </c>
      <c r="G39" s="28" t="str">
        <f aca="false">IF(F39="","",IF(F39=0,"مطابق",IF(F39&gt;0,"سجّل تسوية زيادة","سجّل تسوية نقص")))</f>
        <v/>
      </c>
      <c r="H39" s="29"/>
    </row>
    <row r="40" customFormat="false" ht="15" hidden="false" customHeight="false" outlineLevel="0" collapsed="false">
      <c r="A40" s="32"/>
      <c r="B40" s="29"/>
      <c r="C40" s="28" t="str">
        <f aca="false">IF($B40="","",IFERROR(INDEX('المواد الخام'!$B$5:$B$104,MATCH($B40,'المواد الخام'!$A$5:$A$104,0)),IFERROR(INDEX(المنتجات!$C$5:$C$24,MATCH($B40,المنتجات!$A$5:$A$24,0)),"كود غير موجود")))</f>
        <v/>
      </c>
      <c r="D40" s="27" t="str">
        <f aca="false">IF($B40="","",IFERROR(INDEX('المواد الخام'!$L$5:$L$104,MATCH($B40,'المواد الخام'!$A$5:$A$104,0)),IFERROR(INDEX(المنتجات!$P$5:$P$24,MATCH($B40,المنتجات!$A$5:$A$24,0)),0)))</f>
        <v/>
      </c>
      <c r="E40" s="24"/>
      <c r="F40" s="27" t="str">
        <f aca="false">IF(OR($B40="",E40=""),"",E40-D40)</f>
        <v/>
      </c>
      <c r="G40" s="28" t="str">
        <f aca="false">IF(F40="","",IF(F40=0,"مطابق",IF(F40&gt;0,"سجّل تسوية زيادة","سجّل تسوية نقص")))</f>
        <v/>
      </c>
      <c r="H40" s="29"/>
    </row>
    <row r="41" customFormat="false" ht="15" hidden="false" customHeight="false" outlineLevel="0" collapsed="false">
      <c r="A41" s="32"/>
      <c r="B41" s="29"/>
      <c r="C41" s="28" t="str">
        <f aca="false">IF($B41="","",IFERROR(INDEX('المواد الخام'!$B$5:$B$104,MATCH($B41,'المواد الخام'!$A$5:$A$104,0)),IFERROR(INDEX(المنتجات!$C$5:$C$24,MATCH($B41,المنتجات!$A$5:$A$24,0)),"كود غير موجود")))</f>
        <v/>
      </c>
      <c r="D41" s="27" t="str">
        <f aca="false">IF($B41="","",IFERROR(INDEX('المواد الخام'!$L$5:$L$104,MATCH($B41,'المواد الخام'!$A$5:$A$104,0)),IFERROR(INDEX(المنتجات!$P$5:$P$24,MATCH($B41,المنتجات!$A$5:$A$24,0)),0)))</f>
        <v/>
      </c>
      <c r="E41" s="24"/>
      <c r="F41" s="27" t="str">
        <f aca="false">IF(OR($B41="",E41=""),"",E41-D41)</f>
        <v/>
      </c>
      <c r="G41" s="28" t="str">
        <f aca="false">IF(F41="","",IF(F41=0,"مطابق",IF(F41&gt;0,"سجّل تسوية زيادة","سجّل تسوية نقص")))</f>
        <v/>
      </c>
      <c r="H41" s="29"/>
    </row>
    <row r="42" customFormat="false" ht="15" hidden="false" customHeight="false" outlineLevel="0" collapsed="false">
      <c r="A42" s="32"/>
      <c r="B42" s="29"/>
      <c r="C42" s="28" t="str">
        <f aca="false">IF($B42="","",IFERROR(INDEX('المواد الخام'!$B$5:$B$104,MATCH($B42,'المواد الخام'!$A$5:$A$104,0)),IFERROR(INDEX(المنتجات!$C$5:$C$24,MATCH($B42,المنتجات!$A$5:$A$24,0)),"كود غير موجود")))</f>
        <v/>
      </c>
      <c r="D42" s="27" t="str">
        <f aca="false">IF($B42="","",IFERROR(INDEX('المواد الخام'!$L$5:$L$104,MATCH($B42,'المواد الخام'!$A$5:$A$104,0)),IFERROR(INDEX(المنتجات!$P$5:$P$24,MATCH($B42,المنتجات!$A$5:$A$24,0)),0)))</f>
        <v/>
      </c>
      <c r="E42" s="24"/>
      <c r="F42" s="27" t="str">
        <f aca="false">IF(OR($B42="",E42=""),"",E42-D42)</f>
        <v/>
      </c>
      <c r="G42" s="28" t="str">
        <f aca="false">IF(F42="","",IF(F42=0,"مطابق",IF(F42&gt;0,"سجّل تسوية زيادة","سجّل تسوية نقص")))</f>
        <v/>
      </c>
      <c r="H42" s="29"/>
    </row>
    <row r="43" customFormat="false" ht="15" hidden="false" customHeight="false" outlineLevel="0" collapsed="false">
      <c r="A43" s="32"/>
      <c r="B43" s="29"/>
      <c r="C43" s="28" t="str">
        <f aca="false">IF($B43="","",IFERROR(INDEX('المواد الخام'!$B$5:$B$104,MATCH($B43,'المواد الخام'!$A$5:$A$104,0)),IFERROR(INDEX(المنتجات!$C$5:$C$24,MATCH($B43,المنتجات!$A$5:$A$24,0)),"كود غير موجود")))</f>
        <v/>
      </c>
      <c r="D43" s="27" t="str">
        <f aca="false">IF($B43="","",IFERROR(INDEX('المواد الخام'!$L$5:$L$104,MATCH($B43,'المواد الخام'!$A$5:$A$104,0)),IFERROR(INDEX(المنتجات!$P$5:$P$24,MATCH($B43,المنتجات!$A$5:$A$24,0)),0)))</f>
        <v/>
      </c>
      <c r="E43" s="24"/>
      <c r="F43" s="27" t="str">
        <f aca="false">IF(OR($B43="",E43=""),"",E43-D43)</f>
        <v/>
      </c>
      <c r="G43" s="28" t="str">
        <f aca="false">IF(F43="","",IF(F43=0,"مطابق",IF(F43&gt;0,"سجّل تسوية زيادة","سجّل تسوية نقص")))</f>
        <v/>
      </c>
      <c r="H43" s="29"/>
    </row>
    <row r="44" customFormat="false" ht="15" hidden="false" customHeight="false" outlineLevel="0" collapsed="false">
      <c r="A44" s="32"/>
      <c r="B44" s="29"/>
      <c r="C44" s="28" t="str">
        <f aca="false">IF($B44="","",IFERROR(INDEX('المواد الخام'!$B$5:$B$104,MATCH($B44,'المواد الخام'!$A$5:$A$104,0)),IFERROR(INDEX(المنتجات!$C$5:$C$24,MATCH($B44,المنتجات!$A$5:$A$24,0)),"كود غير موجود")))</f>
        <v/>
      </c>
      <c r="D44" s="27" t="str">
        <f aca="false">IF($B44="","",IFERROR(INDEX('المواد الخام'!$L$5:$L$104,MATCH($B44,'المواد الخام'!$A$5:$A$104,0)),IFERROR(INDEX(المنتجات!$P$5:$P$24,MATCH($B44,المنتجات!$A$5:$A$24,0)),0)))</f>
        <v/>
      </c>
      <c r="E44" s="24"/>
      <c r="F44" s="27" t="str">
        <f aca="false">IF(OR($B44="",E44=""),"",E44-D44)</f>
        <v/>
      </c>
      <c r="G44" s="28" t="str">
        <f aca="false">IF(F44="","",IF(F44=0,"مطابق",IF(F44&gt;0,"سجّل تسوية زيادة","سجّل تسوية نقص")))</f>
        <v/>
      </c>
      <c r="H44" s="29"/>
    </row>
    <row r="45" customFormat="false" ht="15" hidden="false" customHeight="false" outlineLevel="0" collapsed="false">
      <c r="A45" s="32"/>
      <c r="B45" s="29"/>
      <c r="C45" s="28" t="str">
        <f aca="false">IF($B45="","",IFERROR(INDEX('المواد الخام'!$B$5:$B$104,MATCH($B45,'المواد الخام'!$A$5:$A$104,0)),IFERROR(INDEX(المنتجات!$C$5:$C$24,MATCH($B45,المنتجات!$A$5:$A$24,0)),"كود غير موجود")))</f>
        <v/>
      </c>
      <c r="D45" s="27" t="str">
        <f aca="false">IF($B45="","",IFERROR(INDEX('المواد الخام'!$L$5:$L$104,MATCH($B45,'المواد الخام'!$A$5:$A$104,0)),IFERROR(INDEX(المنتجات!$P$5:$P$24,MATCH($B45,المنتجات!$A$5:$A$24,0)),0)))</f>
        <v/>
      </c>
      <c r="E45" s="24"/>
      <c r="F45" s="27" t="str">
        <f aca="false">IF(OR($B45="",E45=""),"",E45-D45)</f>
        <v/>
      </c>
      <c r="G45" s="28" t="str">
        <f aca="false">IF(F45="","",IF(F45=0,"مطابق",IF(F45&gt;0,"سجّل تسوية زيادة","سجّل تسوية نقص")))</f>
        <v/>
      </c>
      <c r="H45" s="29"/>
    </row>
    <row r="46" customFormat="false" ht="15" hidden="false" customHeight="false" outlineLevel="0" collapsed="false">
      <c r="A46" s="32"/>
      <c r="B46" s="29"/>
      <c r="C46" s="28" t="str">
        <f aca="false">IF($B46="","",IFERROR(INDEX('المواد الخام'!$B$5:$B$104,MATCH($B46,'المواد الخام'!$A$5:$A$104,0)),IFERROR(INDEX(المنتجات!$C$5:$C$24,MATCH($B46,المنتجات!$A$5:$A$24,0)),"كود غير موجود")))</f>
        <v/>
      </c>
      <c r="D46" s="27" t="str">
        <f aca="false">IF($B46="","",IFERROR(INDEX('المواد الخام'!$L$5:$L$104,MATCH($B46,'المواد الخام'!$A$5:$A$104,0)),IFERROR(INDEX(المنتجات!$P$5:$P$24,MATCH($B46,المنتجات!$A$5:$A$24,0)),0)))</f>
        <v/>
      </c>
      <c r="E46" s="24"/>
      <c r="F46" s="27" t="str">
        <f aca="false">IF(OR($B46="",E46=""),"",E46-D46)</f>
        <v/>
      </c>
      <c r="G46" s="28" t="str">
        <f aca="false">IF(F46="","",IF(F46=0,"مطابق",IF(F46&gt;0,"سجّل تسوية زيادة","سجّل تسوية نقص")))</f>
        <v/>
      </c>
      <c r="H46" s="29"/>
    </row>
    <row r="47" customFormat="false" ht="15" hidden="false" customHeight="false" outlineLevel="0" collapsed="false">
      <c r="A47" s="32"/>
      <c r="B47" s="29"/>
      <c r="C47" s="28" t="str">
        <f aca="false">IF($B47="","",IFERROR(INDEX('المواد الخام'!$B$5:$B$104,MATCH($B47,'المواد الخام'!$A$5:$A$104,0)),IFERROR(INDEX(المنتجات!$C$5:$C$24,MATCH($B47,المنتجات!$A$5:$A$24,0)),"كود غير موجود")))</f>
        <v/>
      </c>
      <c r="D47" s="27" t="str">
        <f aca="false">IF($B47="","",IFERROR(INDEX('المواد الخام'!$L$5:$L$104,MATCH($B47,'المواد الخام'!$A$5:$A$104,0)),IFERROR(INDEX(المنتجات!$P$5:$P$24,MATCH($B47,المنتجات!$A$5:$A$24,0)),0)))</f>
        <v/>
      </c>
      <c r="E47" s="24"/>
      <c r="F47" s="27" t="str">
        <f aca="false">IF(OR($B47="",E47=""),"",E47-D47)</f>
        <v/>
      </c>
      <c r="G47" s="28" t="str">
        <f aca="false">IF(F47="","",IF(F47=0,"مطابق",IF(F47&gt;0,"سجّل تسوية زيادة","سجّل تسوية نقص")))</f>
        <v/>
      </c>
      <c r="H47" s="29"/>
    </row>
    <row r="48" customFormat="false" ht="15" hidden="false" customHeight="false" outlineLevel="0" collapsed="false">
      <c r="A48" s="32"/>
      <c r="B48" s="29"/>
      <c r="C48" s="28" t="str">
        <f aca="false">IF($B48="","",IFERROR(INDEX('المواد الخام'!$B$5:$B$104,MATCH($B48,'المواد الخام'!$A$5:$A$104,0)),IFERROR(INDEX(المنتجات!$C$5:$C$24,MATCH($B48,المنتجات!$A$5:$A$24,0)),"كود غير موجود")))</f>
        <v/>
      </c>
      <c r="D48" s="27" t="str">
        <f aca="false">IF($B48="","",IFERROR(INDEX('المواد الخام'!$L$5:$L$104,MATCH($B48,'المواد الخام'!$A$5:$A$104,0)),IFERROR(INDEX(المنتجات!$P$5:$P$24,MATCH($B48,المنتجات!$A$5:$A$24,0)),0)))</f>
        <v/>
      </c>
      <c r="E48" s="24"/>
      <c r="F48" s="27" t="str">
        <f aca="false">IF(OR($B48="",E48=""),"",E48-D48)</f>
        <v/>
      </c>
      <c r="G48" s="28" t="str">
        <f aca="false">IF(F48="","",IF(F48=0,"مطابق",IF(F48&gt;0,"سجّل تسوية زيادة","سجّل تسوية نقص")))</f>
        <v/>
      </c>
      <c r="H48" s="29"/>
    </row>
    <row r="49" customFormat="false" ht="15" hidden="false" customHeight="false" outlineLevel="0" collapsed="false">
      <c r="A49" s="32"/>
      <c r="B49" s="29"/>
      <c r="C49" s="28" t="str">
        <f aca="false">IF($B49="","",IFERROR(INDEX('المواد الخام'!$B$5:$B$104,MATCH($B49,'المواد الخام'!$A$5:$A$104,0)),IFERROR(INDEX(المنتجات!$C$5:$C$24,MATCH($B49,المنتجات!$A$5:$A$24,0)),"كود غير موجود")))</f>
        <v/>
      </c>
      <c r="D49" s="27" t="str">
        <f aca="false">IF($B49="","",IFERROR(INDEX('المواد الخام'!$L$5:$L$104,MATCH($B49,'المواد الخام'!$A$5:$A$104,0)),IFERROR(INDEX(المنتجات!$P$5:$P$24,MATCH($B49,المنتجات!$A$5:$A$24,0)),0)))</f>
        <v/>
      </c>
      <c r="E49" s="24"/>
      <c r="F49" s="27" t="str">
        <f aca="false">IF(OR($B49="",E49=""),"",E49-D49)</f>
        <v/>
      </c>
      <c r="G49" s="28" t="str">
        <f aca="false">IF(F49="","",IF(F49=0,"مطابق",IF(F49&gt;0,"سجّل تسوية زيادة","سجّل تسوية نقص")))</f>
        <v/>
      </c>
      <c r="H49" s="29"/>
    </row>
    <row r="50" customFormat="false" ht="15" hidden="false" customHeight="false" outlineLevel="0" collapsed="false">
      <c r="A50" s="32"/>
      <c r="B50" s="29"/>
      <c r="C50" s="28" t="str">
        <f aca="false">IF($B50="","",IFERROR(INDEX('المواد الخام'!$B$5:$B$104,MATCH($B50,'المواد الخام'!$A$5:$A$104,0)),IFERROR(INDEX(المنتجات!$C$5:$C$24,MATCH($B50,المنتجات!$A$5:$A$24,0)),"كود غير موجود")))</f>
        <v/>
      </c>
      <c r="D50" s="27" t="str">
        <f aca="false">IF($B50="","",IFERROR(INDEX('المواد الخام'!$L$5:$L$104,MATCH($B50,'المواد الخام'!$A$5:$A$104,0)),IFERROR(INDEX(المنتجات!$P$5:$P$24,MATCH($B50,المنتجات!$A$5:$A$24,0)),0)))</f>
        <v/>
      </c>
      <c r="E50" s="24"/>
      <c r="F50" s="27" t="str">
        <f aca="false">IF(OR($B50="",E50=""),"",E50-D50)</f>
        <v/>
      </c>
      <c r="G50" s="28" t="str">
        <f aca="false">IF(F50="","",IF(F50=0,"مطابق",IF(F50&gt;0,"سجّل تسوية زيادة","سجّل تسوية نقص")))</f>
        <v/>
      </c>
      <c r="H50" s="29"/>
    </row>
    <row r="51" customFormat="false" ht="15" hidden="false" customHeight="false" outlineLevel="0" collapsed="false">
      <c r="A51" s="32"/>
      <c r="B51" s="29"/>
      <c r="C51" s="28" t="str">
        <f aca="false">IF($B51="","",IFERROR(INDEX('المواد الخام'!$B$5:$B$104,MATCH($B51,'المواد الخام'!$A$5:$A$104,0)),IFERROR(INDEX(المنتجات!$C$5:$C$24,MATCH($B51,المنتجات!$A$5:$A$24,0)),"كود غير موجود")))</f>
        <v/>
      </c>
      <c r="D51" s="27" t="str">
        <f aca="false">IF($B51="","",IFERROR(INDEX('المواد الخام'!$L$5:$L$104,MATCH($B51,'المواد الخام'!$A$5:$A$104,0)),IFERROR(INDEX(المنتجات!$P$5:$P$24,MATCH($B51,المنتجات!$A$5:$A$24,0)),0)))</f>
        <v/>
      </c>
      <c r="E51" s="24"/>
      <c r="F51" s="27" t="str">
        <f aca="false">IF(OR($B51="",E51=""),"",E51-D51)</f>
        <v/>
      </c>
      <c r="G51" s="28" t="str">
        <f aca="false">IF(F51="","",IF(F51=0,"مطابق",IF(F51&gt;0,"سجّل تسوية زيادة","سجّل تسوية نقص")))</f>
        <v/>
      </c>
      <c r="H51" s="29"/>
    </row>
    <row r="52" customFormat="false" ht="15" hidden="false" customHeight="false" outlineLevel="0" collapsed="false">
      <c r="A52" s="32"/>
      <c r="B52" s="29"/>
      <c r="C52" s="28" t="str">
        <f aca="false">IF($B52="","",IFERROR(INDEX('المواد الخام'!$B$5:$B$104,MATCH($B52,'المواد الخام'!$A$5:$A$104,0)),IFERROR(INDEX(المنتجات!$C$5:$C$24,MATCH($B52,المنتجات!$A$5:$A$24,0)),"كود غير موجود")))</f>
        <v/>
      </c>
      <c r="D52" s="27" t="str">
        <f aca="false">IF($B52="","",IFERROR(INDEX('المواد الخام'!$L$5:$L$104,MATCH($B52,'المواد الخام'!$A$5:$A$104,0)),IFERROR(INDEX(المنتجات!$P$5:$P$24,MATCH($B52,المنتجات!$A$5:$A$24,0)),0)))</f>
        <v/>
      </c>
      <c r="E52" s="24"/>
      <c r="F52" s="27" t="str">
        <f aca="false">IF(OR($B52="",E52=""),"",E52-D52)</f>
        <v/>
      </c>
      <c r="G52" s="28" t="str">
        <f aca="false">IF(F52="","",IF(F52=0,"مطابق",IF(F52&gt;0,"سجّل تسوية زيادة","سجّل تسوية نقص")))</f>
        <v/>
      </c>
      <c r="H52" s="29"/>
    </row>
    <row r="53" customFormat="false" ht="15" hidden="false" customHeight="false" outlineLevel="0" collapsed="false">
      <c r="A53" s="32"/>
      <c r="B53" s="29"/>
      <c r="C53" s="28" t="str">
        <f aca="false">IF($B53="","",IFERROR(INDEX('المواد الخام'!$B$5:$B$104,MATCH($B53,'المواد الخام'!$A$5:$A$104,0)),IFERROR(INDEX(المنتجات!$C$5:$C$24,MATCH($B53,المنتجات!$A$5:$A$24,0)),"كود غير موجود")))</f>
        <v/>
      </c>
      <c r="D53" s="27" t="str">
        <f aca="false">IF($B53="","",IFERROR(INDEX('المواد الخام'!$L$5:$L$104,MATCH($B53,'المواد الخام'!$A$5:$A$104,0)),IFERROR(INDEX(المنتجات!$P$5:$P$24,MATCH($B53,المنتجات!$A$5:$A$24,0)),0)))</f>
        <v/>
      </c>
      <c r="E53" s="24"/>
      <c r="F53" s="27" t="str">
        <f aca="false">IF(OR($B53="",E53=""),"",E53-D53)</f>
        <v/>
      </c>
      <c r="G53" s="28" t="str">
        <f aca="false">IF(F53="","",IF(F53=0,"مطابق",IF(F53&gt;0,"سجّل تسوية زيادة","سجّل تسوية نقص")))</f>
        <v/>
      </c>
      <c r="H53" s="29"/>
    </row>
    <row r="54" customFormat="false" ht="15" hidden="false" customHeight="false" outlineLevel="0" collapsed="false">
      <c r="A54" s="32"/>
      <c r="B54" s="29"/>
      <c r="C54" s="28" t="str">
        <f aca="false">IF($B54="","",IFERROR(INDEX('المواد الخام'!$B$5:$B$104,MATCH($B54,'المواد الخام'!$A$5:$A$104,0)),IFERROR(INDEX(المنتجات!$C$5:$C$24,MATCH($B54,المنتجات!$A$5:$A$24,0)),"كود غير موجود")))</f>
        <v/>
      </c>
      <c r="D54" s="27" t="str">
        <f aca="false">IF($B54="","",IFERROR(INDEX('المواد الخام'!$L$5:$L$104,MATCH($B54,'المواد الخام'!$A$5:$A$104,0)),IFERROR(INDEX(المنتجات!$P$5:$P$24,MATCH($B54,المنتجات!$A$5:$A$24,0)),0)))</f>
        <v/>
      </c>
      <c r="E54" s="24"/>
      <c r="F54" s="27" t="str">
        <f aca="false">IF(OR($B54="",E54=""),"",E54-D54)</f>
        <v/>
      </c>
      <c r="G54" s="28" t="str">
        <f aca="false">IF(F54="","",IF(F54=0,"مطابق",IF(F54&gt;0,"سجّل تسوية زيادة","سجّل تسوية نقص")))</f>
        <v/>
      </c>
      <c r="H54" s="29"/>
    </row>
    <row r="55" customFormat="false" ht="15" hidden="false" customHeight="false" outlineLevel="0" collapsed="false">
      <c r="A55" s="32"/>
      <c r="B55" s="29"/>
      <c r="C55" s="28" t="str">
        <f aca="false">IF($B55="","",IFERROR(INDEX('المواد الخام'!$B$5:$B$104,MATCH($B55,'المواد الخام'!$A$5:$A$104,0)),IFERROR(INDEX(المنتجات!$C$5:$C$24,MATCH($B55,المنتجات!$A$5:$A$24,0)),"كود غير موجود")))</f>
        <v/>
      </c>
      <c r="D55" s="27" t="str">
        <f aca="false">IF($B55="","",IFERROR(INDEX('المواد الخام'!$L$5:$L$104,MATCH($B55,'المواد الخام'!$A$5:$A$104,0)),IFERROR(INDEX(المنتجات!$P$5:$P$24,MATCH($B55,المنتجات!$A$5:$A$24,0)),0)))</f>
        <v/>
      </c>
      <c r="E55" s="24"/>
      <c r="F55" s="27" t="str">
        <f aca="false">IF(OR($B55="",E55=""),"",E55-D55)</f>
        <v/>
      </c>
      <c r="G55" s="28" t="str">
        <f aca="false">IF(F55="","",IF(F55=0,"مطابق",IF(F55&gt;0,"سجّل تسوية زيادة","سجّل تسوية نقص")))</f>
        <v/>
      </c>
      <c r="H55" s="29"/>
    </row>
    <row r="56" customFormat="false" ht="15" hidden="false" customHeight="false" outlineLevel="0" collapsed="false">
      <c r="A56" s="32"/>
      <c r="B56" s="29"/>
      <c r="C56" s="28" t="str">
        <f aca="false">IF($B56="","",IFERROR(INDEX('المواد الخام'!$B$5:$B$104,MATCH($B56,'المواد الخام'!$A$5:$A$104,0)),IFERROR(INDEX(المنتجات!$C$5:$C$24,MATCH($B56,المنتجات!$A$5:$A$24,0)),"كود غير موجود")))</f>
        <v/>
      </c>
      <c r="D56" s="27" t="str">
        <f aca="false">IF($B56="","",IFERROR(INDEX('المواد الخام'!$L$5:$L$104,MATCH($B56,'المواد الخام'!$A$5:$A$104,0)),IFERROR(INDEX(المنتجات!$P$5:$P$24,MATCH($B56,المنتجات!$A$5:$A$24,0)),0)))</f>
        <v/>
      </c>
      <c r="E56" s="24"/>
      <c r="F56" s="27" t="str">
        <f aca="false">IF(OR($B56="",E56=""),"",E56-D56)</f>
        <v/>
      </c>
      <c r="G56" s="28" t="str">
        <f aca="false">IF(F56="","",IF(F56=0,"مطابق",IF(F56&gt;0,"سجّل تسوية زيادة","سجّل تسوية نقص")))</f>
        <v/>
      </c>
      <c r="H56" s="29"/>
    </row>
    <row r="57" customFormat="false" ht="15" hidden="false" customHeight="false" outlineLevel="0" collapsed="false">
      <c r="A57" s="32"/>
      <c r="B57" s="29"/>
      <c r="C57" s="28" t="str">
        <f aca="false">IF($B57="","",IFERROR(INDEX('المواد الخام'!$B$5:$B$104,MATCH($B57,'المواد الخام'!$A$5:$A$104,0)),IFERROR(INDEX(المنتجات!$C$5:$C$24,MATCH($B57,المنتجات!$A$5:$A$24,0)),"كود غير موجود")))</f>
        <v/>
      </c>
      <c r="D57" s="27" t="str">
        <f aca="false">IF($B57="","",IFERROR(INDEX('المواد الخام'!$L$5:$L$104,MATCH($B57,'المواد الخام'!$A$5:$A$104,0)),IFERROR(INDEX(المنتجات!$P$5:$P$24,MATCH($B57,المنتجات!$A$5:$A$24,0)),0)))</f>
        <v/>
      </c>
      <c r="E57" s="24"/>
      <c r="F57" s="27" t="str">
        <f aca="false">IF(OR($B57="",E57=""),"",E57-D57)</f>
        <v/>
      </c>
      <c r="G57" s="28" t="str">
        <f aca="false">IF(F57="","",IF(F57=0,"مطابق",IF(F57&gt;0,"سجّل تسوية زيادة","سجّل تسوية نقص")))</f>
        <v/>
      </c>
      <c r="H57" s="29"/>
    </row>
    <row r="58" customFormat="false" ht="15" hidden="false" customHeight="false" outlineLevel="0" collapsed="false">
      <c r="A58" s="32"/>
      <c r="B58" s="29"/>
      <c r="C58" s="28" t="str">
        <f aca="false">IF($B58="","",IFERROR(INDEX('المواد الخام'!$B$5:$B$104,MATCH($B58,'المواد الخام'!$A$5:$A$104,0)),IFERROR(INDEX(المنتجات!$C$5:$C$24,MATCH($B58,المنتجات!$A$5:$A$24,0)),"كود غير موجود")))</f>
        <v/>
      </c>
      <c r="D58" s="27" t="str">
        <f aca="false">IF($B58="","",IFERROR(INDEX('المواد الخام'!$L$5:$L$104,MATCH($B58,'المواد الخام'!$A$5:$A$104,0)),IFERROR(INDEX(المنتجات!$P$5:$P$24,MATCH($B58,المنتجات!$A$5:$A$24,0)),0)))</f>
        <v/>
      </c>
      <c r="E58" s="24"/>
      <c r="F58" s="27" t="str">
        <f aca="false">IF(OR($B58="",E58=""),"",E58-D58)</f>
        <v/>
      </c>
      <c r="G58" s="28" t="str">
        <f aca="false">IF(F58="","",IF(F58=0,"مطابق",IF(F58&gt;0,"سجّل تسوية زيادة","سجّل تسوية نقص")))</f>
        <v/>
      </c>
      <c r="H58" s="29"/>
    </row>
    <row r="59" customFormat="false" ht="15" hidden="false" customHeight="false" outlineLevel="0" collapsed="false">
      <c r="A59" s="32"/>
      <c r="B59" s="29"/>
      <c r="C59" s="28" t="str">
        <f aca="false">IF($B59="","",IFERROR(INDEX('المواد الخام'!$B$5:$B$104,MATCH($B59,'المواد الخام'!$A$5:$A$104,0)),IFERROR(INDEX(المنتجات!$C$5:$C$24,MATCH($B59,المنتجات!$A$5:$A$24,0)),"كود غير موجود")))</f>
        <v/>
      </c>
      <c r="D59" s="27" t="str">
        <f aca="false">IF($B59="","",IFERROR(INDEX('المواد الخام'!$L$5:$L$104,MATCH($B59,'المواد الخام'!$A$5:$A$104,0)),IFERROR(INDEX(المنتجات!$P$5:$P$24,MATCH($B59,المنتجات!$A$5:$A$24,0)),0)))</f>
        <v/>
      </c>
      <c r="E59" s="24"/>
      <c r="F59" s="27" t="str">
        <f aca="false">IF(OR($B59="",E59=""),"",E59-D59)</f>
        <v/>
      </c>
      <c r="G59" s="28" t="str">
        <f aca="false">IF(F59="","",IF(F59=0,"مطابق",IF(F59&gt;0,"سجّل تسوية زيادة","سجّل تسوية نقص")))</f>
        <v/>
      </c>
      <c r="H59" s="29"/>
    </row>
    <row r="60" customFormat="false" ht="15" hidden="false" customHeight="false" outlineLevel="0" collapsed="false">
      <c r="A60" s="32"/>
      <c r="B60" s="29"/>
      <c r="C60" s="28" t="str">
        <f aca="false">IF($B60="","",IFERROR(INDEX('المواد الخام'!$B$5:$B$104,MATCH($B60,'المواد الخام'!$A$5:$A$104,0)),IFERROR(INDEX(المنتجات!$C$5:$C$24,MATCH($B60,المنتجات!$A$5:$A$24,0)),"كود غير موجود")))</f>
        <v/>
      </c>
      <c r="D60" s="27" t="str">
        <f aca="false">IF($B60="","",IFERROR(INDEX('المواد الخام'!$L$5:$L$104,MATCH($B60,'المواد الخام'!$A$5:$A$104,0)),IFERROR(INDEX(المنتجات!$P$5:$P$24,MATCH($B60,المنتجات!$A$5:$A$24,0)),0)))</f>
        <v/>
      </c>
      <c r="E60" s="24"/>
      <c r="F60" s="27" t="str">
        <f aca="false">IF(OR($B60="",E60=""),"",E60-D60)</f>
        <v/>
      </c>
      <c r="G60" s="28" t="str">
        <f aca="false">IF(F60="","",IF(F60=0,"مطابق",IF(F60&gt;0,"سجّل تسوية زيادة","سجّل تسوية نقص")))</f>
        <v/>
      </c>
      <c r="H60" s="29"/>
    </row>
    <row r="61" customFormat="false" ht="15" hidden="false" customHeight="false" outlineLevel="0" collapsed="false">
      <c r="A61" s="32"/>
      <c r="B61" s="29"/>
      <c r="C61" s="28" t="str">
        <f aca="false">IF($B61="","",IFERROR(INDEX('المواد الخام'!$B$5:$B$104,MATCH($B61,'المواد الخام'!$A$5:$A$104,0)),IFERROR(INDEX(المنتجات!$C$5:$C$24,MATCH($B61,المنتجات!$A$5:$A$24,0)),"كود غير موجود")))</f>
        <v/>
      </c>
      <c r="D61" s="27" t="str">
        <f aca="false">IF($B61="","",IFERROR(INDEX('المواد الخام'!$L$5:$L$104,MATCH($B61,'المواد الخام'!$A$5:$A$104,0)),IFERROR(INDEX(المنتجات!$P$5:$P$24,MATCH($B61,المنتجات!$A$5:$A$24,0)),0)))</f>
        <v/>
      </c>
      <c r="E61" s="24"/>
      <c r="F61" s="27" t="str">
        <f aca="false">IF(OR($B61="",E61=""),"",E61-D61)</f>
        <v/>
      </c>
      <c r="G61" s="28" t="str">
        <f aca="false">IF(F61="","",IF(F61=0,"مطابق",IF(F61&gt;0,"سجّل تسوية زيادة","سجّل تسوية نقص")))</f>
        <v/>
      </c>
      <c r="H61" s="29"/>
    </row>
    <row r="62" customFormat="false" ht="15" hidden="false" customHeight="false" outlineLevel="0" collapsed="false">
      <c r="A62" s="32"/>
      <c r="B62" s="29"/>
      <c r="C62" s="28" t="str">
        <f aca="false">IF($B62="","",IFERROR(INDEX('المواد الخام'!$B$5:$B$104,MATCH($B62,'المواد الخام'!$A$5:$A$104,0)),IFERROR(INDEX(المنتجات!$C$5:$C$24,MATCH($B62,المنتجات!$A$5:$A$24,0)),"كود غير موجود")))</f>
        <v/>
      </c>
      <c r="D62" s="27" t="str">
        <f aca="false">IF($B62="","",IFERROR(INDEX('المواد الخام'!$L$5:$L$104,MATCH($B62,'المواد الخام'!$A$5:$A$104,0)),IFERROR(INDEX(المنتجات!$P$5:$P$24,MATCH($B62,المنتجات!$A$5:$A$24,0)),0)))</f>
        <v/>
      </c>
      <c r="E62" s="24"/>
      <c r="F62" s="27" t="str">
        <f aca="false">IF(OR($B62="",E62=""),"",E62-D62)</f>
        <v/>
      </c>
      <c r="G62" s="28" t="str">
        <f aca="false">IF(F62="","",IF(F62=0,"مطابق",IF(F62&gt;0,"سجّل تسوية زيادة","سجّل تسوية نقص")))</f>
        <v/>
      </c>
      <c r="H62" s="29"/>
    </row>
    <row r="63" customFormat="false" ht="15" hidden="false" customHeight="false" outlineLevel="0" collapsed="false">
      <c r="A63" s="32"/>
      <c r="B63" s="29"/>
      <c r="C63" s="28" t="str">
        <f aca="false">IF($B63="","",IFERROR(INDEX('المواد الخام'!$B$5:$B$104,MATCH($B63,'المواد الخام'!$A$5:$A$104,0)),IFERROR(INDEX(المنتجات!$C$5:$C$24,MATCH($B63,المنتجات!$A$5:$A$24,0)),"كود غير موجود")))</f>
        <v/>
      </c>
      <c r="D63" s="27" t="str">
        <f aca="false">IF($B63="","",IFERROR(INDEX('المواد الخام'!$L$5:$L$104,MATCH($B63,'المواد الخام'!$A$5:$A$104,0)),IFERROR(INDEX(المنتجات!$P$5:$P$24,MATCH($B63,المنتجات!$A$5:$A$24,0)),0)))</f>
        <v/>
      </c>
      <c r="E63" s="24"/>
      <c r="F63" s="27" t="str">
        <f aca="false">IF(OR($B63="",E63=""),"",E63-D63)</f>
        <v/>
      </c>
      <c r="G63" s="28" t="str">
        <f aca="false">IF(F63="","",IF(F63=0,"مطابق",IF(F63&gt;0,"سجّل تسوية زيادة","سجّل تسوية نقص")))</f>
        <v/>
      </c>
      <c r="H63" s="29"/>
    </row>
    <row r="64" customFormat="false" ht="15" hidden="false" customHeight="false" outlineLevel="0" collapsed="false">
      <c r="A64" s="32"/>
      <c r="B64" s="29"/>
      <c r="C64" s="28" t="str">
        <f aca="false">IF($B64="","",IFERROR(INDEX('المواد الخام'!$B$5:$B$104,MATCH($B64,'المواد الخام'!$A$5:$A$104,0)),IFERROR(INDEX(المنتجات!$C$5:$C$24,MATCH($B64,المنتجات!$A$5:$A$24,0)),"كود غير موجود")))</f>
        <v/>
      </c>
      <c r="D64" s="27" t="str">
        <f aca="false">IF($B64="","",IFERROR(INDEX('المواد الخام'!$L$5:$L$104,MATCH($B64,'المواد الخام'!$A$5:$A$104,0)),IFERROR(INDEX(المنتجات!$P$5:$P$24,MATCH($B64,المنتجات!$A$5:$A$24,0)),0)))</f>
        <v/>
      </c>
      <c r="E64" s="24"/>
      <c r="F64" s="27" t="str">
        <f aca="false">IF(OR($B64="",E64=""),"",E64-D64)</f>
        <v/>
      </c>
      <c r="G64" s="28" t="str">
        <f aca="false">IF(F64="","",IF(F64=0,"مطابق",IF(F64&gt;0,"سجّل تسوية زيادة","سجّل تسوية نقص")))</f>
        <v/>
      </c>
      <c r="H64" s="29"/>
    </row>
    <row r="65" customFormat="false" ht="15" hidden="false" customHeight="false" outlineLevel="0" collapsed="false">
      <c r="A65" s="32"/>
      <c r="B65" s="29"/>
      <c r="C65" s="28" t="str">
        <f aca="false">IF($B65="","",IFERROR(INDEX('المواد الخام'!$B$5:$B$104,MATCH($B65,'المواد الخام'!$A$5:$A$104,0)),IFERROR(INDEX(المنتجات!$C$5:$C$24,MATCH($B65,المنتجات!$A$5:$A$24,0)),"كود غير موجود")))</f>
        <v/>
      </c>
      <c r="D65" s="27" t="str">
        <f aca="false">IF($B65="","",IFERROR(INDEX('المواد الخام'!$L$5:$L$104,MATCH($B65,'المواد الخام'!$A$5:$A$104,0)),IFERROR(INDEX(المنتجات!$P$5:$P$24,MATCH($B65,المنتجات!$A$5:$A$24,0)),0)))</f>
        <v/>
      </c>
      <c r="E65" s="24"/>
      <c r="F65" s="27" t="str">
        <f aca="false">IF(OR($B65="",E65=""),"",E65-D65)</f>
        <v/>
      </c>
      <c r="G65" s="28" t="str">
        <f aca="false">IF(F65="","",IF(F65=0,"مطابق",IF(F65&gt;0,"سجّل تسوية زيادة","سجّل تسوية نقص")))</f>
        <v/>
      </c>
      <c r="H65" s="29"/>
    </row>
    <row r="66" customFormat="false" ht="15" hidden="false" customHeight="false" outlineLevel="0" collapsed="false">
      <c r="A66" s="32"/>
      <c r="B66" s="29"/>
      <c r="C66" s="28" t="str">
        <f aca="false">IF($B66="","",IFERROR(INDEX('المواد الخام'!$B$5:$B$104,MATCH($B66,'المواد الخام'!$A$5:$A$104,0)),IFERROR(INDEX(المنتجات!$C$5:$C$24,MATCH($B66,المنتجات!$A$5:$A$24,0)),"كود غير موجود")))</f>
        <v/>
      </c>
      <c r="D66" s="27" t="str">
        <f aca="false">IF($B66="","",IFERROR(INDEX('المواد الخام'!$L$5:$L$104,MATCH($B66,'المواد الخام'!$A$5:$A$104,0)),IFERROR(INDEX(المنتجات!$P$5:$P$24,MATCH($B66,المنتجات!$A$5:$A$24,0)),0)))</f>
        <v/>
      </c>
      <c r="E66" s="24"/>
      <c r="F66" s="27" t="str">
        <f aca="false">IF(OR($B66="",E66=""),"",E66-D66)</f>
        <v/>
      </c>
      <c r="G66" s="28" t="str">
        <f aca="false">IF(F66="","",IF(F66=0,"مطابق",IF(F66&gt;0,"سجّل تسوية زيادة","سجّل تسوية نقص")))</f>
        <v/>
      </c>
      <c r="H66" s="29"/>
    </row>
    <row r="67" customFormat="false" ht="15" hidden="false" customHeight="false" outlineLevel="0" collapsed="false">
      <c r="A67" s="32"/>
      <c r="B67" s="29"/>
      <c r="C67" s="28" t="str">
        <f aca="false">IF($B67="","",IFERROR(INDEX('المواد الخام'!$B$5:$B$104,MATCH($B67,'المواد الخام'!$A$5:$A$104,0)),IFERROR(INDEX(المنتجات!$C$5:$C$24,MATCH($B67,المنتجات!$A$5:$A$24,0)),"كود غير موجود")))</f>
        <v/>
      </c>
      <c r="D67" s="27" t="str">
        <f aca="false">IF($B67="","",IFERROR(INDEX('المواد الخام'!$L$5:$L$104,MATCH($B67,'المواد الخام'!$A$5:$A$104,0)),IFERROR(INDEX(المنتجات!$P$5:$P$24,MATCH($B67,المنتجات!$A$5:$A$24,0)),0)))</f>
        <v/>
      </c>
      <c r="E67" s="24"/>
      <c r="F67" s="27" t="str">
        <f aca="false">IF(OR($B67="",E67=""),"",E67-D67)</f>
        <v/>
      </c>
      <c r="G67" s="28" t="str">
        <f aca="false">IF(F67="","",IF(F67=0,"مطابق",IF(F67&gt;0,"سجّل تسوية زيادة","سجّل تسوية نقص")))</f>
        <v/>
      </c>
      <c r="H67" s="29"/>
    </row>
    <row r="68" customFormat="false" ht="15" hidden="false" customHeight="false" outlineLevel="0" collapsed="false">
      <c r="A68" s="32"/>
      <c r="B68" s="29"/>
      <c r="C68" s="28" t="str">
        <f aca="false">IF($B68="","",IFERROR(INDEX('المواد الخام'!$B$5:$B$104,MATCH($B68,'المواد الخام'!$A$5:$A$104,0)),IFERROR(INDEX(المنتجات!$C$5:$C$24,MATCH($B68,المنتجات!$A$5:$A$24,0)),"كود غير موجود")))</f>
        <v/>
      </c>
      <c r="D68" s="27" t="str">
        <f aca="false">IF($B68="","",IFERROR(INDEX('المواد الخام'!$L$5:$L$104,MATCH($B68,'المواد الخام'!$A$5:$A$104,0)),IFERROR(INDEX(المنتجات!$P$5:$P$24,MATCH($B68,المنتجات!$A$5:$A$24,0)),0)))</f>
        <v/>
      </c>
      <c r="E68" s="24"/>
      <c r="F68" s="27" t="str">
        <f aca="false">IF(OR($B68="",E68=""),"",E68-D68)</f>
        <v/>
      </c>
      <c r="G68" s="28" t="str">
        <f aca="false">IF(F68="","",IF(F68=0,"مطابق",IF(F68&gt;0,"سجّل تسوية زيادة","سجّل تسوية نقص")))</f>
        <v/>
      </c>
      <c r="H68" s="29"/>
    </row>
    <row r="69" customFormat="false" ht="15" hidden="false" customHeight="false" outlineLevel="0" collapsed="false">
      <c r="A69" s="32"/>
      <c r="B69" s="29"/>
      <c r="C69" s="28" t="str">
        <f aca="false">IF($B69="","",IFERROR(INDEX('المواد الخام'!$B$5:$B$104,MATCH($B69,'المواد الخام'!$A$5:$A$104,0)),IFERROR(INDEX(المنتجات!$C$5:$C$24,MATCH($B69,المنتجات!$A$5:$A$24,0)),"كود غير موجود")))</f>
        <v/>
      </c>
      <c r="D69" s="27" t="str">
        <f aca="false">IF($B69="","",IFERROR(INDEX('المواد الخام'!$L$5:$L$104,MATCH($B69,'المواد الخام'!$A$5:$A$104,0)),IFERROR(INDEX(المنتجات!$P$5:$P$24,MATCH($B69,المنتجات!$A$5:$A$24,0)),0)))</f>
        <v/>
      </c>
      <c r="E69" s="24"/>
      <c r="F69" s="27" t="str">
        <f aca="false">IF(OR($B69="",E69=""),"",E69-D69)</f>
        <v/>
      </c>
      <c r="G69" s="28" t="str">
        <f aca="false">IF(F69="","",IF(F69=0,"مطابق",IF(F69&gt;0,"سجّل تسوية زيادة","سجّل تسوية نقص")))</f>
        <v/>
      </c>
      <c r="H69" s="29"/>
    </row>
    <row r="70" customFormat="false" ht="15" hidden="false" customHeight="false" outlineLevel="0" collapsed="false">
      <c r="A70" s="32"/>
      <c r="B70" s="29"/>
      <c r="C70" s="28" t="str">
        <f aca="false">IF($B70="","",IFERROR(INDEX('المواد الخام'!$B$5:$B$104,MATCH($B70,'المواد الخام'!$A$5:$A$104,0)),IFERROR(INDEX(المنتجات!$C$5:$C$24,MATCH($B70,المنتجات!$A$5:$A$24,0)),"كود غير موجود")))</f>
        <v/>
      </c>
      <c r="D70" s="27" t="str">
        <f aca="false">IF($B70="","",IFERROR(INDEX('المواد الخام'!$L$5:$L$104,MATCH($B70,'المواد الخام'!$A$5:$A$104,0)),IFERROR(INDEX(المنتجات!$P$5:$P$24,MATCH($B70,المنتجات!$A$5:$A$24,0)),0)))</f>
        <v/>
      </c>
      <c r="E70" s="24"/>
      <c r="F70" s="27" t="str">
        <f aca="false">IF(OR($B70="",E70=""),"",E70-D70)</f>
        <v/>
      </c>
      <c r="G70" s="28" t="str">
        <f aca="false">IF(F70="","",IF(F70=0,"مطابق",IF(F70&gt;0,"سجّل تسوية زيادة","سجّل تسوية نقص")))</f>
        <v/>
      </c>
      <c r="H70" s="29"/>
    </row>
    <row r="71" customFormat="false" ht="15" hidden="false" customHeight="false" outlineLevel="0" collapsed="false">
      <c r="A71" s="32"/>
      <c r="B71" s="29"/>
      <c r="C71" s="28" t="str">
        <f aca="false">IF($B71="","",IFERROR(INDEX('المواد الخام'!$B$5:$B$104,MATCH($B71,'المواد الخام'!$A$5:$A$104,0)),IFERROR(INDEX(المنتجات!$C$5:$C$24,MATCH($B71,المنتجات!$A$5:$A$24,0)),"كود غير موجود")))</f>
        <v/>
      </c>
      <c r="D71" s="27" t="str">
        <f aca="false">IF($B71="","",IFERROR(INDEX('المواد الخام'!$L$5:$L$104,MATCH($B71,'المواد الخام'!$A$5:$A$104,0)),IFERROR(INDEX(المنتجات!$P$5:$P$24,MATCH($B71,المنتجات!$A$5:$A$24,0)),0)))</f>
        <v/>
      </c>
      <c r="E71" s="24"/>
      <c r="F71" s="27" t="str">
        <f aca="false">IF(OR($B71="",E71=""),"",E71-D71)</f>
        <v/>
      </c>
      <c r="G71" s="28" t="str">
        <f aca="false">IF(F71="","",IF(F71=0,"مطابق",IF(F71&gt;0,"سجّل تسوية زيادة","سجّل تسوية نقص")))</f>
        <v/>
      </c>
      <c r="H71" s="29"/>
    </row>
    <row r="72" customFormat="false" ht="15" hidden="false" customHeight="false" outlineLevel="0" collapsed="false">
      <c r="A72" s="32"/>
      <c r="B72" s="29"/>
      <c r="C72" s="28" t="str">
        <f aca="false">IF($B72="","",IFERROR(INDEX('المواد الخام'!$B$5:$B$104,MATCH($B72,'المواد الخام'!$A$5:$A$104,0)),IFERROR(INDEX(المنتجات!$C$5:$C$24,MATCH($B72,المنتجات!$A$5:$A$24,0)),"كود غير موجود")))</f>
        <v/>
      </c>
      <c r="D72" s="27" t="str">
        <f aca="false">IF($B72="","",IFERROR(INDEX('المواد الخام'!$L$5:$L$104,MATCH($B72,'المواد الخام'!$A$5:$A$104,0)),IFERROR(INDEX(المنتجات!$P$5:$P$24,MATCH($B72,المنتجات!$A$5:$A$24,0)),0)))</f>
        <v/>
      </c>
      <c r="E72" s="24"/>
      <c r="F72" s="27" t="str">
        <f aca="false">IF(OR($B72="",E72=""),"",E72-D72)</f>
        <v/>
      </c>
      <c r="G72" s="28" t="str">
        <f aca="false">IF(F72="","",IF(F72=0,"مطابق",IF(F72&gt;0,"سجّل تسوية زيادة","سجّل تسوية نقص")))</f>
        <v/>
      </c>
      <c r="H72" s="29"/>
    </row>
    <row r="73" customFormat="false" ht="15" hidden="false" customHeight="false" outlineLevel="0" collapsed="false">
      <c r="A73" s="32"/>
      <c r="B73" s="29"/>
      <c r="C73" s="28" t="str">
        <f aca="false">IF($B73="","",IFERROR(INDEX('المواد الخام'!$B$5:$B$104,MATCH($B73,'المواد الخام'!$A$5:$A$104,0)),IFERROR(INDEX(المنتجات!$C$5:$C$24,MATCH($B73,المنتجات!$A$5:$A$24,0)),"كود غير موجود")))</f>
        <v/>
      </c>
      <c r="D73" s="27" t="str">
        <f aca="false">IF($B73="","",IFERROR(INDEX('المواد الخام'!$L$5:$L$104,MATCH($B73,'المواد الخام'!$A$5:$A$104,0)),IFERROR(INDEX(المنتجات!$P$5:$P$24,MATCH($B73,المنتجات!$A$5:$A$24,0)),0)))</f>
        <v/>
      </c>
      <c r="E73" s="24"/>
      <c r="F73" s="27" t="str">
        <f aca="false">IF(OR($B73="",E73=""),"",E73-D73)</f>
        <v/>
      </c>
      <c r="G73" s="28" t="str">
        <f aca="false">IF(F73="","",IF(F73=0,"مطابق",IF(F73&gt;0,"سجّل تسوية زيادة","سجّل تسوية نقص")))</f>
        <v/>
      </c>
      <c r="H73" s="29"/>
    </row>
    <row r="74" customFormat="false" ht="15" hidden="false" customHeight="false" outlineLevel="0" collapsed="false">
      <c r="A74" s="32"/>
      <c r="B74" s="29"/>
      <c r="C74" s="28" t="str">
        <f aca="false">IF($B74="","",IFERROR(INDEX('المواد الخام'!$B$5:$B$104,MATCH($B74,'المواد الخام'!$A$5:$A$104,0)),IFERROR(INDEX(المنتجات!$C$5:$C$24,MATCH($B74,المنتجات!$A$5:$A$24,0)),"كود غير موجود")))</f>
        <v/>
      </c>
      <c r="D74" s="27" t="str">
        <f aca="false">IF($B74="","",IFERROR(INDEX('المواد الخام'!$L$5:$L$104,MATCH($B74,'المواد الخام'!$A$5:$A$104,0)),IFERROR(INDEX(المنتجات!$P$5:$P$24,MATCH($B74,المنتجات!$A$5:$A$24,0)),0)))</f>
        <v/>
      </c>
      <c r="E74" s="24"/>
      <c r="F74" s="27" t="str">
        <f aca="false">IF(OR($B74="",E74=""),"",E74-D74)</f>
        <v/>
      </c>
      <c r="G74" s="28" t="str">
        <f aca="false">IF(F74="","",IF(F74=0,"مطابق",IF(F74&gt;0,"سجّل تسوية زيادة","سجّل تسوية نقص")))</f>
        <v/>
      </c>
      <c r="H74" s="29"/>
    </row>
    <row r="75" customFormat="false" ht="15" hidden="false" customHeight="false" outlineLevel="0" collapsed="false">
      <c r="A75" s="32"/>
      <c r="B75" s="29"/>
      <c r="C75" s="28" t="str">
        <f aca="false">IF($B75="","",IFERROR(INDEX('المواد الخام'!$B$5:$B$104,MATCH($B75,'المواد الخام'!$A$5:$A$104,0)),IFERROR(INDEX(المنتجات!$C$5:$C$24,MATCH($B75,المنتجات!$A$5:$A$24,0)),"كود غير موجود")))</f>
        <v/>
      </c>
      <c r="D75" s="27" t="str">
        <f aca="false">IF($B75="","",IFERROR(INDEX('المواد الخام'!$L$5:$L$104,MATCH($B75,'المواد الخام'!$A$5:$A$104,0)),IFERROR(INDEX(المنتجات!$P$5:$P$24,MATCH($B75,المنتجات!$A$5:$A$24,0)),0)))</f>
        <v/>
      </c>
      <c r="E75" s="24"/>
      <c r="F75" s="27" t="str">
        <f aca="false">IF(OR($B75="",E75=""),"",E75-D75)</f>
        <v/>
      </c>
      <c r="G75" s="28" t="str">
        <f aca="false">IF(F75="","",IF(F75=0,"مطابق",IF(F75&gt;0,"سجّل تسوية زيادة","سجّل تسوية نقص")))</f>
        <v/>
      </c>
      <c r="H75" s="29"/>
    </row>
    <row r="76" customFormat="false" ht="15" hidden="false" customHeight="false" outlineLevel="0" collapsed="false">
      <c r="A76" s="32"/>
      <c r="B76" s="29"/>
      <c r="C76" s="28" t="str">
        <f aca="false">IF($B76="","",IFERROR(INDEX('المواد الخام'!$B$5:$B$104,MATCH($B76,'المواد الخام'!$A$5:$A$104,0)),IFERROR(INDEX(المنتجات!$C$5:$C$24,MATCH($B76,المنتجات!$A$5:$A$24,0)),"كود غير موجود")))</f>
        <v/>
      </c>
      <c r="D76" s="27" t="str">
        <f aca="false">IF($B76="","",IFERROR(INDEX('المواد الخام'!$L$5:$L$104,MATCH($B76,'المواد الخام'!$A$5:$A$104,0)),IFERROR(INDEX(المنتجات!$P$5:$P$24,MATCH($B76,المنتجات!$A$5:$A$24,0)),0)))</f>
        <v/>
      </c>
      <c r="E76" s="24"/>
      <c r="F76" s="27" t="str">
        <f aca="false">IF(OR($B76="",E76=""),"",E76-D76)</f>
        <v/>
      </c>
      <c r="G76" s="28" t="str">
        <f aca="false">IF(F76="","",IF(F76=0,"مطابق",IF(F76&gt;0,"سجّل تسوية زيادة","سجّل تسوية نقص")))</f>
        <v/>
      </c>
      <c r="H76" s="29"/>
    </row>
    <row r="77" customFormat="false" ht="15" hidden="false" customHeight="false" outlineLevel="0" collapsed="false">
      <c r="A77" s="32"/>
      <c r="B77" s="29"/>
      <c r="C77" s="28" t="str">
        <f aca="false">IF($B77="","",IFERROR(INDEX('المواد الخام'!$B$5:$B$104,MATCH($B77,'المواد الخام'!$A$5:$A$104,0)),IFERROR(INDEX(المنتجات!$C$5:$C$24,MATCH($B77,المنتجات!$A$5:$A$24,0)),"كود غير موجود")))</f>
        <v/>
      </c>
      <c r="D77" s="27" t="str">
        <f aca="false">IF($B77="","",IFERROR(INDEX('المواد الخام'!$L$5:$L$104,MATCH($B77,'المواد الخام'!$A$5:$A$104,0)),IFERROR(INDEX(المنتجات!$P$5:$P$24,MATCH($B77,المنتجات!$A$5:$A$24,0)),0)))</f>
        <v/>
      </c>
      <c r="E77" s="24"/>
      <c r="F77" s="27" t="str">
        <f aca="false">IF(OR($B77="",E77=""),"",E77-D77)</f>
        <v/>
      </c>
      <c r="G77" s="28" t="str">
        <f aca="false">IF(F77="","",IF(F77=0,"مطابق",IF(F77&gt;0,"سجّل تسوية زيادة","سجّل تسوية نقص")))</f>
        <v/>
      </c>
      <c r="H77" s="29"/>
    </row>
    <row r="78" customFormat="false" ht="15" hidden="false" customHeight="false" outlineLevel="0" collapsed="false">
      <c r="A78" s="32"/>
      <c r="B78" s="29"/>
      <c r="C78" s="28" t="str">
        <f aca="false">IF($B78="","",IFERROR(INDEX('المواد الخام'!$B$5:$B$104,MATCH($B78,'المواد الخام'!$A$5:$A$104,0)),IFERROR(INDEX(المنتجات!$C$5:$C$24,MATCH($B78,المنتجات!$A$5:$A$24,0)),"كود غير موجود")))</f>
        <v/>
      </c>
      <c r="D78" s="27" t="str">
        <f aca="false">IF($B78="","",IFERROR(INDEX('المواد الخام'!$L$5:$L$104,MATCH($B78,'المواد الخام'!$A$5:$A$104,0)),IFERROR(INDEX(المنتجات!$P$5:$P$24,MATCH($B78,المنتجات!$A$5:$A$24,0)),0)))</f>
        <v/>
      </c>
      <c r="E78" s="24"/>
      <c r="F78" s="27" t="str">
        <f aca="false">IF(OR($B78="",E78=""),"",E78-D78)</f>
        <v/>
      </c>
      <c r="G78" s="28" t="str">
        <f aca="false">IF(F78="","",IF(F78=0,"مطابق",IF(F78&gt;0,"سجّل تسوية زيادة","سجّل تسوية نقص")))</f>
        <v/>
      </c>
      <c r="H78" s="29"/>
    </row>
    <row r="79" customFormat="false" ht="15" hidden="false" customHeight="false" outlineLevel="0" collapsed="false">
      <c r="A79" s="32"/>
      <c r="B79" s="29"/>
      <c r="C79" s="28" t="str">
        <f aca="false">IF($B79="","",IFERROR(INDEX('المواد الخام'!$B$5:$B$104,MATCH($B79,'المواد الخام'!$A$5:$A$104,0)),IFERROR(INDEX(المنتجات!$C$5:$C$24,MATCH($B79,المنتجات!$A$5:$A$24,0)),"كود غير موجود")))</f>
        <v/>
      </c>
      <c r="D79" s="27" t="str">
        <f aca="false">IF($B79="","",IFERROR(INDEX('المواد الخام'!$L$5:$L$104,MATCH($B79,'المواد الخام'!$A$5:$A$104,0)),IFERROR(INDEX(المنتجات!$P$5:$P$24,MATCH($B79,المنتجات!$A$5:$A$24,0)),0)))</f>
        <v/>
      </c>
      <c r="E79" s="24"/>
      <c r="F79" s="27" t="str">
        <f aca="false">IF(OR($B79="",E79=""),"",E79-D79)</f>
        <v/>
      </c>
      <c r="G79" s="28" t="str">
        <f aca="false">IF(F79="","",IF(F79=0,"مطابق",IF(F79&gt;0,"سجّل تسوية زيادة","سجّل تسوية نقص")))</f>
        <v/>
      </c>
      <c r="H79" s="29"/>
    </row>
    <row r="80" customFormat="false" ht="15" hidden="false" customHeight="false" outlineLevel="0" collapsed="false">
      <c r="A80" s="32"/>
      <c r="B80" s="29"/>
      <c r="C80" s="28" t="str">
        <f aca="false">IF($B80="","",IFERROR(INDEX('المواد الخام'!$B$5:$B$104,MATCH($B80,'المواد الخام'!$A$5:$A$104,0)),IFERROR(INDEX(المنتجات!$C$5:$C$24,MATCH($B80,المنتجات!$A$5:$A$24,0)),"كود غير موجود")))</f>
        <v/>
      </c>
      <c r="D80" s="27" t="str">
        <f aca="false">IF($B80="","",IFERROR(INDEX('المواد الخام'!$L$5:$L$104,MATCH($B80,'المواد الخام'!$A$5:$A$104,0)),IFERROR(INDEX(المنتجات!$P$5:$P$24,MATCH($B80,المنتجات!$A$5:$A$24,0)),0)))</f>
        <v/>
      </c>
      <c r="E80" s="24"/>
      <c r="F80" s="27" t="str">
        <f aca="false">IF(OR($B80="",E80=""),"",E80-D80)</f>
        <v/>
      </c>
      <c r="G80" s="28" t="str">
        <f aca="false">IF(F80="","",IF(F80=0,"مطابق",IF(F80&gt;0,"سجّل تسوية زيادة","سجّل تسوية نقص")))</f>
        <v/>
      </c>
      <c r="H80" s="29"/>
    </row>
    <row r="81" customFormat="false" ht="15" hidden="false" customHeight="false" outlineLevel="0" collapsed="false">
      <c r="A81" s="32"/>
      <c r="B81" s="29"/>
      <c r="C81" s="28" t="str">
        <f aca="false">IF($B81="","",IFERROR(INDEX('المواد الخام'!$B$5:$B$104,MATCH($B81,'المواد الخام'!$A$5:$A$104,0)),IFERROR(INDEX(المنتجات!$C$5:$C$24,MATCH($B81,المنتجات!$A$5:$A$24,0)),"كود غير موجود")))</f>
        <v/>
      </c>
      <c r="D81" s="27" t="str">
        <f aca="false">IF($B81="","",IFERROR(INDEX('المواد الخام'!$L$5:$L$104,MATCH($B81,'المواد الخام'!$A$5:$A$104,0)),IFERROR(INDEX(المنتجات!$P$5:$P$24,MATCH($B81,المنتجات!$A$5:$A$24,0)),0)))</f>
        <v/>
      </c>
      <c r="E81" s="24"/>
      <c r="F81" s="27" t="str">
        <f aca="false">IF(OR($B81="",E81=""),"",E81-D81)</f>
        <v/>
      </c>
      <c r="G81" s="28" t="str">
        <f aca="false">IF(F81="","",IF(F81=0,"مطابق",IF(F81&gt;0,"سجّل تسوية زيادة","سجّل تسوية نقص")))</f>
        <v/>
      </c>
      <c r="H81" s="29"/>
    </row>
    <row r="82" customFormat="false" ht="15" hidden="false" customHeight="false" outlineLevel="0" collapsed="false">
      <c r="A82" s="32"/>
      <c r="B82" s="29"/>
      <c r="C82" s="28" t="str">
        <f aca="false">IF($B82="","",IFERROR(INDEX('المواد الخام'!$B$5:$B$104,MATCH($B82,'المواد الخام'!$A$5:$A$104,0)),IFERROR(INDEX(المنتجات!$C$5:$C$24,MATCH($B82,المنتجات!$A$5:$A$24,0)),"كود غير موجود")))</f>
        <v/>
      </c>
      <c r="D82" s="27" t="str">
        <f aca="false">IF($B82="","",IFERROR(INDEX('المواد الخام'!$L$5:$L$104,MATCH($B82,'المواد الخام'!$A$5:$A$104,0)),IFERROR(INDEX(المنتجات!$P$5:$P$24,MATCH($B82,المنتجات!$A$5:$A$24,0)),0)))</f>
        <v/>
      </c>
      <c r="E82" s="24"/>
      <c r="F82" s="27" t="str">
        <f aca="false">IF(OR($B82="",E82=""),"",E82-D82)</f>
        <v/>
      </c>
      <c r="G82" s="28" t="str">
        <f aca="false">IF(F82="","",IF(F82=0,"مطابق",IF(F82&gt;0,"سجّل تسوية زيادة","سجّل تسوية نقص")))</f>
        <v/>
      </c>
      <c r="H82" s="29"/>
    </row>
    <row r="83" customFormat="false" ht="15" hidden="false" customHeight="false" outlineLevel="0" collapsed="false">
      <c r="A83" s="32"/>
      <c r="B83" s="29"/>
      <c r="C83" s="28" t="str">
        <f aca="false">IF($B83="","",IFERROR(INDEX('المواد الخام'!$B$5:$B$104,MATCH($B83,'المواد الخام'!$A$5:$A$104,0)),IFERROR(INDEX(المنتجات!$C$5:$C$24,MATCH($B83,المنتجات!$A$5:$A$24,0)),"كود غير موجود")))</f>
        <v/>
      </c>
      <c r="D83" s="27" t="str">
        <f aca="false">IF($B83="","",IFERROR(INDEX('المواد الخام'!$L$5:$L$104,MATCH($B83,'المواد الخام'!$A$5:$A$104,0)),IFERROR(INDEX(المنتجات!$P$5:$P$24,MATCH($B83,المنتجات!$A$5:$A$24,0)),0)))</f>
        <v/>
      </c>
      <c r="E83" s="24"/>
      <c r="F83" s="27" t="str">
        <f aca="false">IF(OR($B83="",E83=""),"",E83-D83)</f>
        <v/>
      </c>
      <c r="G83" s="28" t="str">
        <f aca="false">IF(F83="","",IF(F83=0,"مطابق",IF(F83&gt;0,"سجّل تسوية زيادة","سجّل تسوية نقص")))</f>
        <v/>
      </c>
      <c r="H83" s="29"/>
    </row>
    <row r="84" customFormat="false" ht="15" hidden="false" customHeight="false" outlineLevel="0" collapsed="false">
      <c r="A84" s="32"/>
      <c r="B84" s="29"/>
      <c r="C84" s="28" t="str">
        <f aca="false">IF($B84="","",IFERROR(INDEX('المواد الخام'!$B$5:$B$104,MATCH($B84,'المواد الخام'!$A$5:$A$104,0)),IFERROR(INDEX(المنتجات!$C$5:$C$24,MATCH($B84,المنتجات!$A$5:$A$24,0)),"كود غير موجود")))</f>
        <v/>
      </c>
      <c r="D84" s="27" t="str">
        <f aca="false">IF($B84="","",IFERROR(INDEX('المواد الخام'!$L$5:$L$104,MATCH($B84,'المواد الخام'!$A$5:$A$104,0)),IFERROR(INDEX(المنتجات!$P$5:$P$24,MATCH($B84,المنتجات!$A$5:$A$24,0)),0)))</f>
        <v/>
      </c>
      <c r="E84" s="24"/>
      <c r="F84" s="27" t="str">
        <f aca="false">IF(OR($B84="",E84=""),"",E84-D84)</f>
        <v/>
      </c>
      <c r="G84" s="28" t="str">
        <f aca="false">IF(F84="","",IF(F84=0,"مطابق",IF(F84&gt;0,"سجّل تسوية زيادة","سجّل تسوية نقص")))</f>
        <v/>
      </c>
      <c r="H84" s="29"/>
    </row>
    <row r="85" customFormat="false" ht="15" hidden="false" customHeight="false" outlineLevel="0" collapsed="false">
      <c r="A85" s="32"/>
      <c r="B85" s="29"/>
      <c r="C85" s="28" t="str">
        <f aca="false">IF($B85="","",IFERROR(INDEX('المواد الخام'!$B$5:$B$104,MATCH($B85,'المواد الخام'!$A$5:$A$104,0)),IFERROR(INDEX(المنتجات!$C$5:$C$24,MATCH($B85,المنتجات!$A$5:$A$24,0)),"كود غير موجود")))</f>
        <v/>
      </c>
      <c r="D85" s="27" t="str">
        <f aca="false">IF($B85="","",IFERROR(INDEX('المواد الخام'!$L$5:$L$104,MATCH($B85,'المواد الخام'!$A$5:$A$104,0)),IFERROR(INDEX(المنتجات!$P$5:$P$24,MATCH($B85,المنتجات!$A$5:$A$24,0)),0)))</f>
        <v/>
      </c>
      <c r="E85" s="24"/>
      <c r="F85" s="27" t="str">
        <f aca="false">IF(OR($B85="",E85=""),"",E85-D85)</f>
        <v/>
      </c>
      <c r="G85" s="28" t="str">
        <f aca="false">IF(F85="","",IF(F85=0,"مطابق",IF(F85&gt;0,"سجّل تسوية زيادة","سجّل تسوية نقص")))</f>
        <v/>
      </c>
      <c r="H85" s="29"/>
    </row>
    <row r="86" customFormat="false" ht="15" hidden="false" customHeight="false" outlineLevel="0" collapsed="false">
      <c r="A86" s="32"/>
      <c r="B86" s="29"/>
      <c r="C86" s="28" t="str">
        <f aca="false">IF($B86="","",IFERROR(INDEX('المواد الخام'!$B$5:$B$104,MATCH($B86,'المواد الخام'!$A$5:$A$104,0)),IFERROR(INDEX(المنتجات!$C$5:$C$24,MATCH($B86,المنتجات!$A$5:$A$24,0)),"كود غير موجود")))</f>
        <v/>
      </c>
      <c r="D86" s="27" t="str">
        <f aca="false">IF($B86="","",IFERROR(INDEX('المواد الخام'!$L$5:$L$104,MATCH($B86,'المواد الخام'!$A$5:$A$104,0)),IFERROR(INDEX(المنتجات!$P$5:$P$24,MATCH($B86,المنتجات!$A$5:$A$24,0)),0)))</f>
        <v/>
      </c>
      <c r="E86" s="24"/>
      <c r="F86" s="27" t="str">
        <f aca="false">IF(OR($B86="",E86=""),"",E86-D86)</f>
        <v/>
      </c>
      <c r="G86" s="28" t="str">
        <f aca="false">IF(F86="","",IF(F86=0,"مطابق",IF(F86&gt;0,"سجّل تسوية زيادة","سجّل تسوية نقص")))</f>
        <v/>
      </c>
      <c r="H86" s="29"/>
    </row>
    <row r="87" customFormat="false" ht="15" hidden="false" customHeight="false" outlineLevel="0" collapsed="false">
      <c r="A87" s="32"/>
      <c r="B87" s="29"/>
      <c r="C87" s="28" t="str">
        <f aca="false">IF($B87="","",IFERROR(INDEX('المواد الخام'!$B$5:$B$104,MATCH($B87,'المواد الخام'!$A$5:$A$104,0)),IFERROR(INDEX(المنتجات!$C$5:$C$24,MATCH($B87,المنتجات!$A$5:$A$24,0)),"كود غير موجود")))</f>
        <v/>
      </c>
      <c r="D87" s="27" t="str">
        <f aca="false">IF($B87="","",IFERROR(INDEX('المواد الخام'!$L$5:$L$104,MATCH($B87,'المواد الخام'!$A$5:$A$104,0)),IFERROR(INDEX(المنتجات!$P$5:$P$24,MATCH($B87,المنتجات!$A$5:$A$24,0)),0)))</f>
        <v/>
      </c>
      <c r="E87" s="24"/>
      <c r="F87" s="27" t="str">
        <f aca="false">IF(OR($B87="",E87=""),"",E87-D87)</f>
        <v/>
      </c>
      <c r="G87" s="28" t="str">
        <f aca="false">IF(F87="","",IF(F87=0,"مطابق",IF(F87&gt;0,"سجّل تسوية زيادة","سجّل تسوية نقص")))</f>
        <v/>
      </c>
      <c r="H87" s="29"/>
    </row>
    <row r="88" customFormat="false" ht="15" hidden="false" customHeight="false" outlineLevel="0" collapsed="false">
      <c r="A88" s="32"/>
      <c r="B88" s="29"/>
      <c r="C88" s="28" t="str">
        <f aca="false">IF($B88="","",IFERROR(INDEX('المواد الخام'!$B$5:$B$104,MATCH($B88,'المواد الخام'!$A$5:$A$104,0)),IFERROR(INDEX(المنتجات!$C$5:$C$24,MATCH($B88,المنتجات!$A$5:$A$24,0)),"كود غير موجود")))</f>
        <v/>
      </c>
      <c r="D88" s="27" t="str">
        <f aca="false">IF($B88="","",IFERROR(INDEX('المواد الخام'!$L$5:$L$104,MATCH($B88,'المواد الخام'!$A$5:$A$104,0)),IFERROR(INDEX(المنتجات!$P$5:$P$24,MATCH($B88,المنتجات!$A$5:$A$24,0)),0)))</f>
        <v/>
      </c>
      <c r="E88" s="24"/>
      <c r="F88" s="27" t="str">
        <f aca="false">IF(OR($B88="",E88=""),"",E88-D88)</f>
        <v/>
      </c>
      <c r="G88" s="28" t="str">
        <f aca="false">IF(F88="","",IF(F88=0,"مطابق",IF(F88&gt;0,"سجّل تسوية زيادة","سجّل تسوية نقص")))</f>
        <v/>
      </c>
      <c r="H88" s="29"/>
    </row>
    <row r="89" customFormat="false" ht="15" hidden="false" customHeight="false" outlineLevel="0" collapsed="false">
      <c r="A89" s="32"/>
      <c r="B89" s="29"/>
      <c r="C89" s="28" t="str">
        <f aca="false">IF($B89="","",IFERROR(INDEX('المواد الخام'!$B$5:$B$104,MATCH($B89,'المواد الخام'!$A$5:$A$104,0)),IFERROR(INDEX(المنتجات!$C$5:$C$24,MATCH($B89,المنتجات!$A$5:$A$24,0)),"كود غير موجود")))</f>
        <v/>
      </c>
      <c r="D89" s="27" t="str">
        <f aca="false">IF($B89="","",IFERROR(INDEX('المواد الخام'!$L$5:$L$104,MATCH($B89,'المواد الخام'!$A$5:$A$104,0)),IFERROR(INDEX(المنتجات!$P$5:$P$24,MATCH($B89,المنتجات!$A$5:$A$24,0)),0)))</f>
        <v/>
      </c>
      <c r="E89" s="24"/>
      <c r="F89" s="27" t="str">
        <f aca="false">IF(OR($B89="",E89=""),"",E89-D89)</f>
        <v/>
      </c>
      <c r="G89" s="28" t="str">
        <f aca="false">IF(F89="","",IF(F89=0,"مطابق",IF(F89&gt;0,"سجّل تسوية زيادة","سجّل تسوية نقص")))</f>
        <v/>
      </c>
      <c r="H89" s="29"/>
    </row>
    <row r="90" customFormat="false" ht="15" hidden="false" customHeight="false" outlineLevel="0" collapsed="false">
      <c r="A90" s="32"/>
      <c r="B90" s="29"/>
      <c r="C90" s="28" t="str">
        <f aca="false">IF($B90="","",IFERROR(INDEX('المواد الخام'!$B$5:$B$104,MATCH($B90,'المواد الخام'!$A$5:$A$104,0)),IFERROR(INDEX(المنتجات!$C$5:$C$24,MATCH($B90,المنتجات!$A$5:$A$24,0)),"كود غير موجود")))</f>
        <v/>
      </c>
      <c r="D90" s="27" t="str">
        <f aca="false">IF($B90="","",IFERROR(INDEX('المواد الخام'!$L$5:$L$104,MATCH($B90,'المواد الخام'!$A$5:$A$104,0)),IFERROR(INDEX(المنتجات!$P$5:$P$24,MATCH($B90,المنتجات!$A$5:$A$24,0)),0)))</f>
        <v/>
      </c>
      <c r="E90" s="24"/>
      <c r="F90" s="27" t="str">
        <f aca="false">IF(OR($B90="",E90=""),"",E90-D90)</f>
        <v/>
      </c>
      <c r="G90" s="28" t="str">
        <f aca="false">IF(F90="","",IF(F90=0,"مطابق",IF(F90&gt;0,"سجّل تسوية زيادة","سجّل تسوية نقص")))</f>
        <v/>
      </c>
      <c r="H90" s="29"/>
    </row>
    <row r="91" customFormat="false" ht="15" hidden="false" customHeight="false" outlineLevel="0" collapsed="false">
      <c r="A91" s="32"/>
      <c r="B91" s="29"/>
      <c r="C91" s="28" t="str">
        <f aca="false">IF($B91="","",IFERROR(INDEX('المواد الخام'!$B$5:$B$104,MATCH($B91,'المواد الخام'!$A$5:$A$104,0)),IFERROR(INDEX(المنتجات!$C$5:$C$24,MATCH($B91,المنتجات!$A$5:$A$24,0)),"كود غير موجود")))</f>
        <v/>
      </c>
      <c r="D91" s="27" t="str">
        <f aca="false">IF($B91="","",IFERROR(INDEX('المواد الخام'!$L$5:$L$104,MATCH($B91,'المواد الخام'!$A$5:$A$104,0)),IFERROR(INDEX(المنتجات!$P$5:$P$24,MATCH($B91,المنتجات!$A$5:$A$24,0)),0)))</f>
        <v/>
      </c>
      <c r="E91" s="24"/>
      <c r="F91" s="27" t="str">
        <f aca="false">IF(OR($B91="",E91=""),"",E91-D91)</f>
        <v/>
      </c>
      <c r="G91" s="28" t="str">
        <f aca="false">IF(F91="","",IF(F91=0,"مطابق",IF(F91&gt;0,"سجّل تسوية زيادة","سجّل تسوية نقص")))</f>
        <v/>
      </c>
      <c r="H91" s="29"/>
    </row>
    <row r="92" customFormat="false" ht="15" hidden="false" customHeight="false" outlineLevel="0" collapsed="false">
      <c r="A92" s="32"/>
      <c r="B92" s="29"/>
      <c r="C92" s="28" t="str">
        <f aca="false">IF($B92="","",IFERROR(INDEX('المواد الخام'!$B$5:$B$104,MATCH($B92,'المواد الخام'!$A$5:$A$104,0)),IFERROR(INDEX(المنتجات!$C$5:$C$24,MATCH($B92,المنتجات!$A$5:$A$24,0)),"كود غير موجود")))</f>
        <v/>
      </c>
      <c r="D92" s="27" t="str">
        <f aca="false">IF($B92="","",IFERROR(INDEX('المواد الخام'!$L$5:$L$104,MATCH($B92,'المواد الخام'!$A$5:$A$104,0)),IFERROR(INDEX(المنتجات!$P$5:$P$24,MATCH($B92,المنتجات!$A$5:$A$24,0)),0)))</f>
        <v/>
      </c>
      <c r="E92" s="24"/>
      <c r="F92" s="27" t="str">
        <f aca="false">IF(OR($B92="",E92=""),"",E92-D92)</f>
        <v/>
      </c>
      <c r="G92" s="28" t="str">
        <f aca="false">IF(F92="","",IF(F92=0,"مطابق",IF(F92&gt;0,"سجّل تسوية زيادة","سجّل تسوية نقص")))</f>
        <v/>
      </c>
      <c r="H92" s="29"/>
    </row>
    <row r="93" customFormat="false" ht="15" hidden="false" customHeight="false" outlineLevel="0" collapsed="false">
      <c r="A93" s="32"/>
      <c r="B93" s="29"/>
      <c r="C93" s="28" t="str">
        <f aca="false">IF($B93="","",IFERROR(INDEX('المواد الخام'!$B$5:$B$104,MATCH($B93,'المواد الخام'!$A$5:$A$104,0)),IFERROR(INDEX(المنتجات!$C$5:$C$24,MATCH($B93,المنتجات!$A$5:$A$24,0)),"كود غير موجود")))</f>
        <v/>
      </c>
      <c r="D93" s="27" t="str">
        <f aca="false">IF($B93="","",IFERROR(INDEX('المواد الخام'!$L$5:$L$104,MATCH($B93,'المواد الخام'!$A$5:$A$104,0)),IFERROR(INDEX(المنتجات!$P$5:$P$24,MATCH($B93,المنتجات!$A$5:$A$24,0)),0)))</f>
        <v/>
      </c>
      <c r="E93" s="24"/>
      <c r="F93" s="27" t="str">
        <f aca="false">IF(OR($B93="",E93=""),"",E93-D93)</f>
        <v/>
      </c>
      <c r="G93" s="28" t="str">
        <f aca="false">IF(F93="","",IF(F93=0,"مطابق",IF(F93&gt;0,"سجّل تسوية زيادة","سجّل تسوية نقص")))</f>
        <v/>
      </c>
      <c r="H93" s="29"/>
    </row>
    <row r="94" customFormat="false" ht="15" hidden="false" customHeight="false" outlineLevel="0" collapsed="false">
      <c r="A94" s="32"/>
      <c r="B94" s="29"/>
      <c r="C94" s="28" t="str">
        <f aca="false">IF($B94="","",IFERROR(INDEX('المواد الخام'!$B$5:$B$104,MATCH($B94,'المواد الخام'!$A$5:$A$104,0)),IFERROR(INDEX(المنتجات!$C$5:$C$24,MATCH($B94,المنتجات!$A$5:$A$24,0)),"كود غير موجود")))</f>
        <v/>
      </c>
      <c r="D94" s="27" t="str">
        <f aca="false">IF($B94="","",IFERROR(INDEX('المواد الخام'!$L$5:$L$104,MATCH($B94,'المواد الخام'!$A$5:$A$104,0)),IFERROR(INDEX(المنتجات!$P$5:$P$24,MATCH($B94,المنتجات!$A$5:$A$24,0)),0)))</f>
        <v/>
      </c>
      <c r="E94" s="24"/>
      <c r="F94" s="27" t="str">
        <f aca="false">IF(OR($B94="",E94=""),"",E94-D94)</f>
        <v/>
      </c>
      <c r="G94" s="28" t="str">
        <f aca="false">IF(F94="","",IF(F94=0,"مطابق",IF(F94&gt;0,"سجّل تسوية زيادة","سجّل تسوية نقص")))</f>
        <v/>
      </c>
      <c r="H94" s="29"/>
    </row>
    <row r="95" customFormat="false" ht="15" hidden="false" customHeight="false" outlineLevel="0" collapsed="false">
      <c r="A95" s="32"/>
      <c r="B95" s="29"/>
      <c r="C95" s="28" t="str">
        <f aca="false">IF($B95="","",IFERROR(INDEX('المواد الخام'!$B$5:$B$104,MATCH($B95,'المواد الخام'!$A$5:$A$104,0)),IFERROR(INDEX(المنتجات!$C$5:$C$24,MATCH($B95,المنتجات!$A$5:$A$24,0)),"كود غير موجود")))</f>
        <v/>
      </c>
      <c r="D95" s="27" t="str">
        <f aca="false">IF($B95="","",IFERROR(INDEX('المواد الخام'!$L$5:$L$104,MATCH($B95,'المواد الخام'!$A$5:$A$104,0)),IFERROR(INDEX(المنتجات!$P$5:$P$24,MATCH($B95,المنتجات!$A$5:$A$24,0)),0)))</f>
        <v/>
      </c>
      <c r="E95" s="24"/>
      <c r="F95" s="27" t="str">
        <f aca="false">IF(OR($B95="",E95=""),"",E95-D95)</f>
        <v/>
      </c>
      <c r="G95" s="28" t="str">
        <f aca="false">IF(F95="","",IF(F95=0,"مطابق",IF(F95&gt;0,"سجّل تسوية زيادة","سجّل تسوية نقص")))</f>
        <v/>
      </c>
      <c r="H95" s="29"/>
    </row>
    <row r="96" customFormat="false" ht="15" hidden="false" customHeight="false" outlineLevel="0" collapsed="false">
      <c r="A96" s="32"/>
      <c r="B96" s="29"/>
      <c r="C96" s="28" t="str">
        <f aca="false">IF($B96="","",IFERROR(INDEX('المواد الخام'!$B$5:$B$104,MATCH($B96,'المواد الخام'!$A$5:$A$104,0)),IFERROR(INDEX(المنتجات!$C$5:$C$24,MATCH($B96,المنتجات!$A$5:$A$24,0)),"كود غير موجود")))</f>
        <v/>
      </c>
      <c r="D96" s="27" t="str">
        <f aca="false">IF($B96="","",IFERROR(INDEX('المواد الخام'!$L$5:$L$104,MATCH($B96,'المواد الخام'!$A$5:$A$104,0)),IFERROR(INDEX(المنتجات!$P$5:$P$24,MATCH($B96,المنتجات!$A$5:$A$24,0)),0)))</f>
        <v/>
      </c>
      <c r="E96" s="24"/>
      <c r="F96" s="27" t="str">
        <f aca="false">IF(OR($B96="",E96=""),"",E96-D96)</f>
        <v/>
      </c>
      <c r="G96" s="28" t="str">
        <f aca="false">IF(F96="","",IF(F96=0,"مطابق",IF(F96&gt;0,"سجّل تسوية زيادة","سجّل تسوية نقص")))</f>
        <v/>
      </c>
      <c r="H96" s="29"/>
    </row>
    <row r="97" customFormat="false" ht="15" hidden="false" customHeight="false" outlineLevel="0" collapsed="false">
      <c r="A97" s="32"/>
      <c r="B97" s="29"/>
      <c r="C97" s="28" t="str">
        <f aca="false">IF($B97="","",IFERROR(INDEX('المواد الخام'!$B$5:$B$104,MATCH($B97,'المواد الخام'!$A$5:$A$104,0)),IFERROR(INDEX(المنتجات!$C$5:$C$24,MATCH($B97,المنتجات!$A$5:$A$24,0)),"كود غير موجود")))</f>
        <v/>
      </c>
      <c r="D97" s="27" t="str">
        <f aca="false">IF($B97="","",IFERROR(INDEX('المواد الخام'!$L$5:$L$104,MATCH($B97,'المواد الخام'!$A$5:$A$104,0)),IFERROR(INDEX(المنتجات!$P$5:$P$24,MATCH($B97,المنتجات!$A$5:$A$24,0)),0)))</f>
        <v/>
      </c>
      <c r="E97" s="24"/>
      <c r="F97" s="27" t="str">
        <f aca="false">IF(OR($B97="",E97=""),"",E97-D97)</f>
        <v/>
      </c>
      <c r="G97" s="28" t="str">
        <f aca="false">IF(F97="","",IF(F97=0,"مطابق",IF(F97&gt;0,"سجّل تسوية زيادة","سجّل تسوية نقص")))</f>
        <v/>
      </c>
      <c r="H97" s="29"/>
    </row>
    <row r="98" customFormat="false" ht="15" hidden="false" customHeight="false" outlineLevel="0" collapsed="false">
      <c r="A98" s="32"/>
      <c r="B98" s="29"/>
      <c r="C98" s="28" t="str">
        <f aca="false">IF($B98="","",IFERROR(INDEX('المواد الخام'!$B$5:$B$104,MATCH($B98,'المواد الخام'!$A$5:$A$104,0)),IFERROR(INDEX(المنتجات!$C$5:$C$24,MATCH($B98,المنتجات!$A$5:$A$24,0)),"كود غير موجود")))</f>
        <v/>
      </c>
      <c r="D98" s="27" t="str">
        <f aca="false">IF($B98="","",IFERROR(INDEX('المواد الخام'!$L$5:$L$104,MATCH($B98,'المواد الخام'!$A$5:$A$104,0)),IFERROR(INDEX(المنتجات!$P$5:$P$24,MATCH($B98,المنتجات!$A$5:$A$24,0)),0)))</f>
        <v/>
      </c>
      <c r="E98" s="24"/>
      <c r="F98" s="27" t="str">
        <f aca="false">IF(OR($B98="",E98=""),"",E98-D98)</f>
        <v/>
      </c>
      <c r="G98" s="28" t="str">
        <f aca="false">IF(F98="","",IF(F98=0,"مطابق",IF(F98&gt;0,"سجّل تسوية زيادة","سجّل تسوية نقص")))</f>
        <v/>
      </c>
      <c r="H98" s="29"/>
    </row>
    <row r="99" customFormat="false" ht="15" hidden="false" customHeight="false" outlineLevel="0" collapsed="false">
      <c r="A99" s="32"/>
      <c r="B99" s="29"/>
      <c r="C99" s="28" t="str">
        <f aca="false">IF($B99="","",IFERROR(INDEX('المواد الخام'!$B$5:$B$104,MATCH($B99,'المواد الخام'!$A$5:$A$104,0)),IFERROR(INDEX(المنتجات!$C$5:$C$24,MATCH($B99,المنتجات!$A$5:$A$24,0)),"كود غير موجود")))</f>
        <v/>
      </c>
      <c r="D99" s="27" t="str">
        <f aca="false">IF($B99="","",IFERROR(INDEX('المواد الخام'!$L$5:$L$104,MATCH($B99,'المواد الخام'!$A$5:$A$104,0)),IFERROR(INDEX(المنتجات!$P$5:$P$24,MATCH($B99,المنتجات!$A$5:$A$24,0)),0)))</f>
        <v/>
      </c>
      <c r="E99" s="24"/>
      <c r="F99" s="27" t="str">
        <f aca="false">IF(OR($B99="",E99=""),"",E99-D99)</f>
        <v/>
      </c>
      <c r="G99" s="28" t="str">
        <f aca="false">IF(F99="","",IF(F99=0,"مطابق",IF(F99&gt;0,"سجّل تسوية زيادة","سجّل تسوية نقص")))</f>
        <v/>
      </c>
      <c r="H99" s="29"/>
    </row>
    <row r="100" customFormat="false" ht="15" hidden="false" customHeight="false" outlineLevel="0" collapsed="false">
      <c r="A100" s="32"/>
      <c r="B100" s="29"/>
      <c r="C100" s="28" t="str">
        <f aca="false">IF($B100="","",IFERROR(INDEX('المواد الخام'!$B$5:$B$104,MATCH($B100,'المواد الخام'!$A$5:$A$104,0)),IFERROR(INDEX(المنتجات!$C$5:$C$24,MATCH($B100,المنتجات!$A$5:$A$24,0)),"كود غير موجود")))</f>
        <v/>
      </c>
      <c r="D100" s="27" t="str">
        <f aca="false">IF($B100="","",IFERROR(INDEX('المواد الخام'!$L$5:$L$104,MATCH($B100,'المواد الخام'!$A$5:$A$104,0)),IFERROR(INDEX(المنتجات!$P$5:$P$24,MATCH($B100,المنتجات!$A$5:$A$24,0)),0)))</f>
        <v/>
      </c>
      <c r="E100" s="24"/>
      <c r="F100" s="27" t="str">
        <f aca="false">IF(OR($B100="",E100=""),"",E100-D100)</f>
        <v/>
      </c>
      <c r="G100" s="28" t="str">
        <f aca="false">IF(F100="","",IF(F100=0,"مطابق",IF(F100&gt;0,"سجّل تسوية زيادة","سجّل تسوية نقص")))</f>
        <v/>
      </c>
      <c r="H100" s="29"/>
    </row>
    <row r="101" customFormat="false" ht="15" hidden="false" customHeight="false" outlineLevel="0" collapsed="false">
      <c r="A101" s="32"/>
      <c r="B101" s="29"/>
      <c r="C101" s="28" t="str">
        <f aca="false">IF($B101="","",IFERROR(INDEX('المواد الخام'!$B$5:$B$104,MATCH($B101,'المواد الخام'!$A$5:$A$104,0)),IFERROR(INDEX(المنتجات!$C$5:$C$24,MATCH($B101,المنتجات!$A$5:$A$24,0)),"كود غير موجود")))</f>
        <v/>
      </c>
      <c r="D101" s="27" t="str">
        <f aca="false">IF($B101="","",IFERROR(INDEX('المواد الخام'!$L$5:$L$104,MATCH($B101,'المواد الخام'!$A$5:$A$104,0)),IFERROR(INDEX(المنتجات!$P$5:$P$24,MATCH($B101,المنتجات!$A$5:$A$24,0)),0)))</f>
        <v/>
      </c>
      <c r="E101" s="24"/>
      <c r="F101" s="27" t="str">
        <f aca="false">IF(OR($B101="",E101=""),"",E101-D101)</f>
        <v/>
      </c>
      <c r="G101" s="28" t="str">
        <f aca="false">IF(F101="","",IF(F101=0,"مطابق",IF(F101&gt;0,"سجّل تسوية زيادة","سجّل تسوية نقص")))</f>
        <v/>
      </c>
      <c r="H101" s="29"/>
    </row>
    <row r="102" customFormat="false" ht="15" hidden="false" customHeight="false" outlineLevel="0" collapsed="false">
      <c r="A102" s="32"/>
      <c r="B102" s="29"/>
      <c r="C102" s="28" t="str">
        <f aca="false">IF($B102="","",IFERROR(INDEX('المواد الخام'!$B$5:$B$104,MATCH($B102,'المواد الخام'!$A$5:$A$104,0)),IFERROR(INDEX(المنتجات!$C$5:$C$24,MATCH($B102,المنتجات!$A$5:$A$24,0)),"كود غير موجود")))</f>
        <v/>
      </c>
      <c r="D102" s="27" t="str">
        <f aca="false">IF($B102="","",IFERROR(INDEX('المواد الخام'!$L$5:$L$104,MATCH($B102,'المواد الخام'!$A$5:$A$104,0)),IFERROR(INDEX(المنتجات!$P$5:$P$24,MATCH($B102,المنتجات!$A$5:$A$24,0)),0)))</f>
        <v/>
      </c>
      <c r="E102" s="24"/>
      <c r="F102" s="27" t="str">
        <f aca="false">IF(OR($B102="",E102=""),"",E102-D102)</f>
        <v/>
      </c>
      <c r="G102" s="28" t="str">
        <f aca="false">IF(F102="","",IF(F102=0,"مطابق",IF(F102&gt;0,"سجّل تسوية زيادة","سجّل تسوية نقص")))</f>
        <v/>
      </c>
      <c r="H102" s="29"/>
    </row>
    <row r="103" customFormat="false" ht="15" hidden="false" customHeight="false" outlineLevel="0" collapsed="false">
      <c r="A103" s="32"/>
      <c r="B103" s="29"/>
      <c r="C103" s="28" t="str">
        <f aca="false">IF($B103="","",IFERROR(INDEX('المواد الخام'!$B$5:$B$104,MATCH($B103,'المواد الخام'!$A$5:$A$104,0)),IFERROR(INDEX(المنتجات!$C$5:$C$24,MATCH($B103,المنتجات!$A$5:$A$24,0)),"كود غير موجود")))</f>
        <v/>
      </c>
      <c r="D103" s="27" t="str">
        <f aca="false">IF($B103="","",IFERROR(INDEX('المواد الخام'!$L$5:$L$104,MATCH($B103,'المواد الخام'!$A$5:$A$104,0)),IFERROR(INDEX(المنتجات!$P$5:$P$24,MATCH($B103,المنتجات!$A$5:$A$24,0)),0)))</f>
        <v/>
      </c>
      <c r="E103" s="24"/>
      <c r="F103" s="27" t="str">
        <f aca="false">IF(OR($B103="",E103=""),"",E103-D103)</f>
        <v/>
      </c>
      <c r="G103" s="28" t="str">
        <f aca="false">IF(F103="","",IF(F103=0,"مطابق",IF(F103&gt;0,"سجّل تسوية زيادة","سجّل تسوية نقص")))</f>
        <v/>
      </c>
      <c r="H103" s="29"/>
    </row>
    <row r="104" customFormat="false" ht="15" hidden="false" customHeight="false" outlineLevel="0" collapsed="false">
      <c r="A104" s="32"/>
      <c r="B104" s="29"/>
      <c r="C104" s="28" t="str">
        <f aca="false">IF($B104="","",IFERROR(INDEX('المواد الخام'!$B$5:$B$104,MATCH($B104,'المواد الخام'!$A$5:$A$104,0)),IFERROR(INDEX(المنتجات!$C$5:$C$24,MATCH($B104,المنتجات!$A$5:$A$24,0)),"كود غير موجود")))</f>
        <v/>
      </c>
      <c r="D104" s="27" t="str">
        <f aca="false">IF($B104="","",IFERROR(INDEX('المواد الخام'!$L$5:$L$104,MATCH($B104,'المواد الخام'!$A$5:$A$104,0)),IFERROR(INDEX(المنتجات!$P$5:$P$24,MATCH($B104,المنتجات!$A$5:$A$24,0)),0)))</f>
        <v/>
      </c>
      <c r="E104" s="24"/>
      <c r="F104" s="27" t="str">
        <f aca="false">IF(OR($B104="",E104=""),"",E104-D104)</f>
        <v/>
      </c>
      <c r="G104" s="28" t="str">
        <f aca="false">IF(F104="","",IF(F104=0,"مطابق",IF(F104&gt;0,"سجّل تسوية زيادة","سجّل تسوية نقص")))</f>
        <v/>
      </c>
      <c r="H104" s="29"/>
    </row>
    <row r="105" customFormat="false" ht="15" hidden="false" customHeight="false" outlineLevel="0" collapsed="false">
      <c r="A105" s="32"/>
      <c r="B105" s="29"/>
      <c r="C105" s="28" t="str">
        <f aca="false">IF($B105="","",IFERROR(INDEX('المواد الخام'!$B$5:$B$104,MATCH($B105,'المواد الخام'!$A$5:$A$104,0)),IFERROR(INDEX(المنتجات!$C$5:$C$24,MATCH($B105,المنتجات!$A$5:$A$24,0)),"كود غير موجود")))</f>
        <v/>
      </c>
      <c r="D105" s="27" t="str">
        <f aca="false">IF($B105="","",IFERROR(INDEX('المواد الخام'!$L$5:$L$104,MATCH($B105,'المواد الخام'!$A$5:$A$104,0)),IFERROR(INDEX(المنتجات!$P$5:$P$24,MATCH($B105,المنتجات!$A$5:$A$24,0)),0)))</f>
        <v/>
      </c>
      <c r="E105" s="24"/>
      <c r="F105" s="27" t="str">
        <f aca="false">IF(OR($B105="",E105=""),"",E105-D105)</f>
        <v/>
      </c>
      <c r="G105" s="28" t="str">
        <f aca="false">IF(F105="","",IF(F105=0,"مطابق",IF(F105&gt;0,"سجّل تسوية زيادة","سجّل تسوية نقص")))</f>
        <v/>
      </c>
      <c r="H105" s="29"/>
    </row>
    <row r="106" customFormat="false" ht="15" hidden="false" customHeight="false" outlineLevel="0" collapsed="false">
      <c r="A106" s="32"/>
      <c r="B106" s="29"/>
      <c r="C106" s="28" t="str">
        <f aca="false">IF($B106="","",IFERROR(INDEX('المواد الخام'!$B$5:$B$104,MATCH($B106,'المواد الخام'!$A$5:$A$104,0)),IFERROR(INDEX(المنتجات!$C$5:$C$24,MATCH($B106,المنتجات!$A$5:$A$24,0)),"كود غير موجود")))</f>
        <v/>
      </c>
      <c r="D106" s="27" t="str">
        <f aca="false">IF($B106="","",IFERROR(INDEX('المواد الخام'!$L$5:$L$104,MATCH($B106,'المواد الخام'!$A$5:$A$104,0)),IFERROR(INDEX(المنتجات!$P$5:$P$24,MATCH($B106,المنتجات!$A$5:$A$24,0)),0)))</f>
        <v/>
      </c>
      <c r="E106" s="24"/>
      <c r="F106" s="27" t="str">
        <f aca="false">IF(OR($B106="",E106=""),"",E106-D106)</f>
        <v/>
      </c>
      <c r="G106" s="28" t="str">
        <f aca="false">IF(F106="","",IF(F106=0,"مطابق",IF(F106&gt;0,"سجّل تسوية زيادة","سجّل تسوية نقص")))</f>
        <v/>
      </c>
      <c r="H106" s="29"/>
    </row>
    <row r="107" customFormat="false" ht="15" hidden="false" customHeight="false" outlineLevel="0" collapsed="false">
      <c r="A107" s="32"/>
      <c r="B107" s="29"/>
      <c r="C107" s="28" t="str">
        <f aca="false">IF($B107="","",IFERROR(INDEX('المواد الخام'!$B$5:$B$104,MATCH($B107,'المواد الخام'!$A$5:$A$104,0)),IFERROR(INDEX(المنتجات!$C$5:$C$24,MATCH($B107,المنتجات!$A$5:$A$24,0)),"كود غير موجود")))</f>
        <v/>
      </c>
      <c r="D107" s="27" t="str">
        <f aca="false">IF($B107="","",IFERROR(INDEX('المواد الخام'!$L$5:$L$104,MATCH($B107,'المواد الخام'!$A$5:$A$104,0)),IFERROR(INDEX(المنتجات!$P$5:$P$24,MATCH($B107,المنتجات!$A$5:$A$24,0)),0)))</f>
        <v/>
      </c>
      <c r="E107" s="24"/>
      <c r="F107" s="27" t="str">
        <f aca="false">IF(OR($B107="",E107=""),"",E107-D107)</f>
        <v/>
      </c>
      <c r="G107" s="28" t="str">
        <f aca="false">IF(F107="","",IF(F107=0,"مطابق",IF(F107&gt;0,"سجّل تسوية زيادة","سجّل تسوية نقص")))</f>
        <v/>
      </c>
      <c r="H107" s="29"/>
    </row>
    <row r="108" customFormat="false" ht="15" hidden="false" customHeight="false" outlineLevel="0" collapsed="false">
      <c r="A108" s="32"/>
      <c r="B108" s="29"/>
      <c r="C108" s="28" t="str">
        <f aca="false">IF($B108="","",IFERROR(INDEX('المواد الخام'!$B$5:$B$104,MATCH($B108,'المواد الخام'!$A$5:$A$104,0)),IFERROR(INDEX(المنتجات!$C$5:$C$24,MATCH($B108,المنتجات!$A$5:$A$24,0)),"كود غير موجود")))</f>
        <v/>
      </c>
      <c r="D108" s="27" t="str">
        <f aca="false">IF($B108="","",IFERROR(INDEX('المواد الخام'!$L$5:$L$104,MATCH($B108,'المواد الخام'!$A$5:$A$104,0)),IFERROR(INDEX(المنتجات!$P$5:$P$24,MATCH($B108,المنتجات!$A$5:$A$24,0)),0)))</f>
        <v/>
      </c>
      <c r="E108" s="24"/>
      <c r="F108" s="27" t="str">
        <f aca="false">IF(OR($B108="",E108=""),"",E108-D108)</f>
        <v/>
      </c>
      <c r="G108" s="28" t="str">
        <f aca="false">IF(F108="","",IF(F108=0,"مطابق",IF(F108&gt;0,"سجّل تسوية زيادة","سجّل تسوية نقص")))</f>
        <v/>
      </c>
      <c r="H108" s="29"/>
    </row>
    <row r="109" customFormat="false" ht="15" hidden="false" customHeight="false" outlineLevel="0" collapsed="false">
      <c r="A109" s="32"/>
      <c r="B109" s="29"/>
      <c r="C109" s="28" t="str">
        <f aca="false">IF($B109="","",IFERROR(INDEX('المواد الخام'!$B$5:$B$104,MATCH($B109,'المواد الخام'!$A$5:$A$104,0)),IFERROR(INDEX(المنتجات!$C$5:$C$24,MATCH($B109,المنتجات!$A$5:$A$24,0)),"كود غير موجود")))</f>
        <v/>
      </c>
      <c r="D109" s="27" t="str">
        <f aca="false">IF($B109="","",IFERROR(INDEX('المواد الخام'!$L$5:$L$104,MATCH($B109,'المواد الخام'!$A$5:$A$104,0)),IFERROR(INDEX(المنتجات!$P$5:$P$24,MATCH($B109,المنتجات!$A$5:$A$24,0)),0)))</f>
        <v/>
      </c>
      <c r="E109" s="24"/>
      <c r="F109" s="27" t="str">
        <f aca="false">IF(OR($B109="",E109=""),"",E109-D109)</f>
        <v/>
      </c>
      <c r="G109" s="28" t="str">
        <f aca="false">IF(F109="","",IF(F109=0,"مطابق",IF(F109&gt;0,"سجّل تسوية زيادة","سجّل تسوية نقص")))</f>
        <v/>
      </c>
      <c r="H109" s="29"/>
    </row>
    <row r="110" customFormat="false" ht="15" hidden="false" customHeight="false" outlineLevel="0" collapsed="false">
      <c r="A110" s="32"/>
      <c r="B110" s="29"/>
      <c r="C110" s="28" t="str">
        <f aca="false">IF($B110="","",IFERROR(INDEX('المواد الخام'!$B$5:$B$104,MATCH($B110,'المواد الخام'!$A$5:$A$104,0)),IFERROR(INDEX(المنتجات!$C$5:$C$24,MATCH($B110,المنتجات!$A$5:$A$24,0)),"كود غير موجود")))</f>
        <v/>
      </c>
      <c r="D110" s="27" t="str">
        <f aca="false">IF($B110="","",IFERROR(INDEX('المواد الخام'!$L$5:$L$104,MATCH($B110,'المواد الخام'!$A$5:$A$104,0)),IFERROR(INDEX(المنتجات!$P$5:$P$24,MATCH($B110,المنتجات!$A$5:$A$24,0)),0)))</f>
        <v/>
      </c>
      <c r="E110" s="24"/>
      <c r="F110" s="27" t="str">
        <f aca="false">IF(OR($B110="",E110=""),"",E110-D110)</f>
        <v/>
      </c>
      <c r="G110" s="28" t="str">
        <f aca="false">IF(F110="","",IF(F110=0,"مطابق",IF(F110&gt;0,"سجّل تسوية زيادة","سجّل تسوية نقص")))</f>
        <v/>
      </c>
      <c r="H110" s="29"/>
    </row>
    <row r="111" customFormat="false" ht="15" hidden="false" customHeight="false" outlineLevel="0" collapsed="false">
      <c r="A111" s="32"/>
      <c r="B111" s="29"/>
      <c r="C111" s="28" t="str">
        <f aca="false">IF($B111="","",IFERROR(INDEX('المواد الخام'!$B$5:$B$104,MATCH($B111,'المواد الخام'!$A$5:$A$104,0)),IFERROR(INDEX(المنتجات!$C$5:$C$24,MATCH($B111,المنتجات!$A$5:$A$24,0)),"كود غير موجود")))</f>
        <v/>
      </c>
      <c r="D111" s="27" t="str">
        <f aca="false">IF($B111="","",IFERROR(INDEX('المواد الخام'!$L$5:$L$104,MATCH($B111,'المواد الخام'!$A$5:$A$104,0)),IFERROR(INDEX(المنتجات!$P$5:$P$24,MATCH($B111,المنتجات!$A$5:$A$24,0)),0)))</f>
        <v/>
      </c>
      <c r="E111" s="24"/>
      <c r="F111" s="27" t="str">
        <f aca="false">IF(OR($B111="",E111=""),"",E111-D111)</f>
        <v/>
      </c>
      <c r="G111" s="28" t="str">
        <f aca="false">IF(F111="","",IF(F111=0,"مطابق",IF(F111&gt;0,"سجّل تسوية زيادة","سجّل تسوية نقص")))</f>
        <v/>
      </c>
      <c r="H111" s="29"/>
    </row>
    <row r="112" customFormat="false" ht="15" hidden="false" customHeight="false" outlineLevel="0" collapsed="false">
      <c r="A112" s="32"/>
      <c r="B112" s="29"/>
      <c r="C112" s="28" t="str">
        <f aca="false">IF($B112="","",IFERROR(INDEX('المواد الخام'!$B$5:$B$104,MATCH($B112,'المواد الخام'!$A$5:$A$104,0)),IFERROR(INDEX(المنتجات!$C$5:$C$24,MATCH($B112,المنتجات!$A$5:$A$24,0)),"كود غير موجود")))</f>
        <v/>
      </c>
      <c r="D112" s="27" t="str">
        <f aca="false">IF($B112="","",IFERROR(INDEX('المواد الخام'!$L$5:$L$104,MATCH($B112,'المواد الخام'!$A$5:$A$104,0)),IFERROR(INDEX(المنتجات!$P$5:$P$24,MATCH($B112,المنتجات!$A$5:$A$24,0)),0)))</f>
        <v/>
      </c>
      <c r="E112" s="24"/>
      <c r="F112" s="27" t="str">
        <f aca="false">IF(OR($B112="",E112=""),"",E112-D112)</f>
        <v/>
      </c>
      <c r="G112" s="28" t="str">
        <f aca="false">IF(F112="","",IF(F112=0,"مطابق",IF(F112&gt;0,"سجّل تسوية زيادة","سجّل تسوية نقص")))</f>
        <v/>
      </c>
      <c r="H112" s="29"/>
    </row>
    <row r="113" customFormat="false" ht="15" hidden="false" customHeight="false" outlineLevel="0" collapsed="false">
      <c r="A113" s="32"/>
      <c r="B113" s="29"/>
      <c r="C113" s="28" t="str">
        <f aca="false">IF($B113="","",IFERROR(INDEX('المواد الخام'!$B$5:$B$104,MATCH($B113,'المواد الخام'!$A$5:$A$104,0)),IFERROR(INDEX(المنتجات!$C$5:$C$24,MATCH($B113,المنتجات!$A$5:$A$24,0)),"كود غير موجود")))</f>
        <v/>
      </c>
      <c r="D113" s="27" t="str">
        <f aca="false">IF($B113="","",IFERROR(INDEX('المواد الخام'!$L$5:$L$104,MATCH($B113,'المواد الخام'!$A$5:$A$104,0)),IFERROR(INDEX(المنتجات!$P$5:$P$24,MATCH($B113,المنتجات!$A$5:$A$24,0)),0)))</f>
        <v/>
      </c>
      <c r="E113" s="24"/>
      <c r="F113" s="27" t="str">
        <f aca="false">IF(OR($B113="",E113=""),"",E113-D113)</f>
        <v/>
      </c>
      <c r="G113" s="28" t="str">
        <f aca="false">IF(F113="","",IF(F113=0,"مطابق",IF(F113&gt;0,"سجّل تسوية زيادة","سجّل تسوية نقص")))</f>
        <v/>
      </c>
      <c r="H113" s="29"/>
    </row>
    <row r="114" customFormat="false" ht="15" hidden="false" customHeight="false" outlineLevel="0" collapsed="false">
      <c r="A114" s="32"/>
      <c r="B114" s="29"/>
      <c r="C114" s="28" t="str">
        <f aca="false">IF($B114="","",IFERROR(INDEX('المواد الخام'!$B$5:$B$104,MATCH($B114,'المواد الخام'!$A$5:$A$104,0)),IFERROR(INDEX(المنتجات!$C$5:$C$24,MATCH($B114,المنتجات!$A$5:$A$24,0)),"كود غير موجود")))</f>
        <v/>
      </c>
      <c r="D114" s="27" t="str">
        <f aca="false">IF($B114="","",IFERROR(INDEX('المواد الخام'!$L$5:$L$104,MATCH($B114,'المواد الخام'!$A$5:$A$104,0)),IFERROR(INDEX(المنتجات!$P$5:$P$24,MATCH($B114,المنتجات!$A$5:$A$24,0)),0)))</f>
        <v/>
      </c>
      <c r="E114" s="24"/>
      <c r="F114" s="27" t="str">
        <f aca="false">IF(OR($B114="",E114=""),"",E114-D114)</f>
        <v/>
      </c>
      <c r="G114" s="28" t="str">
        <f aca="false">IF(F114="","",IF(F114=0,"مطابق",IF(F114&gt;0,"سجّل تسوية زيادة","سجّل تسوية نقص")))</f>
        <v/>
      </c>
      <c r="H114" s="29"/>
    </row>
    <row r="115" customFormat="false" ht="15" hidden="false" customHeight="false" outlineLevel="0" collapsed="false">
      <c r="A115" s="32"/>
      <c r="B115" s="29"/>
      <c r="C115" s="28" t="str">
        <f aca="false">IF($B115="","",IFERROR(INDEX('المواد الخام'!$B$5:$B$104,MATCH($B115,'المواد الخام'!$A$5:$A$104,0)),IFERROR(INDEX(المنتجات!$C$5:$C$24,MATCH($B115,المنتجات!$A$5:$A$24,0)),"كود غير موجود")))</f>
        <v/>
      </c>
      <c r="D115" s="27" t="str">
        <f aca="false">IF($B115="","",IFERROR(INDEX('المواد الخام'!$L$5:$L$104,MATCH($B115,'المواد الخام'!$A$5:$A$104,0)),IFERROR(INDEX(المنتجات!$P$5:$P$24,MATCH($B115,المنتجات!$A$5:$A$24,0)),0)))</f>
        <v/>
      </c>
      <c r="E115" s="24"/>
      <c r="F115" s="27" t="str">
        <f aca="false">IF(OR($B115="",E115=""),"",E115-D115)</f>
        <v/>
      </c>
      <c r="G115" s="28" t="str">
        <f aca="false">IF(F115="","",IF(F115=0,"مطابق",IF(F115&gt;0,"سجّل تسوية زيادة","سجّل تسوية نقص")))</f>
        <v/>
      </c>
      <c r="H115" s="29"/>
    </row>
    <row r="116" customFormat="false" ht="15" hidden="false" customHeight="false" outlineLevel="0" collapsed="false">
      <c r="A116" s="32"/>
      <c r="B116" s="29"/>
      <c r="C116" s="28" t="str">
        <f aca="false">IF($B116="","",IFERROR(INDEX('المواد الخام'!$B$5:$B$104,MATCH($B116,'المواد الخام'!$A$5:$A$104,0)),IFERROR(INDEX(المنتجات!$C$5:$C$24,MATCH($B116,المنتجات!$A$5:$A$24,0)),"كود غير موجود")))</f>
        <v/>
      </c>
      <c r="D116" s="27" t="str">
        <f aca="false">IF($B116="","",IFERROR(INDEX('المواد الخام'!$L$5:$L$104,MATCH($B116,'المواد الخام'!$A$5:$A$104,0)),IFERROR(INDEX(المنتجات!$P$5:$P$24,MATCH($B116,المنتجات!$A$5:$A$24,0)),0)))</f>
        <v/>
      </c>
      <c r="E116" s="24"/>
      <c r="F116" s="27" t="str">
        <f aca="false">IF(OR($B116="",E116=""),"",E116-D116)</f>
        <v/>
      </c>
      <c r="G116" s="28" t="str">
        <f aca="false">IF(F116="","",IF(F116=0,"مطابق",IF(F116&gt;0,"سجّل تسوية زيادة","سجّل تسوية نقص")))</f>
        <v/>
      </c>
      <c r="H116" s="29"/>
    </row>
    <row r="117" customFormat="false" ht="15" hidden="false" customHeight="false" outlineLevel="0" collapsed="false">
      <c r="A117" s="32"/>
      <c r="B117" s="29"/>
      <c r="C117" s="28" t="str">
        <f aca="false">IF($B117="","",IFERROR(INDEX('المواد الخام'!$B$5:$B$104,MATCH($B117,'المواد الخام'!$A$5:$A$104,0)),IFERROR(INDEX(المنتجات!$C$5:$C$24,MATCH($B117,المنتجات!$A$5:$A$24,0)),"كود غير موجود")))</f>
        <v/>
      </c>
      <c r="D117" s="27" t="str">
        <f aca="false">IF($B117="","",IFERROR(INDEX('المواد الخام'!$L$5:$L$104,MATCH($B117,'المواد الخام'!$A$5:$A$104,0)),IFERROR(INDEX(المنتجات!$P$5:$P$24,MATCH($B117,المنتجات!$A$5:$A$24,0)),0)))</f>
        <v/>
      </c>
      <c r="E117" s="24"/>
      <c r="F117" s="27" t="str">
        <f aca="false">IF(OR($B117="",E117=""),"",E117-D117)</f>
        <v/>
      </c>
      <c r="G117" s="28" t="str">
        <f aca="false">IF(F117="","",IF(F117=0,"مطابق",IF(F117&gt;0,"سجّل تسوية زيادة","سجّل تسوية نقص")))</f>
        <v/>
      </c>
      <c r="H117" s="29"/>
    </row>
    <row r="118" customFormat="false" ht="15" hidden="false" customHeight="false" outlineLevel="0" collapsed="false">
      <c r="A118" s="32"/>
      <c r="B118" s="29"/>
      <c r="C118" s="28" t="str">
        <f aca="false">IF($B118="","",IFERROR(INDEX('المواد الخام'!$B$5:$B$104,MATCH($B118,'المواد الخام'!$A$5:$A$104,0)),IFERROR(INDEX(المنتجات!$C$5:$C$24,MATCH($B118,المنتجات!$A$5:$A$24,0)),"كود غير موجود")))</f>
        <v/>
      </c>
      <c r="D118" s="27" t="str">
        <f aca="false">IF($B118="","",IFERROR(INDEX('المواد الخام'!$L$5:$L$104,MATCH($B118,'المواد الخام'!$A$5:$A$104,0)),IFERROR(INDEX(المنتجات!$P$5:$P$24,MATCH($B118,المنتجات!$A$5:$A$24,0)),0)))</f>
        <v/>
      </c>
      <c r="E118" s="24"/>
      <c r="F118" s="27" t="str">
        <f aca="false">IF(OR($B118="",E118=""),"",E118-D118)</f>
        <v/>
      </c>
      <c r="G118" s="28" t="str">
        <f aca="false">IF(F118="","",IF(F118=0,"مطابق",IF(F118&gt;0,"سجّل تسوية زيادة","سجّل تسوية نقص")))</f>
        <v/>
      </c>
      <c r="H118" s="29"/>
    </row>
    <row r="119" customFormat="false" ht="15" hidden="false" customHeight="false" outlineLevel="0" collapsed="false">
      <c r="A119" s="32"/>
      <c r="B119" s="29"/>
      <c r="C119" s="28" t="str">
        <f aca="false">IF($B119="","",IFERROR(INDEX('المواد الخام'!$B$5:$B$104,MATCH($B119,'المواد الخام'!$A$5:$A$104,0)),IFERROR(INDEX(المنتجات!$C$5:$C$24,MATCH($B119,المنتجات!$A$5:$A$24,0)),"كود غير موجود")))</f>
        <v/>
      </c>
      <c r="D119" s="27" t="str">
        <f aca="false">IF($B119="","",IFERROR(INDEX('المواد الخام'!$L$5:$L$104,MATCH($B119,'المواد الخام'!$A$5:$A$104,0)),IFERROR(INDEX(المنتجات!$P$5:$P$24,MATCH($B119,المنتجات!$A$5:$A$24,0)),0)))</f>
        <v/>
      </c>
      <c r="E119" s="24"/>
      <c r="F119" s="27" t="str">
        <f aca="false">IF(OR($B119="",E119=""),"",E119-D119)</f>
        <v/>
      </c>
      <c r="G119" s="28" t="str">
        <f aca="false">IF(F119="","",IF(F119=0,"مطابق",IF(F119&gt;0,"سجّل تسوية زيادة","سجّل تسوية نقص")))</f>
        <v/>
      </c>
      <c r="H119" s="29"/>
    </row>
    <row r="120" customFormat="false" ht="15" hidden="false" customHeight="false" outlineLevel="0" collapsed="false">
      <c r="A120" s="32"/>
      <c r="B120" s="29"/>
      <c r="C120" s="28" t="str">
        <f aca="false">IF($B120="","",IFERROR(INDEX('المواد الخام'!$B$5:$B$104,MATCH($B120,'المواد الخام'!$A$5:$A$104,0)),IFERROR(INDEX(المنتجات!$C$5:$C$24,MATCH($B120,المنتجات!$A$5:$A$24,0)),"كود غير موجود")))</f>
        <v/>
      </c>
      <c r="D120" s="27" t="str">
        <f aca="false">IF($B120="","",IFERROR(INDEX('المواد الخام'!$L$5:$L$104,MATCH($B120,'المواد الخام'!$A$5:$A$104,0)),IFERROR(INDEX(المنتجات!$P$5:$P$24,MATCH($B120,المنتجات!$A$5:$A$24,0)),0)))</f>
        <v/>
      </c>
      <c r="E120" s="24"/>
      <c r="F120" s="27" t="str">
        <f aca="false">IF(OR($B120="",E120=""),"",E120-D120)</f>
        <v/>
      </c>
      <c r="G120" s="28" t="str">
        <f aca="false">IF(F120="","",IF(F120=0,"مطابق",IF(F120&gt;0,"سجّل تسوية زيادة","سجّل تسوية نقص")))</f>
        <v/>
      </c>
      <c r="H120" s="29"/>
    </row>
    <row r="121" customFormat="false" ht="15" hidden="false" customHeight="false" outlineLevel="0" collapsed="false">
      <c r="A121" s="32"/>
      <c r="B121" s="29"/>
      <c r="C121" s="28" t="str">
        <f aca="false">IF($B121="","",IFERROR(INDEX('المواد الخام'!$B$5:$B$104,MATCH($B121,'المواد الخام'!$A$5:$A$104,0)),IFERROR(INDEX(المنتجات!$C$5:$C$24,MATCH($B121,المنتجات!$A$5:$A$24,0)),"كود غير موجود")))</f>
        <v/>
      </c>
      <c r="D121" s="27" t="str">
        <f aca="false">IF($B121="","",IFERROR(INDEX('المواد الخام'!$L$5:$L$104,MATCH($B121,'المواد الخام'!$A$5:$A$104,0)),IFERROR(INDEX(المنتجات!$P$5:$P$24,MATCH($B121,المنتجات!$A$5:$A$24,0)),0)))</f>
        <v/>
      </c>
      <c r="E121" s="24"/>
      <c r="F121" s="27" t="str">
        <f aca="false">IF(OR($B121="",E121=""),"",E121-D121)</f>
        <v/>
      </c>
      <c r="G121" s="28" t="str">
        <f aca="false">IF(F121="","",IF(F121=0,"مطابق",IF(F121&gt;0,"سجّل تسوية زيادة","سجّل تسوية نقص")))</f>
        <v/>
      </c>
      <c r="H121" s="29"/>
    </row>
    <row r="122" customFormat="false" ht="15" hidden="false" customHeight="false" outlineLevel="0" collapsed="false">
      <c r="A122" s="32"/>
      <c r="B122" s="29"/>
      <c r="C122" s="28" t="str">
        <f aca="false">IF($B122="","",IFERROR(INDEX('المواد الخام'!$B$5:$B$104,MATCH($B122,'المواد الخام'!$A$5:$A$104,0)),IFERROR(INDEX(المنتجات!$C$5:$C$24,MATCH($B122,المنتجات!$A$5:$A$24,0)),"كود غير موجود")))</f>
        <v/>
      </c>
      <c r="D122" s="27" t="str">
        <f aca="false">IF($B122="","",IFERROR(INDEX('المواد الخام'!$L$5:$L$104,MATCH($B122,'المواد الخام'!$A$5:$A$104,0)),IFERROR(INDEX(المنتجات!$P$5:$P$24,MATCH($B122,المنتجات!$A$5:$A$24,0)),0)))</f>
        <v/>
      </c>
      <c r="E122" s="24"/>
      <c r="F122" s="27" t="str">
        <f aca="false">IF(OR($B122="",E122=""),"",E122-D122)</f>
        <v/>
      </c>
      <c r="G122" s="28" t="str">
        <f aca="false">IF(F122="","",IF(F122=0,"مطابق",IF(F122&gt;0,"سجّل تسوية زيادة","سجّل تسوية نقص")))</f>
        <v/>
      </c>
      <c r="H122" s="29"/>
    </row>
    <row r="123" customFormat="false" ht="15" hidden="false" customHeight="false" outlineLevel="0" collapsed="false">
      <c r="A123" s="32"/>
      <c r="B123" s="29"/>
      <c r="C123" s="28" t="str">
        <f aca="false">IF($B123="","",IFERROR(INDEX('المواد الخام'!$B$5:$B$104,MATCH($B123,'المواد الخام'!$A$5:$A$104,0)),IFERROR(INDEX(المنتجات!$C$5:$C$24,MATCH($B123,المنتجات!$A$5:$A$24,0)),"كود غير موجود")))</f>
        <v/>
      </c>
      <c r="D123" s="27" t="str">
        <f aca="false">IF($B123="","",IFERROR(INDEX('المواد الخام'!$L$5:$L$104,MATCH($B123,'المواد الخام'!$A$5:$A$104,0)),IFERROR(INDEX(المنتجات!$P$5:$P$24,MATCH($B123,المنتجات!$A$5:$A$24,0)),0)))</f>
        <v/>
      </c>
      <c r="E123" s="24"/>
      <c r="F123" s="27" t="str">
        <f aca="false">IF(OR($B123="",E123=""),"",E123-D123)</f>
        <v/>
      </c>
      <c r="G123" s="28" t="str">
        <f aca="false">IF(F123="","",IF(F123=0,"مطابق",IF(F123&gt;0,"سجّل تسوية زيادة","سجّل تسوية نقص")))</f>
        <v/>
      </c>
      <c r="H123" s="29"/>
    </row>
    <row r="124" customFormat="false" ht="15" hidden="false" customHeight="false" outlineLevel="0" collapsed="false">
      <c r="A124" s="32"/>
      <c r="B124" s="29"/>
      <c r="C124" s="28" t="str">
        <f aca="false">IF($B124="","",IFERROR(INDEX('المواد الخام'!$B$5:$B$104,MATCH($B124,'المواد الخام'!$A$5:$A$104,0)),IFERROR(INDEX(المنتجات!$C$5:$C$24,MATCH($B124,المنتجات!$A$5:$A$24,0)),"كود غير موجود")))</f>
        <v/>
      </c>
      <c r="D124" s="27" t="str">
        <f aca="false">IF($B124="","",IFERROR(INDEX('المواد الخام'!$L$5:$L$104,MATCH($B124,'المواد الخام'!$A$5:$A$104,0)),IFERROR(INDEX(المنتجات!$P$5:$P$24,MATCH($B124,المنتجات!$A$5:$A$24,0)),0)))</f>
        <v/>
      </c>
      <c r="E124" s="24"/>
      <c r="F124" s="27" t="str">
        <f aca="false">IF(OR($B124="",E124=""),"",E124-D124)</f>
        <v/>
      </c>
      <c r="G124" s="28" t="str">
        <f aca="false">IF(F124="","",IF(F124=0,"مطابق",IF(F124&gt;0,"سجّل تسوية زيادة","سجّل تسوية نقص")))</f>
        <v/>
      </c>
      <c r="H124" s="29"/>
    </row>
    <row r="125" customFormat="false" ht="15" hidden="false" customHeight="false" outlineLevel="0" collapsed="false">
      <c r="A125" s="32"/>
      <c r="B125" s="29"/>
      <c r="C125" s="28" t="str">
        <f aca="false">IF($B125="","",IFERROR(INDEX('المواد الخام'!$B$5:$B$104,MATCH($B125,'المواد الخام'!$A$5:$A$104,0)),IFERROR(INDEX(المنتجات!$C$5:$C$24,MATCH($B125,المنتجات!$A$5:$A$24,0)),"كود غير موجود")))</f>
        <v/>
      </c>
      <c r="D125" s="27" t="str">
        <f aca="false">IF($B125="","",IFERROR(INDEX('المواد الخام'!$L$5:$L$104,MATCH($B125,'المواد الخام'!$A$5:$A$104,0)),IFERROR(INDEX(المنتجات!$P$5:$P$24,MATCH($B125,المنتجات!$A$5:$A$24,0)),0)))</f>
        <v/>
      </c>
      <c r="E125" s="24"/>
      <c r="F125" s="27" t="str">
        <f aca="false">IF(OR($B125="",E125=""),"",E125-D125)</f>
        <v/>
      </c>
      <c r="G125" s="28" t="str">
        <f aca="false">IF(F125="","",IF(F125=0,"مطابق",IF(F125&gt;0,"سجّل تسوية زيادة","سجّل تسوية نقص")))</f>
        <v/>
      </c>
      <c r="H125" s="29"/>
    </row>
    <row r="126" customFormat="false" ht="15" hidden="false" customHeight="false" outlineLevel="0" collapsed="false">
      <c r="A126" s="32"/>
      <c r="B126" s="29"/>
      <c r="C126" s="28" t="str">
        <f aca="false">IF($B126="","",IFERROR(INDEX('المواد الخام'!$B$5:$B$104,MATCH($B126,'المواد الخام'!$A$5:$A$104,0)),IFERROR(INDEX(المنتجات!$C$5:$C$24,MATCH($B126,المنتجات!$A$5:$A$24,0)),"كود غير موجود")))</f>
        <v/>
      </c>
      <c r="D126" s="27" t="str">
        <f aca="false">IF($B126="","",IFERROR(INDEX('المواد الخام'!$L$5:$L$104,MATCH($B126,'المواد الخام'!$A$5:$A$104,0)),IFERROR(INDEX(المنتجات!$P$5:$P$24,MATCH($B126,المنتجات!$A$5:$A$24,0)),0)))</f>
        <v/>
      </c>
      <c r="E126" s="24"/>
      <c r="F126" s="27" t="str">
        <f aca="false">IF(OR($B126="",E126=""),"",E126-D126)</f>
        <v/>
      </c>
      <c r="G126" s="28" t="str">
        <f aca="false">IF(F126="","",IF(F126=0,"مطابق",IF(F126&gt;0,"سجّل تسوية زيادة","سجّل تسوية نقص")))</f>
        <v/>
      </c>
      <c r="H126" s="29"/>
    </row>
    <row r="127" customFormat="false" ht="15" hidden="false" customHeight="false" outlineLevel="0" collapsed="false">
      <c r="A127" s="32"/>
      <c r="B127" s="29"/>
      <c r="C127" s="28" t="str">
        <f aca="false">IF($B127="","",IFERROR(INDEX('المواد الخام'!$B$5:$B$104,MATCH($B127,'المواد الخام'!$A$5:$A$104,0)),IFERROR(INDEX(المنتجات!$C$5:$C$24,MATCH($B127,المنتجات!$A$5:$A$24,0)),"كود غير موجود")))</f>
        <v/>
      </c>
      <c r="D127" s="27" t="str">
        <f aca="false">IF($B127="","",IFERROR(INDEX('المواد الخام'!$L$5:$L$104,MATCH($B127,'المواد الخام'!$A$5:$A$104,0)),IFERROR(INDEX(المنتجات!$P$5:$P$24,MATCH($B127,المنتجات!$A$5:$A$24,0)),0)))</f>
        <v/>
      </c>
      <c r="E127" s="24"/>
      <c r="F127" s="27" t="str">
        <f aca="false">IF(OR($B127="",E127=""),"",E127-D127)</f>
        <v/>
      </c>
      <c r="G127" s="28" t="str">
        <f aca="false">IF(F127="","",IF(F127=0,"مطابق",IF(F127&gt;0,"سجّل تسوية زيادة","سجّل تسوية نقص")))</f>
        <v/>
      </c>
      <c r="H127" s="29"/>
    </row>
    <row r="128" customFormat="false" ht="15" hidden="false" customHeight="false" outlineLevel="0" collapsed="false">
      <c r="A128" s="32"/>
      <c r="B128" s="29"/>
      <c r="C128" s="28" t="str">
        <f aca="false">IF($B128="","",IFERROR(INDEX('المواد الخام'!$B$5:$B$104,MATCH($B128,'المواد الخام'!$A$5:$A$104,0)),IFERROR(INDEX(المنتجات!$C$5:$C$24,MATCH($B128,المنتجات!$A$5:$A$24,0)),"كود غير موجود")))</f>
        <v/>
      </c>
      <c r="D128" s="27" t="str">
        <f aca="false">IF($B128="","",IFERROR(INDEX('المواد الخام'!$L$5:$L$104,MATCH($B128,'المواد الخام'!$A$5:$A$104,0)),IFERROR(INDEX(المنتجات!$P$5:$P$24,MATCH($B128,المنتجات!$A$5:$A$24,0)),0)))</f>
        <v/>
      </c>
      <c r="E128" s="24"/>
      <c r="F128" s="27" t="str">
        <f aca="false">IF(OR($B128="",E128=""),"",E128-D128)</f>
        <v/>
      </c>
      <c r="G128" s="28" t="str">
        <f aca="false">IF(F128="","",IF(F128=0,"مطابق",IF(F128&gt;0,"سجّل تسوية زيادة","سجّل تسوية نقص")))</f>
        <v/>
      </c>
      <c r="H128" s="29"/>
    </row>
    <row r="129" customFormat="false" ht="15" hidden="false" customHeight="false" outlineLevel="0" collapsed="false">
      <c r="A129" s="32"/>
      <c r="B129" s="29"/>
      <c r="C129" s="28" t="str">
        <f aca="false">IF($B129="","",IFERROR(INDEX('المواد الخام'!$B$5:$B$104,MATCH($B129,'المواد الخام'!$A$5:$A$104,0)),IFERROR(INDEX(المنتجات!$C$5:$C$24,MATCH($B129,المنتجات!$A$5:$A$24,0)),"كود غير موجود")))</f>
        <v/>
      </c>
      <c r="D129" s="27" t="str">
        <f aca="false">IF($B129="","",IFERROR(INDEX('المواد الخام'!$L$5:$L$104,MATCH($B129,'المواد الخام'!$A$5:$A$104,0)),IFERROR(INDEX(المنتجات!$P$5:$P$24,MATCH($B129,المنتجات!$A$5:$A$24,0)),0)))</f>
        <v/>
      </c>
      <c r="E129" s="24"/>
      <c r="F129" s="27" t="str">
        <f aca="false">IF(OR($B129="",E129=""),"",E129-D129)</f>
        <v/>
      </c>
      <c r="G129" s="28" t="str">
        <f aca="false">IF(F129="","",IF(F129=0,"مطابق",IF(F129&gt;0,"سجّل تسوية زيادة","سجّل تسوية نقص")))</f>
        <v/>
      </c>
      <c r="H129" s="29"/>
    </row>
    <row r="130" customFormat="false" ht="15" hidden="false" customHeight="false" outlineLevel="0" collapsed="false">
      <c r="A130" s="32"/>
      <c r="B130" s="29"/>
      <c r="C130" s="28" t="str">
        <f aca="false">IF($B130="","",IFERROR(INDEX('المواد الخام'!$B$5:$B$104,MATCH($B130,'المواد الخام'!$A$5:$A$104,0)),IFERROR(INDEX(المنتجات!$C$5:$C$24,MATCH($B130,المنتجات!$A$5:$A$24,0)),"كود غير موجود")))</f>
        <v/>
      </c>
      <c r="D130" s="27" t="str">
        <f aca="false">IF($B130="","",IFERROR(INDEX('المواد الخام'!$L$5:$L$104,MATCH($B130,'المواد الخام'!$A$5:$A$104,0)),IFERROR(INDEX(المنتجات!$P$5:$P$24,MATCH($B130,المنتجات!$A$5:$A$24,0)),0)))</f>
        <v/>
      </c>
      <c r="E130" s="24"/>
      <c r="F130" s="27" t="str">
        <f aca="false">IF(OR($B130="",E130=""),"",E130-D130)</f>
        <v/>
      </c>
      <c r="G130" s="28" t="str">
        <f aca="false">IF(F130="","",IF(F130=0,"مطابق",IF(F130&gt;0,"سجّل تسوية زيادة","سجّل تسوية نقص")))</f>
        <v/>
      </c>
      <c r="H130" s="29"/>
    </row>
    <row r="131" customFormat="false" ht="15" hidden="false" customHeight="false" outlineLevel="0" collapsed="false">
      <c r="A131" s="32"/>
      <c r="B131" s="29"/>
      <c r="C131" s="28" t="str">
        <f aca="false">IF($B131="","",IFERROR(INDEX('المواد الخام'!$B$5:$B$104,MATCH($B131,'المواد الخام'!$A$5:$A$104,0)),IFERROR(INDEX(المنتجات!$C$5:$C$24,MATCH($B131,المنتجات!$A$5:$A$24,0)),"كود غير موجود")))</f>
        <v/>
      </c>
      <c r="D131" s="27" t="str">
        <f aca="false">IF($B131="","",IFERROR(INDEX('المواد الخام'!$L$5:$L$104,MATCH($B131,'المواد الخام'!$A$5:$A$104,0)),IFERROR(INDEX(المنتجات!$P$5:$P$24,MATCH($B131,المنتجات!$A$5:$A$24,0)),0)))</f>
        <v/>
      </c>
      <c r="E131" s="24"/>
      <c r="F131" s="27" t="str">
        <f aca="false">IF(OR($B131="",E131=""),"",E131-D131)</f>
        <v/>
      </c>
      <c r="G131" s="28" t="str">
        <f aca="false">IF(F131="","",IF(F131=0,"مطابق",IF(F131&gt;0,"سجّل تسوية زيادة","سجّل تسوية نقص")))</f>
        <v/>
      </c>
      <c r="H131" s="29"/>
    </row>
    <row r="132" customFormat="false" ht="15" hidden="false" customHeight="false" outlineLevel="0" collapsed="false">
      <c r="A132" s="32"/>
      <c r="B132" s="29"/>
      <c r="C132" s="28" t="str">
        <f aca="false">IF($B132="","",IFERROR(INDEX('المواد الخام'!$B$5:$B$104,MATCH($B132,'المواد الخام'!$A$5:$A$104,0)),IFERROR(INDEX(المنتجات!$C$5:$C$24,MATCH($B132,المنتجات!$A$5:$A$24,0)),"كود غير موجود")))</f>
        <v/>
      </c>
      <c r="D132" s="27" t="str">
        <f aca="false">IF($B132="","",IFERROR(INDEX('المواد الخام'!$L$5:$L$104,MATCH($B132,'المواد الخام'!$A$5:$A$104,0)),IFERROR(INDEX(المنتجات!$P$5:$P$24,MATCH($B132,المنتجات!$A$5:$A$24,0)),0)))</f>
        <v/>
      </c>
      <c r="E132" s="24"/>
      <c r="F132" s="27" t="str">
        <f aca="false">IF(OR($B132="",E132=""),"",E132-D132)</f>
        <v/>
      </c>
      <c r="G132" s="28" t="str">
        <f aca="false">IF(F132="","",IF(F132=0,"مطابق",IF(F132&gt;0,"سجّل تسوية زيادة","سجّل تسوية نقص")))</f>
        <v/>
      </c>
      <c r="H132" s="29"/>
    </row>
    <row r="133" customFormat="false" ht="15" hidden="false" customHeight="false" outlineLevel="0" collapsed="false">
      <c r="A133" s="32"/>
      <c r="B133" s="29"/>
      <c r="C133" s="28" t="str">
        <f aca="false">IF($B133="","",IFERROR(INDEX('المواد الخام'!$B$5:$B$104,MATCH($B133,'المواد الخام'!$A$5:$A$104,0)),IFERROR(INDEX(المنتجات!$C$5:$C$24,MATCH($B133,المنتجات!$A$5:$A$24,0)),"كود غير موجود")))</f>
        <v/>
      </c>
      <c r="D133" s="27" t="str">
        <f aca="false">IF($B133="","",IFERROR(INDEX('المواد الخام'!$L$5:$L$104,MATCH($B133,'المواد الخام'!$A$5:$A$104,0)),IFERROR(INDEX(المنتجات!$P$5:$P$24,MATCH($B133,المنتجات!$A$5:$A$24,0)),0)))</f>
        <v/>
      </c>
      <c r="E133" s="24"/>
      <c r="F133" s="27" t="str">
        <f aca="false">IF(OR($B133="",E133=""),"",E133-D133)</f>
        <v/>
      </c>
      <c r="G133" s="28" t="str">
        <f aca="false">IF(F133="","",IF(F133=0,"مطابق",IF(F133&gt;0,"سجّل تسوية زيادة","سجّل تسوية نقص")))</f>
        <v/>
      </c>
      <c r="H133" s="29"/>
    </row>
    <row r="134" customFormat="false" ht="15" hidden="false" customHeight="false" outlineLevel="0" collapsed="false">
      <c r="A134" s="32"/>
      <c r="B134" s="29"/>
      <c r="C134" s="28" t="str">
        <f aca="false">IF($B134="","",IFERROR(INDEX('المواد الخام'!$B$5:$B$104,MATCH($B134,'المواد الخام'!$A$5:$A$104,0)),IFERROR(INDEX(المنتجات!$C$5:$C$24,MATCH($B134,المنتجات!$A$5:$A$24,0)),"كود غير موجود")))</f>
        <v/>
      </c>
      <c r="D134" s="27" t="str">
        <f aca="false">IF($B134="","",IFERROR(INDEX('المواد الخام'!$L$5:$L$104,MATCH($B134,'المواد الخام'!$A$5:$A$104,0)),IFERROR(INDEX(المنتجات!$P$5:$P$24,MATCH($B134,المنتجات!$A$5:$A$24,0)),0)))</f>
        <v/>
      </c>
      <c r="E134" s="24"/>
      <c r="F134" s="27" t="str">
        <f aca="false">IF(OR($B134="",E134=""),"",E134-D134)</f>
        <v/>
      </c>
      <c r="G134" s="28" t="str">
        <f aca="false">IF(F134="","",IF(F134=0,"مطابق",IF(F134&gt;0,"سجّل تسوية زيادة","سجّل تسوية نقص")))</f>
        <v/>
      </c>
      <c r="H134" s="29"/>
    </row>
    <row r="135" customFormat="false" ht="15" hidden="false" customHeight="false" outlineLevel="0" collapsed="false">
      <c r="A135" s="32"/>
      <c r="B135" s="29"/>
      <c r="C135" s="28" t="str">
        <f aca="false">IF($B135="","",IFERROR(INDEX('المواد الخام'!$B$5:$B$104,MATCH($B135,'المواد الخام'!$A$5:$A$104,0)),IFERROR(INDEX(المنتجات!$C$5:$C$24,MATCH($B135,المنتجات!$A$5:$A$24,0)),"كود غير موجود")))</f>
        <v/>
      </c>
      <c r="D135" s="27" t="str">
        <f aca="false">IF($B135="","",IFERROR(INDEX('المواد الخام'!$L$5:$L$104,MATCH($B135,'المواد الخام'!$A$5:$A$104,0)),IFERROR(INDEX(المنتجات!$P$5:$P$24,MATCH($B135,المنتجات!$A$5:$A$24,0)),0)))</f>
        <v/>
      </c>
      <c r="E135" s="24"/>
      <c r="F135" s="27" t="str">
        <f aca="false">IF(OR($B135="",E135=""),"",E135-D135)</f>
        <v/>
      </c>
      <c r="G135" s="28" t="str">
        <f aca="false">IF(F135="","",IF(F135=0,"مطابق",IF(F135&gt;0,"سجّل تسوية زيادة","سجّل تسوية نقص")))</f>
        <v/>
      </c>
      <c r="H135" s="29"/>
    </row>
    <row r="136" customFormat="false" ht="15" hidden="false" customHeight="false" outlineLevel="0" collapsed="false">
      <c r="A136" s="32"/>
      <c r="B136" s="29"/>
      <c r="C136" s="28" t="str">
        <f aca="false">IF($B136="","",IFERROR(INDEX('المواد الخام'!$B$5:$B$104,MATCH($B136,'المواد الخام'!$A$5:$A$104,0)),IFERROR(INDEX(المنتجات!$C$5:$C$24,MATCH($B136,المنتجات!$A$5:$A$24,0)),"كود غير موجود")))</f>
        <v/>
      </c>
      <c r="D136" s="27" t="str">
        <f aca="false">IF($B136="","",IFERROR(INDEX('المواد الخام'!$L$5:$L$104,MATCH($B136,'المواد الخام'!$A$5:$A$104,0)),IFERROR(INDEX(المنتجات!$P$5:$P$24,MATCH($B136,المنتجات!$A$5:$A$24,0)),0)))</f>
        <v/>
      </c>
      <c r="E136" s="24"/>
      <c r="F136" s="27" t="str">
        <f aca="false">IF(OR($B136="",E136=""),"",E136-D136)</f>
        <v/>
      </c>
      <c r="G136" s="28" t="str">
        <f aca="false">IF(F136="","",IF(F136=0,"مطابق",IF(F136&gt;0,"سجّل تسوية زيادة","سجّل تسوية نقص")))</f>
        <v/>
      </c>
      <c r="H136" s="29"/>
    </row>
    <row r="137" customFormat="false" ht="15" hidden="false" customHeight="false" outlineLevel="0" collapsed="false">
      <c r="A137" s="32"/>
      <c r="B137" s="29"/>
      <c r="C137" s="28" t="str">
        <f aca="false">IF($B137="","",IFERROR(INDEX('المواد الخام'!$B$5:$B$104,MATCH($B137,'المواد الخام'!$A$5:$A$104,0)),IFERROR(INDEX(المنتجات!$C$5:$C$24,MATCH($B137,المنتجات!$A$5:$A$24,0)),"كود غير موجود")))</f>
        <v/>
      </c>
      <c r="D137" s="27" t="str">
        <f aca="false">IF($B137="","",IFERROR(INDEX('المواد الخام'!$L$5:$L$104,MATCH($B137,'المواد الخام'!$A$5:$A$104,0)),IFERROR(INDEX(المنتجات!$P$5:$P$24,MATCH($B137,المنتجات!$A$5:$A$24,0)),0)))</f>
        <v/>
      </c>
      <c r="E137" s="24"/>
      <c r="F137" s="27" t="str">
        <f aca="false">IF(OR($B137="",E137=""),"",E137-D137)</f>
        <v/>
      </c>
      <c r="G137" s="28" t="str">
        <f aca="false">IF(F137="","",IF(F137=0,"مطابق",IF(F137&gt;0,"سجّل تسوية زيادة","سجّل تسوية نقص")))</f>
        <v/>
      </c>
      <c r="H137" s="29"/>
    </row>
    <row r="138" customFormat="false" ht="15" hidden="false" customHeight="false" outlineLevel="0" collapsed="false">
      <c r="A138" s="32"/>
      <c r="B138" s="29"/>
      <c r="C138" s="28" t="str">
        <f aca="false">IF($B138="","",IFERROR(INDEX('المواد الخام'!$B$5:$B$104,MATCH($B138,'المواد الخام'!$A$5:$A$104,0)),IFERROR(INDEX(المنتجات!$C$5:$C$24,MATCH($B138,المنتجات!$A$5:$A$24,0)),"كود غير موجود")))</f>
        <v/>
      </c>
      <c r="D138" s="27" t="str">
        <f aca="false">IF($B138="","",IFERROR(INDEX('المواد الخام'!$L$5:$L$104,MATCH($B138,'المواد الخام'!$A$5:$A$104,0)),IFERROR(INDEX(المنتجات!$P$5:$P$24,MATCH($B138,المنتجات!$A$5:$A$24,0)),0)))</f>
        <v/>
      </c>
      <c r="E138" s="24"/>
      <c r="F138" s="27" t="str">
        <f aca="false">IF(OR($B138="",E138=""),"",E138-D138)</f>
        <v/>
      </c>
      <c r="G138" s="28" t="str">
        <f aca="false">IF(F138="","",IF(F138=0,"مطابق",IF(F138&gt;0,"سجّل تسوية زيادة","سجّل تسوية نقص")))</f>
        <v/>
      </c>
      <c r="H138" s="29"/>
    </row>
    <row r="139" customFormat="false" ht="15" hidden="false" customHeight="false" outlineLevel="0" collapsed="false">
      <c r="A139" s="32"/>
      <c r="B139" s="29"/>
      <c r="C139" s="28" t="str">
        <f aca="false">IF($B139="","",IFERROR(INDEX('المواد الخام'!$B$5:$B$104,MATCH($B139,'المواد الخام'!$A$5:$A$104,0)),IFERROR(INDEX(المنتجات!$C$5:$C$24,MATCH($B139,المنتجات!$A$5:$A$24,0)),"كود غير موجود")))</f>
        <v/>
      </c>
      <c r="D139" s="27" t="str">
        <f aca="false">IF($B139="","",IFERROR(INDEX('المواد الخام'!$L$5:$L$104,MATCH($B139,'المواد الخام'!$A$5:$A$104,0)),IFERROR(INDEX(المنتجات!$P$5:$P$24,MATCH($B139,المنتجات!$A$5:$A$24,0)),0)))</f>
        <v/>
      </c>
      <c r="E139" s="24"/>
      <c r="F139" s="27" t="str">
        <f aca="false">IF(OR($B139="",E139=""),"",E139-D139)</f>
        <v/>
      </c>
      <c r="G139" s="28" t="str">
        <f aca="false">IF(F139="","",IF(F139=0,"مطابق",IF(F139&gt;0,"سجّل تسوية زيادة","سجّل تسوية نقص")))</f>
        <v/>
      </c>
      <c r="H139" s="29"/>
    </row>
    <row r="140" customFormat="false" ht="15" hidden="false" customHeight="false" outlineLevel="0" collapsed="false">
      <c r="A140" s="32"/>
      <c r="B140" s="29"/>
      <c r="C140" s="28" t="str">
        <f aca="false">IF($B140="","",IFERROR(INDEX('المواد الخام'!$B$5:$B$104,MATCH($B140,'المواد الخام'!$A$5:$A$104,0)),IFERROR(INDEX(المنتجات!$C$5:$C$24,MATCH($B140,المنتجات!$A$5:$A$24,0)),"كود غير موجود")))</f>
        <v/>
      </c>
      <c r="D140" s="27" t="str">
        <f aca="false">IF($B140="","",IFERROR(INDEX('المواد الخام'!$L$5:$L$104,MATCH($B140,'المواد الخام'!$A$5:$A$104,0)),IFERROR(INDEX(المنتجات!$P$5:$P$24,MATCH($B140,المنتجات!$A$5:$A$24,0)),0)))</f>
        <v/>
      </c>
      <c r="E140" s="24"/>
      <c r="F140" s="27" t="str">
        <f aca="false">IF(OR($B140="",E140=""),"",E140-D140)</f>
        <v/>
      </c>
      <c r="G140" s="28" t="str">
        <f aca="false">IF(F140="","",IF(F140=0,"مطابق",IF(F140&gt;0,"سجّل تسوية زيادة","سجّل تسوية نقص")))</f>
        <v/>
      </c>
      <c r="H140" s="29"/>
    </row>
    <row r="141" customFormat="false" ht="15" hidden="false" customHeight="false" outlineLevel="0" collapsed="false">
      <c r="A141" s="32"/>
      <c r="B141" s="29"/>
      <c r="C141" s="28" t="str">
        <f aca="false">IF($B141="","",IFERROR(INDEX('المواد الخام'!$B$5:$B$104,MATCH($B141,'المواد الخام'!$A$5:$A$104,0)),IFERROR(INDEX(المنتجات!$C$5:$C$24,MATCH($B141,المنتجات!$A$5:$A$24,0)),"كود غير موجود")))</f>
        <v/>
      </c>
      <c r="D141" s="27" t="str">
        <f aca="false">IF($B141="","",IFERROR(INDEX('المواد الخام'!$L$5:$L$104,MATCH($B141,'المواد الخام'!$A$5:$A$104,0)),IFERROR(INDEX(المنتجات!$P$5:$P$24,MATCH($B141,المنتجات!$A$5:$A$24,0)),0)))</f>
        <v/>
      </c>
      <c r="E141" s="24"/>
      <c r="F141" s="27" t="str">
        <f aca="false">IF(OR($B141="",E141=""),"",E141-D141)</f>
        <v/>
      </c>
      <c r="G141" s="28" t="str">
        <f aca="false">IF(F141="","",IF(F141=0,"مطابق",IF(F141&gt;0,"سجّل تسوية زيادة","سجّل تسوية نقص")))</f>
        <v/>
      </c>
      <c r="H141" s="29"/>
    </row>
    <row r="142" customFormat="false" ht="15" hidden="false" customHeight="false" outlineLevel="0" collapsed="false">
      <c r="A142" s="32"/>
      <c r="B142" s="29"/>
      <c r="C142" s="28" t="str">
        <f aca="false">IF($B142="","",IFERROR(INDEX('المواد الخام'!$B$5:$B$104,MATCH($B142,'المواد الخام'!$A$5:$A$104,0)),IFERROR(INDEX(المنتجات!$C$5:$C$24,MATCH($B142,المنتجات!$A$5:$A$24,0)),"كود غير موجود")))</f>
        <v/>
      </c>
      <c r="D142" s="27" t="str">
        <f aca="false">IF($B142="","",IFERROR(INDEX('المواد الخام'!$L$5:$L$104,MATCH($B142,'المواد الخام'!$A$5:$A$104,0)),IFERROR(INDEX(المنتجات!$P$5:$P$24,MATCH($B142,المنتجات!$A$5:$A$24,0)),0)))</f>
        <v/>
      </c>
      <c r="E142" s="24"/>
      <c r="F142" s="27" t="str">
        <f aca="false">IF(OR($B142="",E142=""),"",E142-D142)</f>
        <v/>
      </c>
      <c r="G142" s="28" t="str">
        <f aca="false">IF(F142="","",IF(F142=0,"مطابق",IF(F142&gt;0,"سجّل تسوية زيادة","سجّل تسوية نقص")))</f>
        <v/>
      </c>
      <c r="H142" s="29"/>
    </row>
    <row r="143" customFormat="false" ht="15" hidden="false" customHeight="false" outlineLevel="0" collapsed="false">
      <c r="A143" s="32"/>
      <c r="B143" s="29"/>
      <c r="C143" s="28" t="str">
        <f aca="false">IF($B143="","",IFERROR(INDEX('المواد الخام'!$B$5:$B$104,MATCH($B143,'المواد الخام'!$A$5:$A$104,0)),IFERROR(INDEX(المنتجات!$C$5:$C$24,MATCH($B143,المنتجات!$A$5:$A$24,0)),"كود غير موجود")))</f>
        <v/>
      </c>
      <c r="D143" s="27" t="str">
        <f aca="false">IF($B143="","",IFERROR(INDEX('المواد الخام'!$L$5:$L$104,MATCH($B143,'المواد الخام'!$A$5:$A$104,0)),IFERROR(INDEX(المنتجات!$P$5:$P$24,MATCH($B143,المنتجات!$A$5:$A$24,0)),0)))</f>
        <v/>
      </c>
      <c r="E143" s="24"/>
      <c r="F143" s="27" t="str">
        <f aca="false">IF(OR($B143="",E143=""),"",E143-D143)</f>
        <v/>
      </c>
      <c r="G143" s="28" t="str">
        <f aca="false">IF(F143="","",IF(F143=0,"مطابق",IF(F143&gt;0,"سجّل تسوية زيادة","سجّل تسوية نقص")))</f>
        <v/>
      </c>
      <c r="H143" s="29"/>
    </row>
    <row r="144" customFormat="false" ht="15" hidden="false" customHeight="false" outlineLevel="0" collapsed="false">
      <c r="A144" s="32"/>
      <c r="B144" s="29"/>
      <c r="C144" s="28" t="str">
        <f aca="false">IF($B144="","",IFERROR(INDEX('المواد الخام'!$B$5:$B$104,MATCH($B144,'المواد الخام'!$A$5:$A$104,0)),IFERROR(INDEX(المنتجات!$C$5:$C$24,MATCH($B144,المنتجات!$A$5:$A$24,0)),"كود غير موجود")))</f>
        <v/>
      </c>
      <c r="D144" s="27" t="str">
        <f aca="false">IF($B144="","",IFERROR(INDEX('المواد الخام'!$L$5:$L$104,MATCH($B144,'المواد الخام'!$A$5:$A$104,0)),IFERROR(INDEX(المنتجات!$P$5:$P$24,MATCH($B144,المنتجات!$A$5:$A$24,0)),0)))</f>
        <v/>
      </c>
      <c r="E144" s="24"/>
      <c r="F144" s="27" t="str">
        <f aca="false">IF(OR($B144="",E144=""),"",E144-D144)</f>
        <v/>
      </c>
      <c r="G144" s="28" t="str">
        <f aca="false">IF(F144="","",IF(F144=0,"مطابق",IF(F144&gt;0,"سجّل تسوية زيادة","سجّل تسوية نقص")))</f>
        <v/>
      </c>
      <c r="H144" s="29"/>
    </row>
    <row r="145" customFormat="false" ht="15" hidden="false" customHeight="false" outlineLevel="0" collapsed="false">
      <c r="A145" s="32"/>
      <c r="B145" s="29"/>
      <c r="C145" s="28" t="str">
        <f aca="false">IF($B145="","",IFERROR(INDEX('المواد الخام'!$B$5:$B$104,MATCH($B145,'المواد الخام'!$A$5:$A$104,0)),IFERROR(INDEX(المنتجات!$C$5:$C$24,MATCH($B145,المنتجات!$A$5:$A$24,0)),"كود غير موجود")))</f>
        <v/>
      </c>
      <c r="D145" s="27" t="str">
        <f aca="false">IF($B145="","",IFERROR(INDEX('المواد الخام'!$L$5:$L$104,MATCH($B145,'المواد الخام'!$A$5:$A$104,0)),IFERROR(INDEX(المنتجات!$P$5:$P$24,MATCH($B145,المنتجات!$A$5:$A$24,0)),0)))</f>
        <v/>
      </c>
      <c r="E145" s="24"/>
      <c r="F145" s="27" t="str">
        <f aca="false">IF(OR($B145="",E145=""),"",E145-D145)</f>
        <v/>
      </c>
      <c r="G145" s="28" t="str">
        <f aca="false">IF(F145="","",IF(F145=0,"مطابق",IF(F145&gt;0,"سجّل تسوية زيادة","سجّل تسوية نقص")))</f>
        <v/>
      </c>
      <c r="H145" s="29"/>
    </row>
    <row r="146" customFormat="false" ht="15" hidden="false" customHeight="false" outlineLevel="0" collapsed="false">
      <c r="A146" s="32"/>
      <c r="B146" s="29"/>
      <c r="C146" s="28" t="str">
        <f aca="false">IF($B146="","",IFERROR(INDEX('المواد الخام'!$B$5:$B$104,MATCH($B146,'المواد الخام'!$A$5:$A$104,0)),IFERROR(INDEX(المنتجات!$C$5:$C$24,MATCH($B146,المنتجات!$A$5:$A$24,0)),"كود غير موجود")))</f>
        <v/>
      </c>
      <c r="D146" s="27" t="str">
        <f aca="false">IF($B146="","",IFERROR(INDEX('المواد الخام'!$L$5:$L$104,MATCH($B146,'المواد الخام'!$A$5:$A$104,0)),IFERROR(INDEX(المنتجات!$P$5:$P$24,MATCH($B146,المنتجات!$A$5:$A$24,0)),0)))</f>
        <v/>
      </c>
      <c r="E146" s="24"/>
      <c r="F146" s="27" t="str">
        <f aca="false">IF(OR($B146="",E146=""),"",E146-D146)</f>
        <v/>
      </c>
      <c r="G146" s="28" t="str">
        <f aca="false">IF(F146="","",IF(F146=0,"مطابق",IF(F146&gt;0,"سجّل تسوية زيادة","سجّل تسوية نقص")))</f>
        <v/>
      </c>
      <c r="H146" s="29"/>
    </row>
    <row r="147" customFormat="false" ht="15" hidden="false" customHeight="false" outlineLevel="0" collapsed="false">
      <c r="A147" s="32"/>
      <c r="B147" s="29"/>
      <c r="C147" s="28" t="str">
        <f aca="false">IF($B147="","",IFERROR(INDEX('المواد الخام'!$B$5:$B$104,MATCH($B147,'المواد الخام'!$A$5:$A$104,0)),IFERROR(INDEX(المنتجات!$C$5:$C$24,MATCH($B147,المنتجات!$A$5:$A$24,0)),"كود غير موجود")))</f>
        <v/>
      </c>
      <c r="D147" s="27" t="str">
        <f aca="false">IF($B147="","",IFERROR(INDEX('المواد الخام'!$L$5:$L$104,MATCH($B147,'المواد الخام'!$A$5:$A$104,0)),IFERROR(INDEX(المنتجات!$P$5:$P$24,MATCH($B147,المنتجات!$A$5:$A$24,0)),0)))</f>
        <v/>
      </c>
      <c r="E147" s="24"/>
      <c r="F147" s="27" t="str">
        <f aca="false">IF(OR($B147="",E147=""),"",E147-D147)</f>
        <v/>
      </c>
      <c r="G147" s="28" t="str">
        <f aca="false">IF(F147="","",IF(F147=0,"مطابق",IF(F147&gt;0,"سجّل تسوية زيادة","سجّل تسوية نقص")))</f>
        <v/>
      </c>
      <c r="H147" s="29"/>
    </row>
    <row r="148" customFormat="false" ht="15" hidden="false" customHeight="false" outlineLevel="0" collapsed="false">
      <c r="A148" s="32"/>
      <c r="B148" s="29"/>
      <c r="C148" s="28" t="str">
        <f aca="false">IF($B148="","",IFERROR(INDEX('المواد الخام'!$B$5:$B$104,MATCH($B148,'المواد الخام'!$A$5:$A$104,0)),IFERROR(INDEX(المنتجات!$C$5:$C$24,MATCH($B148,المنتجات!$A$5:$A$24,0)),"كود غير موجود")))</f>
        <v/>
      </c>
      <c r="D148" s="27" t="str">
        <f aca="false">IF($B148="","",IFERROR(INDEX('المواد الخام'!$L$5:$L$104,MATCH($B148,'المواد الخام'!$A$5:$A$104,0)),IFERROR(INDEX(المنتجات!$P$5:$P$24,MATCH($B148,المنتجات!$A$5:$A$24,0)),0)))</f>
        <v/>
      </c>
      <c r="E148" s="24"/>
      <c r="F148" s="27" t="str">
        <f aca="false">IF(OR($B148="",E148=""),"",E148-D148)</f>
        <v/>
      </c>
      <c r="G148" s="28" t="str">
        <f aca="false">IF(F148="","",IF(F148=0,"مطابق",IF(F148&gt;0,"سجّل تسوية زيادة","سجّل تسوية نقص")))</f>
        <v/>
      </c>
      <c r="H148" s="29"/>
    </row>
    <row r="149" customFormat="false" ht="15" hidden="false" customHeight="false" outlineLevel="0" collapsed="false">
      <c r="A149" s="32"/>
      <c r="B149" s="29"/>
      <c r="C149" s="28" t="str">
        <f aca="false">IF($B149="","",IFERROR(INDEX('المواد الخام'!$B$5:$B$104,MATCH($B149,'المواد الخام'!$A$5:$A$104,0)),IFERROR(INDEX(المنتجات!$C$5:$C$24,MATCH($B149,المنتجات!$A$5:$A$24,0)),"كود غير موجود")))</f>
        <v/>
      </c>
      <c r="D149" s="27" t="str">
        <f aca="false">IF($B149="","",IFERROR(INDEX('المواد الخام'!$L$5:$L$104,MATCH($B149,'المواد الخام'!$A$5:$A$104,0)),IFERROR(INDEX(المنتجات!$P$5:$P$24,MATCH($B149,المنتجات!$A$5:$A$24,0)),0)))</f>
        <v/>
      </c>
      <c r="E149" s="24"/>
      <c r="F149" s="27" t="str">
        <f aca="false">IF(OR($B149="",E149=""),"",E149-D149)</f>
        <v/>
      </c>
      <c r="G149" s="28" t="str">
        <f aca="false">IF(F149="","",IF(F149=0,"مطابق",IF(F149&gt;0,"سجّل تسوية زيادة","سجّل تسوية نقص")))</f>
        <v/>
      </c>
      <c r="H149" s="29"/>
    </row>
    <row r="150" customFormat="false" ht="15" hidden="false" customHeight="false" outlineLevel="0" collapsed="false">
      <c r="A150" s="32"/>
      <c r="B150" s="29"/>
      <c r="C150" s="28" t="str">
        <f aca="false">IF($B150="","",IFERROR(INDEX('المواد الخام'!$B$5:$B$104,MATCH($B150,'المواد الخام'!$A$5:$A$104,0)),IFERROR(INDEX(المنتجات!$C$5:$C$24,MATCH($B150,المنتجات!$A$5:$A$24,0)),"كود غير موجود")))</f>
        <v/>
      </c>
      <c r="D150" s="27" t="str">
        <f aca="false">IF($B150="","",IFERROR(INDEX('المواد الخام'!$L$5:$L$104,MATCH($B150,'المواد الخام'!$A$5:$A$104,0)),IFERROR(INDEX(المنتجات!$P$5:$P$24,MATCH($B150,المنتجات!$A$5:$A$24,0)),0)))</f>
        <v/>
      </c>
      <c r="E150" s="24"/>
      <c r="F150" s="27" t="str">
        <f aca="false">IF(OR($B150="",E150=""),"",E150-D150)</f>
        <v/>
      </c>
      <c r="G150" s="28" t="str">
        <f aca="false">IF(F150="","",IF(F150=0,"مطابق",IF(F150&gt;0,"سجّل تسوية زيادة","سجّل تسوية نقص")))</f>
        <v/>
      </c>
      <c r="H150" s="29"/>
    </row>
    <row r="151" customFormat="false" ht="15" hidden="false" customHeight="false" outlineLevel="0" collapsed="false">
      <c r="A151" s="32"/>
      <c r="B151" s="29"/>
      <c r="C151" s="28" t="str">
        <f aca="false">IF($B151="","",IFERROR(INDEX('المواد الخام'!$B$5:$B$104,MATCH($B151,'المواد الخام'!$A$5:$A$104,0)),IFERROR(INDEX(المنتجات!$C$5:$C$24,MATCH($B151,المنتجات!$A$5:$A$24,0)),"كود غير موجود")))</f>
        <v/>
      </c>
      <c r="D151" s="27" t="str">
        <f aca="false">IF($B151="","",IFERROR(INDEX('المواد الخام'!$L$5:$L$104,MATCH($B151,'المواد الخام'!$A$5:$A$104,0)),IFERROR(INDEX(المنتجات!$P$5:$P$24,MATCH($B151,المنتجات!$A$5:$A$24,0)),0)))</f>
        <v/>
      </c>
      <c r="E151" s="24"/>
      <c r="F151" s="27" t="str">
        <f aca="false">IF(OR($B151="",E151=""),"",E151-D151)</f>
        <v/>
      </c>
      <c r="G151" s="28" t="str">
        <f aca="false">IF(F151="","",IF(F151=0,"مطابق",IF(F151&gt;0,"سجّل تسوية زيادة","سجّل تسوية نقص")))</f>
        <v/>
      </c>
      <c r="H151" s="29"/>
    </row>
    <row r="152" customFormat="false" ht="15" hidden="false" customHeight="false" outlineLevel="0" collapsed="false">
      <c r="A152" s="32"/>
      <c r="B152" s="29"/>
      <c r="C152" s="28" t="str">
        <f aca="false">IF($B152="","",IFERROR(INDEX('المواد الخام'!$B$5:$B$104,MATCH($B152,'المواد الخام'!$A$5:$A$104,0)),IFERROR(INDEX(المنتجات!$C$5:$C$24,MATCH($B152,المنتجات!$A$5:$A$24,0)),"كود غير موجود")))</f>
        <v/>
      </c>
      <c r="D152" s="27" t="str">
        <f aca="false">IF($B152="","",IFERROR(INDEX('المواد الخام'!$L$5:$L$104,MATCH($B152,'المواد الخام'!$A$5:$A$104,0)),IFERROR(INDEX(المنتجات!$P$5:$P$24,MATCH($B152,المنتجات!$A$5:$A$24,0)),0)))</f>
        <v/>
      </c>
      <c r="E152" s="24"/>
      <c r="F152" s="27" t="str">
        <f aca="false">IF(OR($B152="",E152=""),"",E152-D152)</f>
        <v/>
      </c>
      <c r="G152" s="28" t="str">
        <f aca="false">IF(F152="","",IF(F152=0,"مطابق",IF(F152&gt;0,"سجّل تسوية زيادة","سجّل تسوية نقص")))</f>
        <v/>
      </c>
      <c r="H152" s="29"/>
    </row>
    <row r="153" customFormat="false" ht="15" hidden="false" customHeight="false" outlineLevel="0" collapsed="false">
      <c r="A153" s="32"/>
      <c r="B153" s="29"/>
      <c r="C153" s="28" t="str">
        <f aca="false">IF($B153="","",IFERROR(INDEX('المواد الخام'!$B$5:$B$104,MATCH($B153,'المواد الخام'!$A$5:$A$104,0)),IFERROR(INDEX(المنتجات!$C$5:$C$24,MATCH($B153,المنتجات!$A$5:$A$24,0)),"كود غير موجود")))</f>
        <v/>
      </c>
      <c r="D153" s="27" t="str">
        <f aca="false">IF($B153="","",IFERROR(INDEX('المواد الخام'!$L$5:$L$104,MATCH($B153,'المواد الخام'!$A$5:$A$104,0)),IFERROR(INDEX(المنتجات!$P$5:$P$24,MATCH($B153,المنتجات!$A$5:$A$24,0)),0)))</f>
        <v/>
      </c>
      <c r="E153" s="24"/>
      <c r="F153" s="27" t="str">
        <f aca="false">IF(OR($B153="",E153=""),"",E153-D153)</f>
        <v/>
      </c>
      <c r="G153" s="28" t="str">
        <f aca="false">IF(F153="","",IF(F153=0,"مطابق",IF(F153&gt;0,"سجّل تسوية زيادة","سجّل تسوية نقص")))</f>
        <v/>
      </c>
      <c r="H153" s="29"/>
    </row>
    <row r="154" customFormat="false" ht="15" hidden="false" customHeight="false" outlineLevel="0" collapsed="false">
      <c r="A154" s="32"/>
      <c r="B154" s="29"/>
      <c r="C154" s="28" t="str">
        <f aca="false">IF($B154="","",IFERROR(INDEX('المواد الخام'!$B$5:$B$104,MATCH($B154,'المواد الخام'!$A$5:$A$104,0)),IFERROR(INDEX(المنتجات!$C$5:$C$24,MATCH($B154,المنتجات!$A$5:$A$24,0)),"كود غير موجود")))</f>
        <v/>
      </c>
      <c r="D154" s="27" t="str">
        <f aca="false">IF($B154="","",IFERROR(INDEX('المواد الخام'!$L$5:$L$104,MATCH($B154,'المواد الخام'!$A$5:$A$104,0)),IFERROR(INDEX(المنتجات!$P$5:$P$24,MATCH($B154,المنتجات!$A$5:$A$24,0)),0)))</f>
        <v/>
      </c>
      <c r="E154" s="24"/>
      <c r="F154" s="27" t="str">
        <f aca="false">IF(OR($B154="",E154=""),"",E154-D154)</f>
        <v/>
      </c>
      <c r="G154" s="28" t="str">
        <f aca="false">IF(F154="","",IF(F154=0,"مطابق",IF(F154&gt;0,"سجّل تسوية زيادة","سجّل تسوية نقص")))</f>
        <v/>
      </c>
      <c r="H154" s="29"/>
    </row>
    <row r="155" customFormat="false" ht="15" hidden="false" customHeight="false" outlineLevel="0" collapsed="false">
      <c r="A155" s="32"/>
      <c r="B155" s="29"/>
      <c r="C155" s="28" t="str">
        <f aca="false">IF($B155="","",IFERROR(INDEX('المواد الخام'!$B$5:$B$104,MATCH($B155,'المواد الخام'!$A$5:$A$104,0)),IFERROR(INDEX(المنتجات!$C$5:$C$24,MATCH($B155,المنتجات!$A$5:$A$24,0)),"كود غير موجود")))</f>
        <v/>
      </c>
      <c r="D155" s="27" t="str">
        <f aca="false">IF($B155="","",IFERROR(INDEX('المواد الخام'!$L$5:$L$104,MATCH($B155,'المواد الخام'!$A$5:$A$104,0)),IFERROR(INDEX(المنتجات!$P$5:$P$24,MATCH($B155,المنتجات!$A$5:$A$24,0)),0)))</f>
        <v/>
      </c>
      <c r="E155" s="24"/>
      <c r="F155" s="27" t="str">
        <f aca="false">IF(OR($B155="",E155=""),"",E155-D155)</f>
        <v/>
      </c>
      <c r="G155" s="28" t="str">
        <f aca="false">IF(F155="","",IF(F155=0,"مطابق",IF(F155&gt;0,"سجّل تسوية زيادة","سجّل تسوية نقص")))</f>
        <v/>
      </c>
      <c r="H155" s="29"/>
    </row>
    <row r="156" customFormat="false" ht="15" hidden="false" customHeight="false" outlineLevel="0" collapsed="false">
      <c r="A156" s="32"/>
      <c r="B156" s="29"/>
      <c r="C156" s="28" t="str">
        <f aca="false">IF($B156="","",IFERROR(INDEX('المواد الخام'!$B$5:$B$104,MATCH($B156,'المواد الخام'!$A$5:$A$104,0)),IFERROR(INDEX(المنتجات!$C$5:$C$24,MATCH($B156,المنتجات!$A$5:$A$24,0)),"كود غير موجود")))</f>
        <v/>
      </c>
      <c r="D156" s="27" t="str">
        <f aca="false">IF($B156="","",IFERROR(INDEX('المواد الخام'!$L$5:$L$104,MATCH($B156,'المواد الخام'!$A$5:$A$104,0)),IFERROR(INDEX(المنتجات!$P$5:$P$24,MATCH($B156,المنتجات!$A$5:$A$24,0)),0)))</f>
        <v/>
      </c>
      <c r="E156" s="24"/>
      <c r="F156" s="27" t="str">
        <f aca="false">IF(OR($B156="",E156=""),"",E156-D156)</f>
        <v/>
      </c>
      <c r="G156" s="28" t="str">
        <f aca="false">IF(F156="","",IF(F156=0,"مطابق",IF(F156&gt;0,"سجّل تسوية زيادة","سجّل تسوية نقص")))</f>
        <v/>
      </c>
      <c r="H156" s="29"/>
    </row>
    <row r="157" customFormat="false" ht="15" hidden="false" customHeight="false" outlineLevel="0" collapsed="false">
      <c r="A157" s="32"/>
      <c r="B157" s="29"/>
      <c r="C157" s="28" t="str">
        <f aca="false">IF($B157="","",IFERROR(INDEX('المواد الخام'!$B$5:$B$104,MATCH($B157,'المواد الخام'!$A$5:$A$104,0)),IFERROR(INDEX(المنتجات!$C$5:$C$24,MATCH($B157,المنتجات!$A$5:$A$24,0)),"كود غير موجود")))</f>
        <v/>
      </c>
      <c r="D157" s="27" t="str">
        <f aca="false">IF($B157="","",IFERROR(INDEX('المواد الخام'!$L$5:$L$104,MATCH($B157,'المواد الخام'!$A$5:$A$104,0)),IFERROR(INDEX(المنتجات!$P$5:$P$24,MATCH($B157,المنتجات!$A$5:$A$24,0)),0)))</f>
        <v/>
      </c>
      <c r="E157" s="24"/>
      <c r="F157" s="27" t="str">
        <f aca="false">IF(OR($B157="",E157=""),"",E157-D157)</f>
        <v/>
      </c>
      <c r="G157" s="28" t="str">
        <f aca="false">IF(F157="","",IF(F157=0,"مطابق",IF(F157&gt;0,"سجّل تسوية زيادة","سجّل تسوية نقص")))</f>
        <v/>
      </c>
      <c r="H157" s="29"/>
    </row>
    <row r="158" customFormat="false" ht="15" hidden="false" customHeight="false" outlineLevel="0" collapsed="false">
      <c r="A158" s="32"/>
      <c r="B158" s="29"/>
      <c r="C158" s="28" t="str">
        <f aca="false">IF($B158="","",IFERROR(INDEX('المواد الخام'!$B$5:$B$104,MATCH($B158,'المواد الخام'!$A$5:$A$104,0)),IFERROR(INDEX(المنتجات!$C$5:$C$24,MATCH($B158,المنتجات!$A$5:$A$24,0)),"كود غير موجود")))</f>
        <v/>
      </c>
      <c r="D158" s="27" t="str">
        <f aca="false">IF($B158="","",IFERROR(INDEX('المواد الخام'!$L$5:$L$104,MATCH($B158,'المواد الخام'!$A$5:$A$104,0)),IFERROR(INDEX(المنتجات!$P$5:$P$24,MATCH($B158,المنتجات!$A$5:$A$24,0)),0)))</f>
        <v/>
      </c>
      <c r="E158" s="24"/>
      <c r="F158" s="27" t="str">
        <f aca="false">IF(OR($B158="",E158=""),"",E158-D158)</f>
        <v/>
      </c>
      <c r="G158" s="28" t="str">
        <f aca="false">IF(F158="","",IF(F158=0,"مطابق",IF(F158&gt;0,"سجّل تسوية زيادة","سجّل تسوية نقص")))</f>
        <v/>
      </c>
      <c r="H158" s="29"/>
    </row>
    <row r="159" customFormat="false" ht="15" hidden="false" customHeight="false" outlineLevel="0" collapsed="false">
      <c r="A159" s="32"/>
      <c r="B159" s="29"/>
      <c r="C159" s="28" t="str">
        <f aca="false">IF($B159="","",IFERROR(INDEX('المواد الخام'!$B$5:$B$104,MATCH($B159,'المواد الخام'!$A$5:$A$104,0)),IFERROR(INDEX(المنتجات!$C$5:$C$24,MATCH($B159,المنتجات!$A$5:$A$24,0)),"كود غير موجود")))</f>
        <v/>
      </c>
      <c r="D159" s="27" t="str">
        <f aca="false">IF($B159="","",IFERROR(INDEX('المواد الخام'!$L$5:$L$104,MATCH($B159,'المواد الخام'!$A$5:$A$104,0)),IFERROR(INDEX(المنتجات!$P$5:$P$24,MATCH($B159,المنتجات!$A$5:$A$24,0)),0)))</f>
        <v/>
      </c>
      <c r="E159" s="24"/>
      <c r="F159" s="27" t="str">
        <f aca="false">IF(OR($B159="",E159=""),"",E159-D159)</f>
        <v/>
      </c>
      <c r="G159" s="28" t="str">
        <f aca="false">IF(F159="","",IF(F159=0,"مطابق",IF(F159&gt;0,"سجّل تسوية زيادة","سجّل تسوية نقص")))</f>
        <v/>
      </c>
      <c r="H159" s="29"/>
    </row>
    <row r="160" customFormat="false" ht="15" hidden="false" customHeight="false" outlineLevel="0" collapsed="false">
      <c r="A160" s="32"/>
      <c r="B160" s="29"/>
      <c r="C160" s="28" t="str">
        <f aca="false">IF($B160="","",IFERROR(INDEX('المواد الخام'!$B$5:$B$104,MATCH($B160,'المواد الخام'!$A$5:$A$104,0)),IFERROR(INDEX(المنتجات!$C$5:$C$24,MATCH($B160,المنتجات!$A$5:$A$24,0)),"كود غير موجود")))</f>
        <v/>
      </c>
      <c r="D160" s="27" t="str">
        <f aca="false">IF($B160="","",IFERROR(INDEX('المواد الخام'!$L$5:$L$104,MATCH($B160,'المواد الخام'!$A$5:$A$104,0)),IFERROR(INDEX(المنتجات!$P$5:$P$24,MATCH($B160,المنتجات!$A$5:$A$24,0)),0)))</f>
        <v/>
      </c>
      <c r="E160" s="24"/>
      <c r="F160" s="27" t="str">
        <f aca="false">IF(OR($B160="",E160=""),"",E160-D160)</f>
        <v/>
      </c>
      <c r="G160" s="28" t="str">
        <f aca="false">IF(F160="","",IF(F160=0,"مطابق",IF(F160&gt;0,"سجّل تسوية زيادة","سجّل تسوية نقص")))</f>
        <v/>
      </c>
      <c r="H160" s="29"/>
    </row>
    <row r="161" customFormat="false" ht="15" hidden="false" customHeight="false" outlineLevel="0" collapsed="false">
      <c r="A161" s="32"/>
      <c r="B161" s="29"/>
      <c r="C161" s="28" t="str">
        <f aca="false">IF($B161="","",IFERROR(INDEX('المواد الخام'!$B$5:$B$104,MATCH($B161,'المواد الخام'!$A$5:$A$104,0)),IFERROR(INDEX(المنتجات!$C$5:$C$24,MATCH($B161,المنتجات!$A$5:$A$24,0)),"كود غير موجود")))</f>
        <v/>
      </c>
      <c r="D161" s="27" t="str">
        <f aca="false">IF($B161="","",IFERROR(INDEX('المواد الخام'!$L$5:$L$104,MATCH($B161,'المواد الخام'!$A$5:$A$104,0)),IFERROR(INDEX(المنتجات!$P$5:$P$24,MATCH($B161,المنتجات!$A$5:$A$24,0)),0)))</f>
        <v/>
      </c>
      <c r="E161" s="24"/>
      <c r="F161" s="27" t="str">
        <f aca="false">IF(OR($B161="",E161=""),"",E161-D161)</f>
        <v/>
      </c>
      <c r="G161" s="28" t="str">
        <f aca="false">IF(F161="","",IF(F161=0,"مطابق",IF(F161&gt;0,"سجّل تسوية زيادة","سجّل تسوية نقص")))</f>
        <v/>
      </c>
      <c r="H161" s="29"/>
    </row>
    <row r="162" customFormat="false" ht="15" hidden="false" customHeight="false" outlineLevel="0" collapsed="false">
      <c r="A162" s="32"/>
      <c r="B162" s="29"/>
      <c r="C162" s="28" t="str">
        <f aca="false">IF($B162="","",IFERROR(INDEX('المواد الخام'!$B$5:$B$104,MATCH($B162,'المواد الخام'!$A$5:$A$104,0)),IFERROR(INDEX(المنتجات!$C$5:$C$24,MATCH($B162,المنتجات!$A$5:$A$24,0)),"كود غير موجود")))</f>
        <v/>
      </c>
      <c r="D162" s="27" t="str">
        <f aca="false">IF($B162="","",IFERROR(INDEX('المواد الخام'!$L$5:$L$104,MATCH($B162,'المواد الخام'!$A$5:$A$104,0)),IFERROR(INDEX(المنتجات!$P$5:$P$24,MATCH($B162,المنتجات!$A$5:$A$24,0)),0)))</f>
        <v/>
      </c>
      <c r="E162" s="24"/>
      <c r="F162" s="27" t="str">
        <f aca="false">IF(OR($B162="",E162=""),"",E162-D162)</f>
        <v/>
      </c>
      <c r="G162" s="28" t="str">
        <f aca="false">IF(F162="","",IF(F162=0,"مطابق",IF(F162&gt;0,"سجّل تسوية زيادة","سجّل تسوية نقص")))</f>
        <v/>
      </c>
      <c r="H162" s="29"/>
    </row>
    <row r="163" customFormat="false" ht="15" hidden="false" customHeight="false" outlineLevel="0" collapsed="false">
      <c r="A163" s="32"/>
      <c r="B163" s="29"/>
      <c r="C163" s="28" t="str">
        <f aca="false">IF($B163="","",IFERROR(INDEX('المواد الخام'!$B$5:$B$104,MATCH($B163,'المواد الخام'!$A$5:$A$104,0)),IFERROR(INDEX(المنتجات!$C$5:$C$24,MATCH($B163,المنتجات!$A$5:$A$24,0)),"كود غير موجود")))</f>
        <v/>
      </c>
      <c r="D163" s="27" t="str">
        <f aca="false">IF($B163="","",IFERROR(INDEX('المواد الخام'!$L$5:$L$104,MATCH($B163,'المواد الخام'!$A$5:$A$104,0)),IFERROR(INDEX(المنتجات!$P$5:$P$24,MATCH($B163,المنتجات!$A$5:$A$24,0)),0)))</f>
        <v/>
      </c>
      <c r="E163" s="24"/>
      <c r="F163" s="27" t="str">
        <f aca="false">IF(OR($B163="",E163=""),"",E163-D163)</f>
        <v/>
      </c>
      <c r="G163" s="28" t="str">
        <f aca="false">IF(F163="","",IF(F163=0,"مطابق",IF(F163&gt;0,"سجّل تسوية زيادة","سجّل تسوية نقص")))</f>
        <v/>
      </c>
      <c r="H163" s="29"/>
    </row>
    <row r="164" customFormat="false" ht="15" hidden="false" customHeight="false" outlineLevel="0" collapsed="false">
      <c r="A164" s="32"/>
      <c r="B164" s="29"/>
      <c r="C164" s="28" t="str">
        <f aca="false">IF($B164="","",IFERROR(INDEX('المواد الخام'!$B$5:$B$104,MATCH($B164,'المواد الخام'!$A$5:$A$104,0)),IFERROR(INDEX(المنتجات!$C$5:$C$24,MATCH($B164,المنتجات!$A$5:$A$24,0)),"كود غير موجود")))</f>
        <v/>
      </c>
      <c r="D164" s="27" t="str">
        <f aca="false">IF($B164="","",IFERROR(INDEX('المواد الخام'!$L$5:$L$104,MATCH($B164,'المواد الخام'!$A$5:$A$104,0)),IFERROR(INDEX(المنتجات!$P$5:$P$24,MATCH($B164,المنتجات!$A$5:$A$24,0)),0)))</f>
        <v/>
      </c>
      <c r="E164" s="24"/>
      <c r="F164" s="27" t="str">
        <f aca="false">IF(OR($B164="",E164=""),"",E164-D164)</f>
        <v/>
      </c>
      <c r="G164" s="28" t="str">
        <f aca="false">IF(F164="","",IF(F164=0,"مطابق",IF(F164&gt;0,"سجّل تسوية زيادة","سجّل تسوية نقص")))</f>
        <v/>
      </c>
      <c r="H164" s="29"/>
    </row>
    <row r="165" customFormat="false" ht="15" hidden="false" customHeight="false" outlineLevel="0" collapsed="false">
      <c r="A165" s="32"/>
      <c r="B165" s="29"/>
      <c r="C165" s="28" t="str">
        <f aca="false">IF($B165="","",IFERROR(INDEX('المواد الخام'!$B$5:$B$104,MATCH($B165,'المواد الخام'!$A$5:$A$104,0)),IFERROR(INDEX(المنتجات!$C$5:$C$24,MATCH($B165,المنتجات!$A$5:$A$24,0)),"كود غير موجود")))</f>
        <v/>
      </c>
      <c r="D165" s="27" t="str">
        <f aca="false">IF($B165="","",IFERROR(INDEX('المواد الخام'!$L$5:$L$104,MATCH($B165,'المواد الخام'!$A$5:$A$104,0)),IFERROR(INDEX(المنتجات!$P$5:$P$24,MATCH($B165,المنتجات!$A$5:$A$24,0)),0)))</f>
        <v/>
      </c>
      <c r="E165" s="24"/>
      <c r="F165" s="27" t="str">
        <f aca="false">IF(OR($B165="",E165=""),"",E165-D165)</f>
        <v/>
      </c>
      <c r="G165" s="28" t="str">
        <f aca="false">IF(F165="","",IF(F165=0,"مطابق",IF(F165&gt;0,"سجّل تسوية زيادة","سجّل تسوية نقص")))</f>
        <v/>
      </c>
      <c r="H165" s="29"/>
    </row>
    <row r="166" customFormat="false" ht="15" hidden="false" customHeight="false" outlineLevel="0" collapsed="false">
      <c r="A166" s="32"/>
      <c r="B166" s="29"/>
      <c r="C166" s="28" t="str">
        <f aca="false">IF($B166="","",IFERROR(INDEX('المواد الخام'!$B$5:$B$104,MATCH($B166,'المواد الخام'!$A$5:$A$104,0)),IFERROR(INDEX(المنتجات!$C$5:$C$24,MATCH($B166,المنتجات!$A$5:$A$24,0)),"كود غير موجود")))</f>
        <v/>
      </c>
      <c r="D166" s="27" t="str">
        <f aca="false">IF($B166="","",IFERROR(INDEX('المواد الخام'!$L$5:$L$104,MATCH($B166,'المواد الخام'!$A$5:$A$104,0)),IFERROR(INDEX(المنتجات!$P$5:$P$24,MATCH($B166,المنتجات!$A$5:$A$24,0)),0)))</f>
        <v/>
      </c>
      <c r="E166" s="24"/>
      <c r="F166" s="27" t="str">
        <f aca="false">IF(OR($B166="",E166=""),"",E166-D166)</f>
        <v/>
      </c>
      <c r="G166" s="28" t="str">
        <f aca="false">IF(F166="","",IF(F166=0,"مطابق",IF(F166&gt;0,"سجّل تسوية زيادة","سجّل تسوية نقص")))</f>
        <v/>
      </c>
      <c r="H166" s="29"/>
    </row>
    <row r="167" customFormat="false" ht="15" hidden="false" customHeight="false" outlineLevel="0" collapsed="false">
      <c r="A167" s="32"/>
      <c r="B167" s="29"/>
      <c r="C167" s="28" t="str">
        <f aca="false">IF($B167="","",IFERROR(INDEX('المواد الخام'!$B$5:$B$104,MATCH($B167,'المواد الخام'!$A$5:$A$104,0)),IFERROR(INDEX(المنتجات!$C$5:$C$24,MATCH($B167,المنتجات!$A$5:$A$24,0)),"كود غير موجود")))</f>
        <v/>
      </c>
      <c r="D167" s="27" t="str">
        <f aca="false">IF($B167="","",IFERROR(INDEX('المواد الخام'!$L$5:$L$104,MATCH($B167,'المواد الخام'!$A$5:$A$104,0)),IFERROR(INDEX(المنتجات!$P$5:$P$24,MATCH($B167,المنتجات!$A$5:$A$24,0)),0)))</f>
        <v/>
      </c>
      <c r="E167" s="24"/>
      <c r="F167" s="27" t="str">
        <f aca="false">IF(OR($B167="",E167=""),"",E167-D167)</f>
        <v/>
      </c>
      <c r="G167" s="28" t="str">
        <f aca="false">IF(F167="","",IF(F167=0,"مطابق",IF(F167&gt;0,"سجّل تسوية زيادة","سجّل تسوية نقص")))</f>
        <v/>
      </c>
      <c r="H167" s="29"/>
    </row>
    <row r="168" customFormat="false" ht="15" hidden="false" customHeight="false" outlineLevel="0" collapsed="false">
      <c r="A168" s="32"/>
      <c r="B168" s="29"/>
      <c r="C168" s="28" t="str">
        <f aca="false">IF($B168="","",IFERROR(INDEX('المواد الخام'!$B$5:$B$104,MATCH($B168,'المواد الخام'!$A$5:$A$104,0)),IFERROR(INDEX(المنتجات!$C$5:$C$24,MATCH($B168,المنتجات!$A$5:$A$24,0)),"كود غير موجود")))</f>
        <v/>
      </c>
      <c r="D168" s="27" t="str">
        <f aca="false">IF($B168="","",IFERROR(INDEX('المواد الخام'!$L$5:$L$104,MATCH($B168,'المواد الخام'!$A$5:$A$104,0)),IFERROR(INDEX(المنتجات!$P$5:$P$24,MATCH($B168,المنتجات!$A$5:$A$24,0)),0)))</f>
        <v/>
      </c>
      <c r="E168" s="24"/>
      <c r="F168" s="27" t="str">
        <f aca="false">IF(OR($B168="",E168=""),"",E168-D168)</f>
        <v/>
      </c>
      <c r="G168" s="28" t="str">
        <f aca="false">IF(F168="","",IF(F168=0,"مطابق",IF(F168&gt;0,"سجّل تسوية زيادة","سجّل تسوية نقص")))</f>
        <v/>
      </c>
      <c r="H168" s="29"/>
    </row>
    <row r="169" customFormat="false" ht="15" hidden="false" customHeight="false" outlineLevel="0" collapsed="false">
      <c r="A169" s="32"/>
      <c r="B169" s="29"/>
      <c r="C169" s="28" t="str">
        <f aca="false">IF($B169="","",IFERROR(INDEX('المواد الخام'!$B$5:$B$104,MATCH($B169,'المواد الخام'!$A$5:$A$104,0)),IFERROR(INDEX(المنتجات!$C$5:$C$24,MATCH($B169,المنتجات!$A$5:$A$24,0)),"كود غير موجود")))</f>
        <v/>
      </c>
      <c r="D169" s="27" t="str">
        <f aca="false">IF($B169="","",IFERROR(INDEX('المواد الخام'!$L$5:$L$104,MATCH($B169,'المواد الخام'!$A$5:$A$104,0)),IFERROR(INDEX(المنتجات!$P$5:$P$24,MATCH($B169,المنتجات!$A$5:$A$24,0)),0)))</f>
        <v/>
      </c>
      <c r="E169" s="24"/>
      <c r="F169" s="27" t="str">
        <f aca="false">IF(OR($B169="",E169=""),"",E169-D169)</f>
        <v/>
      </c>
      <c r="G169" s="28" t="str">
        <f aca="false">IF(F169="","",IF(F169=0,"مطابق",IF(F169&gt;0,"سجّل تسوية زيادة","سجّل تسوية نقص")))</f>
        <v/>
      </c>
      <c r="H169" s="29"/>
    </row>
    <row r="170" customFormat="false" ht="15" hidden="false" customHeight="false" outlineLevel="0" collapsed="false">
      <c r="A170" s="32"/>
      <c r="B170" s="29"/>
      <c r="C170" s="28" t="str">
        <f aca="false">IF($B170="","",IFERROR(INDEX('المواد الخام'!$B$5:$B$104,MATCH($B170,'المواد الخام'!$A$5:$A$104,0)),IFERROR(INDEX(المنتجات!$C$5:$C$24,MATCH($B170,المنتجات!$A$5:$A$24,0)),"كود غير موجود")))</f>
        <v/>
      </c>
      <c r="D170" s="27" t="str">
        <f aca="false">IF($B170="","",IFERROR(INDEX('المواد الخام'!$L$5:$L$104,MATCH($B170,'المواد الخام'!$A$5:$A$104,0)),IFERROR(INDEX(المنتجات!$P$5:$P$24,MATCH($B170,المنتجات!$A$5:$A$24,0)),0)))</f>
        <v/>
      </c>
      <c r="E170" s="24"/>
      <c r="F170" s="27" t="str">
        <f aca="false">IF(OR($B170="",E170=""),"",E170-D170)</f>
        <v/>
      </c>
      <c r="G170" s="28" t="str">
        <f aca="false">IF(F170="","",IF(F170=0,"مطابق",IF(F170&gt;0,"سجّل تسوية زيادة","سجّل تسوية نقص")))</f>
        <v/>
      </c>
      <c r="H170" s="29"/>
    </row>
    <row r="171" customFormat="false" ht="15" hidden="false" customHeight="false" outlineLevel="0" collapsed="false">
      <c r="A171" s="32"/>
      <c r="B171" s="29"/>
      <c r="C171" s="28" t="str">
        <f aca="false">IF($B171="","",IFERROR(INDEX('المواد الخام'!$B$5:$B$104,MATCH($B171,'المواد الخام'!$A$5:$A$104,0)),IFERROR(INDEX(المنتجات!$C$5:$C$24,MATCH($B171,المنتجات!$A$5:$A$24,0)),"كود غير موجود")))</f>
        <v/>
      </c>
      <c r="D171" s="27" t="str">
        <f aca="false">IF($B171="","",IFERROR(INDEX('المواد الخام'!$L$5:$L$104,MATCH($B171,'المواد الخام'!$A$5:$A$104,0)),IFERROR(INDEX(المنتجات!$P$5:$P$24,MATCH($B171,المنتجات!$A$5:$A$24,0)),0)))</f>
        <v/>
      </c>
      <c r="E171" s="24"/>
      <c r="F171" s="27" t="str">
        <f aca="false">IF(OR($B171="",E171=""),"",E171-D171)</f>
        <v/>
      </c>
      <c r="G171" s="28" t="str">
        <f aca="false">IF(F171="","",IF(F171=0,"مطابق",IF(F171&gt;0,"سجّل تسوية زيادة","سجّل تسوية نقص")))</f>
        <v/>
      </c>
      <c r="H171" s="29"/>
    </row>
    <row r="172" customFormat="false" ht="15" hidden="false" customHeight="false" outlineLevel="0" collapsed="false">
      <c r="A172" s="32"/>
      <c r="B172" s="29"/>
      <c r="C172" s="28" t="str">
        <f aca="false">IF($B172="","",IFERROR(INDEX('المواد الخام'!$B$5:$B$104,MATCH($B172,'المواد الخام'!$A$5:$A$104,0)),IFERROR(INDEX(المنتجات!$C$5:$C$24,MATCH($B172,المنتجات!$A$5:$A$24,0)),"كود غير موجود")))</f>
        <v/>
      </c>
      <c r="D172" s="27" t="str">
        <f aca="false">IF($B172="","",IFERROR(INDEX('المواد الخام'!$L$5:$L$104,MATCH($B172,'المواد الخام'!$A$5:$A$104,0)),IFERROR(INDEX(المنتجات!$P$5:$P$24,MATCH($B172,المنتجات!$A$5:$A$24,0)),0)))</f>
        <v/>
      </c>
      <c r="E172" s="24"/>
      <c r="F172" s="27" t="str">
        <f aca="false">IF(OR($B172="",E172=""),"",E172-D172)</f>
        <v/>
      </c>
      <c r="G172" s="28" t="str">
        <f aca="false">IF(F172="","",IF(F172=0,"مطابق",IF(F172&gt;0,"سجّل تسوية زيادة","سجّل تسوية نقص")))</f>
        <v/>
      </c>
      <c r="H172" s="29"/>
    </row>
    <row r="173" customFormat="false" ht="15" hidden="false" customHeight="false" outlineLevel="0" collapsed="false">
      <c r="A173" s="32"/>
      <c r="B173" s="29"/>
      <c r="C173" s="28" t="str">
        <f aca="false">IF($B173="","",IFERROR(INDEX('المواد الخام'!$B$5:$B$104,MATCH($B173,'المواد الخام'!$A$5:$A$104,0)),IFERROR(INDEX(المنتجات!$C$5:$C$24,MATCH($B173,المنتجات!$A$5:$A$24,0)),"كود غير موجود")))</f>
        <v/>
      </c>
      <c r="D173" s="27" t="str">
        <f aca="false">IF($B173="","",IFERROR(INDEX('المواد الخام'!$L$5:$L$104,MATCH($B173,'المواد الخام'!$A$5:$A$104,0)),IFERROR(INDEX(المنتجات!$P$5:$P$24,MATCH($B173,المنتجات!$A$5:$A$24,0)),0)))</f>
        <v/>
      </c>
      <c r="E173" s="24"/>
      <c r="F173" s="27" t="str">
        <f aca="false">IF(OR($B173="",E173=""),"",E173-D173)</f>
        <v/>
      </c>
      <c r="G173" s="28" t="str">
        <f aca="false">IF(F173="","",IF(F173=0,"مطابق",IF(F173&gt;0,"سجّل تسوية زيادة","سجّل تسوية نقص")))</f>
        <v/>
      </c>
      <c r="H173" s="29"/>
    </row>
    <row r="174" customFormat="false" ht="15" hidden="false" customHeight="false" outlineLevel="0" collapsed="false">
      <c r="A174" s="32"/>
      <c r="B174" s="29"/>
      <c r="C174" s="28" t="str">
        <f aca="false">IF($B174="","",IFERROR(INDEX('المواد الخام'!$B$5:$B$104,MATCH($B174,'المواد الخام'!$A$5:$A$104,0)),IFERROR(INDEX(المنتجات!$C$5:$C$24,MATCH($B174,المنتجات!$A$5:$A$24,0)),"كود غير موجود")))</f>
        <v/>
      </c>
      <c r="D174" s="27" t="str">
        <f aca="false">IF($B174="","",IFERROR(INDEX('المواد الخام'!$L$5:$L$104,MATCH($B174,'المواد الخام'!$A$5:$A$104,0)),IFERROR(INDEX(المنتجات!$P$5:$P$24,MATCH($B174,المنتجات!$A$5:$A$24,0)),0)))</f>
        <v/>
      </c>
      <c r="E174" s="24"/>
      <c r="F174" s="27" t="str">
        <f aca="false">IF(OR($B174="",E174=""),"",E174-D174)</f>
        <v/>
      </c>
      <c r="G174" s="28" t="str">
        <f aca="false">IF(F174="","",IF(F174=0,"مطابق",IF(F174&gt;0,"سجّل تسوية زيادة","سجّل تسوية نقص")))</f>
        <v/>
      </c>
      <c r="H174" s="29"/>
    </row>
    <row r="175" customFormat="false" ht="15" hidden="false" customHeight="false" outlineLevel="0" collapsed="false">
      <c r="A175" s="32"/>
      <c r="B175" s="29"/>
      <c r="C175" s="28" t="str">
        <f aca="false">IF($B175="","",IFERROR(INDEX('المواد الخام'!$B$5:$B$104,MATCH($B175,'المواد الخام'!$A$5:$A$104,0)),IFERROR(INDEX(المنتجات!$C$5:$C$24,MATCH($B175,المنتجات!$A$5:$A$24,0)),"كود غير موجود")))</f>
        <v/>
      </c>
      <c r="D175" s="27" t="str">
        <f aca="false">IF($B175="","",IFERROR(INDEX('المواد الخام'!$L$5:$L$104,MATCH($B175,'المواد الخام'!$A$5:$A$104,0)),IFERROR(INDEX(المنتجات!$P$5:$P$24,MATCH($B175,المنتجات!$A$5:$A$24,0)),0)))</f>
        <v/>
      </c>
      <c r="E175" s="24"/>
      <c r="F175" s="27" t="str">
        <f aca="false">IF(OR($B175="",E175=""),"",E175-D175)</f>
        <v/>
      </c>
      <c r="G175" s="28" t="str">
        <f aca="false">IF(F175="","",IF(F175=0,"مطابق",IF(F175&gt;0,"سجّل تسوية زيادة","سجّل تسوية نقص")))</f>
        <v/>
      </c>
      <c r="H175" s="29"/>
    </row>
    <row r="176" customFormat="false" ht="15" hidden="false" customHeight="false" outlineLevel="0" collapsed="false">
      <c r="A176" s="32"/>
      <c r="B176" s="29"/>
      <c r="C176" s="28" t="str">
        <f aca="false">IF($B176="","",IFERROR(INDEX('المواد الخام'!$B$5:$B$104,MATCH($B176,'المواد الخام'!$A$5:$A$104,0)),IFERROR(INDEX(المنتجات!$C$5:$C$24,MATCH($B176,المنتجات!$A$5:$A$24,0)),"كود غير موجود")))</f>
        <v/>
      </c>
      <c r="D176" s="27" t="str">
        <f aca="false">IF($B176="","",IFERROR(INDEX('المواد الخام'!$L$5:$L$104,MATCH($B176,'المواد الخام'!$A$5:$A$104,0)),IFERROR(INDEX(المنتجات!$P$5:$P$24,MATCH($B176,المنتجات!$A$5:$A$24,0)),0)))</f>
        <v/>
      </c>
      <c r="E176" s="24"/>
      <c r="F176" s="27" t="str">
        <f aca="false">IF(OR($B176="",E176=""),"",E176-D176)</f>
        <v/>
      </c>
      <c r="G176" s="28" t="str">
        <f aca="false">IF(F176="","",IF(F176=0,"مطابق",IF(F176&gt;0,"سجّل تسوية زيادة","سجّل تسوية نقص")))</f>
        <v/>
      </c>
      <c r="H176" s="29"/>
    </row>
    <row r="177" customFormat="false" ht="15" hidden="false" customHeight="false" outlineLevel="0" collapsed="false">
      <c r="A177" s="32"/>
      <c r="B177" s="29"/>
      <c r="C177" s="28" t="str">
        <f aca="false">IF($B177="","",IFERROR(INDEX('المواد الخام'!$B$5:$B$104,MATCH($B177,'المواد الخام'!$A$5:$A$104,0)),IFERROR(INDEX(المنتجات!$C$5:$C$24,MATCH($B177,المنتجات!$A$5:$A$24,0)),"كود غير موجود")))</f>
        <v/>
      </c>
      <c r="D177" s="27" t="str">
        <f aca="false">IF($B177="","",IFERROR(INDEX('المواد الخام'!$L$5:$L$104,MATCH($B177,'المواد الخام'!$A$5:$A$104,0)),IFERROR(INDEX(المنتجات!$P$5:$P$24,MATCH($B177,المنتجات!$A$5:$A$24,0)),0)))</f>
        <v/>
      </c>
      <c r="E177" s="24"/>
      <c r="F177" s="27" t="str">
        <f aca="false">IF(OR($B177="",E177=""),"",E177-D177)</f>
        <v/>
      </c>
      <c r="G177" s="28" t="str">
        <f aca="false">IF(F177="","",IF(F177=0,"مطابق",IF(F177&gt;0,"سجّل تسوية زيادة","سجّل تسوية نقص")))</f>
        <v/>
      </c>
      <c r="H177" s="29"/>
    </row>
    <row r="178" customFormat="false" ht="15" hidden="false" customHeight="false" outlineLevel="0" collapsed="false">
      <c r="A178" s="32"/>
      <c r="B178" s="29"/>
      <c r="C178" s="28" t="str">
        <f aca="false">IF($B178="","",IFERROR(INDEX('المواد الخام'!$B$5:$B$104,MATCH($B178,'المواد الخام'!$A$5:$A$104,0)),IFERROR(INDEX(المنتجات!$C$5:$C$24,MATCH($B178,المنتجات!$A$5:$A$24,0)),"كود غير موجود")))</f>
        <v/>
      </c>
      <c r="D178" s="27" t="str">
        <f aca="false">IF($B178="","",IFERROR(INDEX('المواد الخام'!$L$5:$L$104,MATCH($B178,'المواد الخام'!$A$5:$A$104,0)),IFERROR(INDEX(المنتجات!$P$5:$P$24,MATCH($B178,المنتجات!$A$5:$A$24,0)),0)))</f>
        <v/>
      </c>
      <c r="E178" s="24"/>
      <c r="F178" s="27" t="str">
        <f aca="false">IF(OR($B178="",E178=""),"",E178-D178)</f>
        <v/>
      </c>
      <c r="G178" s="28" t="str">
        <f aca="false">IF(F178="","",IF(F178=0,"مطابق",IF(F178&gt;0,"سجّل تسوية زيادة","سجّل تسوية نقص")))</f>
        <v/>
      </c>
      <c r="H178" s="29"/>
    </row>
    <row r="179" customFormat="false" ht="15" hidden="false" customHeight="false" outlineLevel="0" collapsed="false">
      <c r="A179" s="32"/>
      <c r="B179" s="29"/>
      <c r="C179" s="28" t="str">
        <f aca="false">IF($B179="","",IFERROR(INDEX('المواد الخام'!$B$5:$B$104,MATCH($B179,'المواد الخام'!$A$5:$A$104,0)),IFERROR(INDEX(المنتجات!$C$5:$C$24,MATCH($B179,المنتجات!$A$5:$A$24,0)),"كود غير موجود")))</f>
        <v/>
      </c>
      <c r="D179" s="27" t="str">
        <f aca="false">IF($B179="","",IFERROR(INDEX('المواد الخام'!$L$5:$L$104,MATCH($B179,'المواد الخام'!$A$5:$A$104,0)),IFERROR(INDEX(المنتجات!$P$5:$P$24,MATCH($B179,المنتجات!$A$5:$A$24,0)),0)))</f>
        <v/>
      </c>
      <c r="E179" s="24"/>
      <c r="F179" s="27" t="str">
        <f aca="false">IF(OR($B179="",E179=""),"",E179-D179)</f>
        <v/>
      </c>
      <c r="G179" s="28" t="str">
        <f aca="false">IF(F179="","",IF(F179=0,"مطابق",IF(F179&gt;0,"سجّل تسوية زيادة","سجّل تسوية نقص")))</f>
        <v/>
      </c>
      <c r="H179" s="29"/>
    </row>
    <row r="180" customFormat="false" ht="15" hidden="false" customHeight="false" outlineLevel="0" collapsed="false">
      <c r="A180" s="32"/>
      <c r="B180" s="29"/>
      <c r="C180" s="28" t="str">
        <f aca="false">IF($B180="","",IFERROR(INDEX('المواد الخام'!$B$5:$B$104,MATCH($B180,'المواد الخام'!$A$5:$A$104,0)),IFERROR(INDEX(المنتجات!$C$5:$C$24,MATCH($B180,المنتجات!$A$5:$A$24,0)),"كود غير موجود")))</f>
        <v/>
      </c>
      <c r="D180" s="27" t="str">
        <f aca="false">IF($B180="","",IFERROR(INDEX('المواد الخام'!$L$5:$L$104,MATCH($B180,'المواد الخام'!$A$5:$A$104,0)),IFERROR(INDEX(المنتجات!$P$5:$P$24,MATCH($B180,المنتجات!$A$5:$A$24,0)),0)))</f>
        <v/>
      </c>
      <c r="E180" s="24"/>
      <c r="F180" s="27" t="str">
        <f aca="false">IF(OR($B180="",E180=""),"",E180-D180)</f>
        <v/>
      </c>
      <c r="G180" s="28" t="str">
        <f aca="false">IF(F180="","",IF(F180=0,"مطابق",IF(F180&gt;0,"سجّل تسوية زيادة","سجّل تسوية نقص")))</f>
        <v/>
      </c>
      <c r="H180" s="29"/>
    </row>
    <row r="181" customFormat="false" ht="15" hidden="false" customHeight="false" outlineLevel="0" collapsed="false">
      <c r="A181" s="32"/>
      <c r="B181" s="29"/>
      <c r="C181" s="28" t="str">
        <f aca="false">IF($B181="","",IFERROR(INDEX('المواد الخام'!$B$5:$B$104,MATCH($B181,'المواد الخام'!$A$5:$A$104,0)),IFERROR(INDEX(المنتجات!$C$5:$C$24,MATCH($B181,المنتجات!$A$5:$A$24,0)),"كود غير موجود")))</f>
        <v/>
      </c>
      <c r="D181" s="27" t="str">
        <f aca="false">IF($B181="","",IFERROR(INDEX('المواد الخام'!$L$5:$L$104,MATCH($B181,'المواد الخام'!$A$5:$A$104,0)),IFERROR(INDEX(المنتجات!$P$5:$P$24,MATCH($B181,المنتجات!$A$5:$A$24,0)),0)))</f>
        <v/>
      </c>
      <c r="E181" s="24"/>
      <c r="F181" s="27" t="str">
        <f aca="false">IF(OR($B181="",E181=""),"",E181-D181)</f>
        <v/>
      </c>
      <c r="G181" s="28" t="str">
        <f aca="false">IF(F181="","",IF(F181=0,"مطابق",IF(F181&gt;0,"سجّل تسوية زيادة","سجّل تسوية نقص")))</f>
        <v/>
      </c>
      <c r="H181" s="29"/>
    </row>
    <row r="182" customFormat="false" ht="15" hidden="false" customHeight="false" outlineLevel="0" collapsed="false">
      <c r="A182" s="32"/>
      <c r="B182" s="29"/>
      <c r="C182" s="28" t="str">
        <f aca="false">IF($B182="","",IFERROR(INDEX('المواد الخام'!$B$5:$B$104,MATCH($B182,'المواد الخام'!$A$5:$A$104,0)),IFERROR(INDEX(المنتجات!$C$5:$C$24,MATCH($B182,المنتجات!$A$5:$A$24,0)),"كود غير موجود")))</f>
        <v/>
      </c>
      <c r="D182" s="27" t="str">
        <f aca="false">IF($B182="","",IFERROR(INDEX('المواد الخام'!$L$5:$L$104,MATCH($B182,'المواد الخام'!$A$5:$A$104,0)),IFERROR(INDEX(المنتجات!$P$5:$P$24,MATCH($B182,المنتجات!$A$5:$A$24,0)),0)))</f>
        <v/>
      </c>
      <c r="E182" s="24"/>
      <c r="F182" s="27" t="str">
        <f aca="false">IF(OR($B182="",E182=""),"",E182-D182)</f>
        <v/>
      </c>
      <c r="G182" s="28" t="str">
        <f aca="false">IF(F182="","",IF(F182=0,"مطابق",IF(F182&gt;0,"سجّل تسوية زيادة","سجّل تسوية نقص")))</f>
        <v/>
      </c>
      <c r="H182" s="29"/>
    </row>
    <row r="183" customFormat="false" ht="15" hidden="false" customHeight="false" outlineLevel="0" collapsed="false">
      <c r="A183" s="32"/>
      <c r="B183" s="29"/>
      <c r="C183" s="28" t="str">
        <f aca="false">IF($B183="","",IFERROR(INDEX('المواد الخام'!$B$5:$B$104,MATCH($B183,'المواد الخام'!$A$5:$A$104,0)),IFERROR(INDEX(المنتجات!$C$5:$C$24,MATCH($B183,المنتجات!$A$5:$A$24,0)),"كود غير موجود")))</f>
        <v/>
      </c>
      <c r="D183" s="27" t="str">
        <f aca="false">IF($B183="","",IFERROR(INDEX('المواد الخام'!$L$5:$L$104,MATCH($B183,'المواد الخام'!$A$5:$A$104,0)),IFERROR(INDEX(المنتجات!$P$5:$P$24,MATCH($B183,المنتجات!$A$5:$A$24,0)),0)))</f>
        <v/>
      </c>
      <c r="E183" s="24"/>
      <c r="F183" s="27" t="str">
        <f aca="false">IF(OR($B183="",E183=""),"",E183-D183)</f>
        <v/>
      </c>
      <c r="G183" s="28" t="str">
        <f aca="false">IF(F183="","",IF(F183=0,"مطابق",IF(F183&gt;0,"سجّل تسوية زيادة","سجّل تسوية نقص")))</f>
        <v/>
      </c>
      <c r="H183" s="29"/>
    </row>
    <row r="184" customFormat="false" ht="15" hidden="false" customHeight="false" outlineLevel="0" collapsed="false">
      <c r="A184" s="32"/>
      <c r="B184" s="29"/>
      <c r="C184" s="28" t="str">
        <f aca="false">IF($B184="","",IFERROR(INDEX('المواد الخام'!$B$5:$B$104,MATCH($B184,'المواد الخام'!$A$5:$A$104,0)),IFERROR(INDEX(المنتجات!$C$5:$C$24,MATCH($B184,المنتجات!$A$5:$A$24,0)),"كود غير موجود")))</f>
        <v/>
      </c>
      <c r="D184" s="27" t="str">
        <f aca="false">IF($B184="","",IFERROR(INDEX('المواد الخام'!$L$5:$L$104,MATCH($B184,'المواد الخام'!$A$5:$A$104,0)),IFERROR(INDEX(المنتجات!$P$5:$P$24,MATCH($B184,المنتجات!$A$5:$A$24,0)),0)))</f>
        <v/>
      </c>
      <c r="E184" s="24"/>
      <c r="F184" s="27" t="str">
        <f aca="false">IF(OR($B184="",E184=""),"",E184-D184)</f>
        <v/>
      </c>
      <c r="G184" s="28" t="str">
        <f aca="false">IF(F184="","",IF(F184=0,"مطابق",IF(F184&gt;0,"سجّل تسوية زيادة","سجّل تسوية نقص")))</f>
        <v/>
      </c>
      <c r="H184" s="29"/>
    </row>
    <row r="185" customFormat="false" ht="15" hidden="false" customHeight="false" outlineLevel="0" collapsed="false">
      <c r="A185" s="32"/>
      <c r="B185" s="29"/>
      <c r="C185" s="28" t="str">
        <f aca="false">IF($B185="","",IFERROR(INDEX('المواد الخام'!$B$5:$B$104,MATCH($B185,'المواد الخام'!$A$5:$A$104,0)),IFERROR(INDEX(المنتجات!$C$5:$C$24,MATCH($B185,المنتجات!$A$5:$A$24,0)),"كود غير موجود")))</f>
        <v/>
      </c>
      <c r="D185" s="27" t="str">
        <f aca="false">IF($B185="","",IFERROR(INDEX('المواد الخام'!$L$5:$L$104,MATCH($B185,'المواد الخام'!$A$5:$A$104,0)),IFERROR(INDEX(المنتجات!$P$5:$P$24,MATCH($B185,المنتجات!$A$5:$A$24,0)),0)))</f>
        <v/>
      </c>
      <c r="E185" s="24"/>
      <c r="F185" s="27" t="str">
        <f aca="false">IF(OR($B185="",E185=""),"",E185-D185)</f>
        <v/>
      </c>
      <c r="G185" s="28" t="str">
        <f aca="false">IF(F185="","",IF(F185=0,"مطابق",IF(F185&gt;0,"سجّل تسوية زيادة","سجّل تسوية نقص")))</f>
        <v/>
      </c>
      <c r="H185" s="29"/>
    </row>
    <row r="186" customFormat="false" ht="15" hidden="false" customHeight="false" outlineLevel="0" collapsed="false">
      <c r="A186" s="32"/>
      <c r="B186" s="29"/>
      <c r="C186" s="28" t="str">
        <f aca="false">IF($B186="","",IFERROR(INDEX('المواد الخام'!$B$5:$B$104,MATCH($B186,'المواد الخام'!$A$5:$A$104,0)),IFERROR(INDEX(المنتجات!$C$5:$C$24,MATCH($B186,المنتجات!$A$5:$A$24,0)),"كود غير موجود")))</f>
        <v/>
      </c>
      <c r="D186" s="27" t="str">
        <f aca="false">IF($B186="","",IFERROR(INDEX('المواد الخام'!$L$5:$L$104,MATCH($B186,'المواد الخام'!$A$5:$A$104,0)),IFERROR(INDEX(المنتجات!$P$5:$P$24,MATCH($B186,المنتجات!$A$5:$A$24,0)),0)))</f>
        <v/>
      </c>
      <c r="E186" s="24"/>
      <c r="F186" s="27" t="str">
        <f aca="false">IF(OR($B186="",E186=""),"",E186-D186)</f>
        <v/>
      </c>
      <c r="G186" s="28" t="str">
        <f aca="false">IF(F186="","",IF(F186=0,"مطابق",IF(F186&gt;0,"سجّل تسوية زيادة","سجّل تسوية نقص")))</f>
        <v/>
      </c>
      <c r="H186" s="29"/>
    </row>
    <row r="187" customFormat="false" ht="15" hidden="false" customHeight="false" outlineLevel="0" collapsed="false">
      <c r="A187" s="32"/>
      <c r="B187" s="29"/>
      <c r="C187" s="28" t="str">
        <f aca="false">IF($B187="","",IFERROR(INDEX('المواد الخام'!$B$5:$B$104,MATCH($B187,'المواد الخام'!$A$5:$A$104,0)),IFERROR(INDEX(المنتجات!$C$5:$C$24,MATCH($B187,المنتجات!$A$5:$A$24,0)),"كود غير موجود")))</f>
        <v/>
      </c>
      <c r="D187" s="27" t="str">
        <f aca="false">IF($B187="","",IFERROR(INDEX('المواد الخام'!$L$5:$L$104,MATCH($B187,'المواد الخام'!$A$5:$A$104,0)),IFERROR(INDEX(المنتجات!$P$5:$P$24,MATCH($B187,المنتجات!$A$5:$A$24,0)),0)))</f>
        <v/>
      </c>
      <c r="E187" s="24"/>
      <c r="F187" s="27" t="str">
        <f aca="false">IF(OR($B187="",E187=""),"",E187-D187)</f>
        <v/>
      </c>
      <c r="G187" s="28" t="str">
        <f aca="false">IF(F187="","",IF(F187=0,"مطابق",IF(F187&gt;0,"سجّل تسوية زيادة","سجّل تسوية نقص")))</f>
        <v/>
      </c>
      <c r="H187" s="29"/>
    </row>
    <row r="188" customFormat="false" ht="15" hidden="false" customHeight="false" outlineLevel="0" collapsed="false">
      <c r="A188" s="32"/>
      <c r="B188" s="29"/>
      <c r="C188" s="28" t="str">
        <f aca="false">IF($B188="","",IFERROR(INDEX('المواد الخام'!$B$5:$B$104,MATCH($B188,'المواد الخام'!$A$5:$A$104,0)),IFERROR(INDEX(المنتجات!$C$5:$C$24,MATCH($B188,المنتجات!$A$5:$A$24,0)),"كود غير موجود")))</f>
        <v/>
      </c>
      <c r="D188" s="27" t="str">
        <f aca="false">IF($B188="","",IFERROR(INDEX('المواد الخام'!$L$5:$L$104,MATCH($B188,'المواد الخام'!$A$5:$A$104,0)),IFERROR(INDEX(المنتجات!$P$5:$P$24,MATCH($B188,المنتجات!$A$5:$A$24,0)),0)))</f>
        <v/>
      </c>
      <c r="E188" s="24"/>
      <c r="F188" s="27" t="str">
        <f aca="false">IF(OR($B188="",E188=""),"",E188-D188)</f>
        <v/>
      </c>
      <c r="G188" s="28" t="str">
        <f aca="false">IF(F188="","",IF(F188=0,"مطابق",IF(F188&gt;0,"سجّل تسوية زيادة","سجّل تسوية نقص")))</f>
        <v/>
      </c>
      <c r="H188" s="29"/>
    </row>
    <row r="189" customFormat="false" ht="15" hidden="false" customHeight="false" outlineLevel="0" collapsed="false">
      <c r="A189" s="32"/>
      <c r="B189" s="29"/>
      <c r="C189" s="28" t="str">
        <f aca="false">IF($B189="","",IFERROR(INDEX('المواد الخام'!$B$5:$B$104,MATCH($B189,'المواد الخام'!$A$5:$A$104,0)),IFERROR(INDEX(المنتجات!$C$5:$C$24,MATCH($B189,المنتجات!$A$5:$A$24,0)),"كود غير موجود")))</f>
        <v/>
      </c>
      <c r="D189" s="27" t="str">
        <f aca="false">IF($B189="","",IFERROR(INDEX('المواد الخام'!$L$5:$L$104,MATCH($B189,'المواد الخام'!$A$5:$A$104,0)),IFERROR(INDEX(المنتجات!$P$5:$P$24,MATCH($B189,المنتجات!$A$5:$A$24,0)),0)))</f>
        <v/>
      </c>
      <c r="E189" s="24"/>
      <c r="F189" s="27" t="str">
        <f aca="false">IF(OR($B189="",E189=""),"",E189-D189)</f>
        <v/>
      </c>
      <c r="G189" s="28" t="str">
        <f aca="false">IF(F189="","",IF(F189=0,"مطابق",IF(F189&gt;0,"سجّل تسوية زيادة","سجّل تسوية نقص")))</f>
        <v/>
      </c>
      <c r="H189" s="29"/>
    </row>
    <row r="190" customFormat="false" ht="15" hidden="false" customHeight="false" outlineLevel="0" collapsed="false">
      <c r="A190" s="32"/>
      <c r="B190" s="29"/>
      <c r="C190" s="28" t="str">
        <f aca="false">IF($B190="","",IFERROR(INDEX('المواد الخام'!$B$5:$B$104,MATCH($B190,'المواد الخام'!$A$5:$A$104,0)),IFERROR(INDEX(المنتجات!$C$5:$C$24,MATCH($B190,المنتجات!$A$5:$A$24,0)),"كود غير موجود")))</f>
        <v/>
      </c>
      <c r="D190" s="27" t="str">
        <f aca="false">IF($B190="","",IFERROR(INDEX('المواد الخام'!$L$5:$L$104,MATCH($B190,'المواد الخام'!$A$5:$A$104,0)),IFERROR(INDEX(المنتجات!$P$5:$P$24,MATCH($B190,المنتجات!$A$5:$A$24,0)),0)))</f>
        <v/>
      </c>
      <c r="E190" s="24"/>
      <c r="F190" s="27" t="str">
        <f aca="false">IF(OR($B190="",E190=""),"",E190-D190)</f>
        <v/>
      </c>
      <c r="G190" s="28" t="str">
        <f aca="false">IF(F190="","",IF(F190=0,"مطابق",IF(F190&gt;0,"سجّل تسوية زيادة","سجّل تسوية نقص")))</f>
        <v/>
      </c>
      <c r="H190" s="29"/>
    </row>
    <row r="191" customFormat="false" ht="15" hidden="false" customHeight="false" outlineLevel="0" collapsed="false">
      <c r="A191" s="32"/>
      <c r="B191" s="29"/>
      <c r="C191" s="28" t="str">
        <f aca="false">IF($B191="","",IFERROR(INDEX('المواد الخام'!$B$5:$B$104,MATCH($B191,'المواد الخام'!$A$5:$A$104,0)),IFERROR(INDEX(المنتجات!$C$5:$C$24,MATCH($B191,المنتجات!$A$5:$A$24,0)),"كود غير موجود")))</f>
        <v/>
      </c>
      <c r="D191" s="27" t="str">
        <f aca="false">IF($B191="","",IFERROR(INDEX('المواد الخام'!$L$5:$L$104,MATCH($B191,'المواد الخام'!$A$5:$A$104,0)),IFERROR(INDEX(المنتجات!$P$5:$P$24,MATCH($B191,المنتجات!$A$5:$A$24,0)),0)))</f>
        <v/>
      </c>
      <c r="E191" s="24"/>
      <c r="F191" s="27" t="str">
        <f aca="false">IF(OR($B191="",E191=""),"",E191-D191)</f>
        <v/>
      </c>
      <c r="G191" s="28" t="str">
        <f aca="false">IF(F191="","",IF(F191=0,"مطابق",IF(F191&gt;0,"سجّل تسوية زيادة","سجّل تسوية نقص")))</f>
        <v/>
      </c>
      <c r="H191" s="29"/>
    </row>
    <row r="192" customFormat="false" ht="15" hidden="false" customHeight="false" outlineLevel="0" collapsed="false">
      <c r="A192" s="32"/>
      <c r="B192" s="29"/>
      <c r="C192" s="28" t="str">
        <f aca="false">IF($B192="","",IFERROR(INDEX('المواد الخام'!$B$5:$B$104,MATCH($B192,'المواد الخام'!$A$5:$A$104,0)),IFERROR(INDEX(المنتجات!$C$5:$C$24,MATCH($B192,المنتجات!$A$5:$A$24,0)),"كود غير موجود")))</f>
        <v/>
      </c>
      <c r="D192" s="27" t="str">
        <f aca="false">IF($B192="","",IFERROR(INDEX('المواد الخام'!$L$5:$L$104,MATCH($B192,'المواد الخام'!$A$5:$A$104,0)),IFERROR(INDEX(المنتجات!$P$5:$P$24,MATCH($B192,المنتجات!$A$5:$A$24,0)),0)))</f>
        <v/>
      </c>
      <c r="E192" s="24"/>
      <c r="F192" s="27" t="str">
        <f aca="false">IF(OR($B192="",E192=""),"",E192-D192)</f>
        <v/>
      </c>
      <c r="G192" s="28" t="str">
        <f aca="false">IF(F192="","",IF(F192=0,"مطابق",IF(F192&gt;0,"سجّل تسوية زيادة","سجّل تسوية نقص")))</f>
        <v/>
      </c>
      <c r="H192" s="29"/>
    </row>
    <row r="193" customFormat="false" ht="15" hidden="false" customHeight="false" outlineLevel="0" collapsed="false">
      <c r="A193" s="32"/>
      <c r="B193" s="29"/>
      <c r="C193" s="28" t="str">
        <f aca="false">IF($B193="","",IFERROR(INDEX('المواد الخام'!$B$5:$B$104,MATCH($B193,'المواد الخام'!$A$5:$A$104,0)),IFERROR(INDEX(المنتجات!$C$5:$C$24,MATCH($B193,المنتجات!$A$5:$A$24,0)),"كود غير موجود")))</f>
        <v/>
      </c>
      <c r="D193" s="27" t="str">
        <f aca="false">IF($B193="","",IFERROR(INDEX('المواد الخام'!$L$5:$L$104,MATCH($B193,'المواد الخام'!$A$5:$A$104,0)),IFERROR(INDEX(المنتجات!$P$5:$P$24,MATCH($B193,المنتجات!$A$5:$A$24,0)),0)))</f>
        <v/>
      </c>
      <c r="E193" s="24"/>
      <c r="F193" s="27" t="str">
        <f aca="false">IF(OR($B193="",E193=""),"",E193-D193)</f>
        <v/>
      </c>
      <c r="G193" s="28" t="str">
        <f aca="false">IF(F193="","",IF(F193=0,"مطابق",IF(F193&gt;0,"سجّل تسوية زيادة","سجّل تسوية نقص")))</f>
        <v/>
      </c>
      <c r="H193" s="29"/>
    </row>
    <row r="194" customFormat="false" ht="15" hidden="false" customHeight="false" outlineLevel="0" collapsed="false">
      <c r="A194" s="32"/>
      <c r="B194" s="29"/>
      <c r="C194" s="28" t="str">
        <f aca="false">IF($B194="","",IFERROR(INDEX('المواد الخام'!$B$5:$B$104,MATCH($B194,'المواد الخام'!$A$5:$A$104,0)),IFERROR(INDEX(المنتجات!$C$5:$C$24,MATCH($B194,المنتجات!$A$5:$A$24,0)),"كود غير موجود")))</f>
        <v/>
      </c>
      <c r="D194" s="27" t="str">
        <f aca="false">IF($B194="","",IFERROR(INDEX('المواد الخام'!$L$5:$L$104,MATCH($B194,'المواد الخام'!$A$5:$A$104,0)),IFERROR(INDEX(المنتجات!$P$5:$P$24,MATCH($B194,المنتجات!$A$5:$A$24,0)),0)))</f>
        <v/>
      </c>
      <c r="E194" s="24"/>
      <c r="F194" s="27" t="str">
        <f aca="false">IF(OR($B194="",E194=""),"",E194-D194)</f>
        <v/>
      </c>
      <c r="G194" s="28" t="str">
        <f aca="false">IF(F194="","",IF(F194=0,"مطابق",IF(F194&gt;0,"سجّل تسوية زيادة","سجّل تسوية نقص")))</f>
        <v/>
      </c>
      <c r="H194" s="29"/>
    </row>
    <row r="195" customFormat="false" ht="15" hidden="false" customHeight="false" outlineLevel="0" collapsed="false">
      <c r="A195" s="32"/>
      <c r="B195" s="29"/>
      <c r="C195" s="28" t="str">
        <f aca="false">IF($B195="","",IFERROR(INDEX('المواد الخام'!$B$5:$B$104,MATCH($B195,'المواد الخام'!$A$5:$A$104,0)),IFERROR(INDEX(المنتجات!$C$5:$C$24,MATCH($B195,المنتجات!$A$5:$A$24,0)),"كود غير موجود")))</f>
        <v/>
      </c>
      <c r="D195" s="27" t="str">
        <f aca="false">IF($B195="","",IFERROR(INDEX('المواد الخام'!$L$5:$L$104,MATCH($B195,'المواد الخام'!$A$5:$A$104,0)),IFERROR(INDEX(المنتجات!$P$5:$P$24,MATCH($B195,المنتجات!$A$5:$A$24,0)),0)))</f>
        <v/>
      </c>
      <c r="E195" s="24"/>
      <c r="F195" s="27" t="str">
        <f aca="false">IF(OR($B195="",E195=""),"",E195-D195)</f>
        <v/>
      </c>
      <c r="G195" s="28" t="str">
        <f aca="false">IF(F195="","",IF(F195=0,"مطابق",IF(F195&gt;0,"سجّل تسوية زيادة","سجّل تسوية نقص")))</f>
        <v/>
      </c>
      <c r="H195" s="29"/>
    </row>
    <row r="196" customFormat="false" ht="15" hidden="false" customHeight="false" outlineLevel="0" collapsed="false">
      <c r="A196" s="32"/>
      <c r="B196" s="29"/>
      <c r="C196" s="28" t="str">
        <f aca="false">IF($B196="","",IFERROR(INDEX('المواد الخام'!$B$5:$B$104,MATCH($B196,'المواد الخام'!$A$5:$A$104,0)),IFERROR(INDEX(المنتجات!$C$5:$C$24,MATCH($B196,المنتجات!$A$5:$A$24,0)),"كود غير موجود")))</f>
        <v/>
      </c>
      <c r="D196" s="27" t="str">
        <f aca="false">IF($B196="","",IFERROR(INDEX('المواد الخام'!$L$5:$L$104,MATCH($B196,'المواد الخام'!$A$5:$A$104,0)),IFERROR(INDEX(المنتجات!$P$5:$P$24,MATCH($B196,المنتجات!$A$5:$A$24,0)),0)))</f>
        <v/>
      </c>
      <c r="E196" s="24"/>
      <c r="F196" s="27" t="str">
        <f aca="false">IF(OR($B196="",E196=""),"",E196-D196)</f>
        <v/>
      </c>
      <c r="G196" s="28" t="str">
        <f aca="false">IF(F196="","",IF(F196=0,"مطابق",IF(F196&gt;0,"سجّل تسوية زيادة","سجّل تسوية نقص")))</f>
        <v/>
      </c>
      <c r="H196" s="29"/>
    </row>
    <row r="197" customFormat="false" ht="15" hidden="false" customHeight="false" outlineLevel="0" collapsed="false">
      <c r="A197" s="32"/>
      <c r="B197" s="29"/>
      <c r="C197" s="28" t="str">
        <f aca="false">IF($B197="","",IFERROR(INDEX('المواد الخام'!$B$5:$B$104,MATCH($B197,'المواد الخام'!$A$5:$A$104,0)),IFERROR(INDEX(المنتجات!$C$5:$C$24,MATCH($B197,المنتجات!$A$5:$A$24,0)),"كود غير موجود")))</f>
        <v/>
      </c>
      <c r="D197" s="27" t="str">
        <f aca="false">IF($B197="","",IFERROR(INDEX('المواد الخام'!$L$5:$L$104,MATCH($B197,'المواد الخام'!$A$5:$A$104,0)),IFERROR(INDEX(المنتجات!$P$5:$P$24,MATCH($B197,المنتجات!$A$5:$A$24,0)),0)))</f>
        <v/>
      </c>
      <c r="E197" s="24"/>
      <c r="F197" s="27" t="str">
        <f aca="false">IF(OR($B197="",E197=""),"",E197-D197)</f>
        <v/>
      </c>
      <c r="G197" s="28" t="str">
        <f aca="false">IF(F197="","",IF(F197=0,"مطابق",IF(F197&gt;0,"سجّل تسوية زيادة","سجّل تسوية نقص")))</f>
        <v/>
      </c>
      <c r="H197" s="29"/>
    </row>
    <row r="198" customFormat="false" ht="15" hidden="false" customHeight="false" outlineLevel="0" collapsed="false">
      <c r="A198" s="32"/>
      <c r="B198" s="29"/>
      <c r="C198" s="28" t="str">
        <f aca="false">IF($B198="","",IFERROR(INDEX('المواد الخام'!$B$5:$B$104,MATCH($B198,'المواد الخام'!$A$5:$A$104,0)),IFERROR(INDEX(المنتجات!$C$5:$C$24,MATCH($B198,المنتجات!$A$5:$A$24,0)),"كود غير موجود")))</f>
        <v/>
      </c>
      <c r="D198" s="27" t="str">
        <f aca="false">IF($B198="","",IFERROR(INDEX('المواد الخام'!$L$5:$L$104,MATCH($B198,'المواد الخام'!$A$5:$A$104,0)),IFERROR(INDEX(المنتجات!$P$5:$P$24,MATCH($B198,المنتجات!$A$5:$A$24,0)),0)))</f>
        <v/>
      </c>
      <c r="E198" s="24"/>
      <c r="F198" s="27" t="str">
        <f aca="false">IF(OR($B198="",E198=""),"",E198-D198)</f>
        <v/>
      </c>
      <c r="G198" s="28" t="str">
        <f aca="false">IF(F198="","",IF(F198=0,"مطابق",IF(F198&gt;0,"سجّل تسوية زيادة","سجّل تسوية نقص")))</f>
        <v/>
      </c>
      <c r="H198" s="29"/>
    </row>
    <row r="199" customFormat="false" ht="15" hidden="false" customHeight="false" outlineLevel="0" collapsed="false">
      <c r="A199" s="32"/>
      <c r="B199" s="29"/>
      <c r="C199" s="28" t="str">
        <f aca="false">IF($B199="","",IFERROR(INDEX('المواد الخام'!$B$5:$B$104,MATCH($B199,'المواد الخام'!$A$5:$A$104,0)),IFERROR(INDEX(المنتجات!$C$5:$C$24,MATCH($B199,المنتجات!$A$5:$A$24,0)),"كود غير موجود")))</f>
        <v/>
      </c>
      <c r="D199" s="27" t="str">
        <f aca="false">IF($B199="","",IFERROR(INDEX('المواد الخام'!$L$5:$L$104,MATCH($B199,'المواد الخام'!$A$5:$A$104,0)),IFERROR(INDEX(المنتجات!$P$5:$P$24,MATCH($B199,المنتجات!$A$5:$A$24,0)),0)))</f>
        <v/>
      </c>
      <c r="E199" s="24"/>
      <c r="F199" s="27" t="str">
        <f aca="false">IF(OR($B199="",E199=""),"",E199-D199)</f>
        <v/>
      </c>
      <c r="G199" s="28" t="str">
        <f aca="false">IF(F199="","",IF(F199=0,"مطابق",IF(F199&gt;0,"سجّل تسوية زيادة","سجّل تسوية نقص")))</f>
        <v/>
      </c>
      <c r="H199" s="29"/>
    </row>
    <row r="200" customFormat="false" ht="15" hidden="false" customHeight="false" outlineLevel="0" collapsed="false">
      <c r="A200" s="32"/>
      <c r="B200" s="29"/>
      <c r="C200" s="28" t="str">
        <f aca="false">IF($B200="","",IFERROR(INDEX('المواد الخام'!$B$5:$B$104,MATCH($B200,'المواد الخام'!$A$5:$A$104,0)),IFERROR(INDEX(المنتجات!$C$5:$C$24,MATCH($B200,المنتجات!$A$5:$A$24,0)),"كود غير موجود")))</f>
        <v/>
      </c>
      <c r="D200" s="27" t="str">
        <f aca="false">IF($B200="","",IFERROR(INDEX('المواد الخام'!$L$5:$L$104,MATCH($B200,'المواد الخام'!$A$5:$A$104,0)),IFERROR(INDEX(المنتجات!$P$5:$P$24,MATCH($B200,المنتجات!$A$5:$A$24,0)),0)))</f>
        <v/>
      </c>
      <c r="E200" s="24"/>
      <c r="F200" s="27" t="str">
        <f aca="false">IF(OR($B200="",E200=""),"",E200-D200)</f>
        <v/>
      </c>
      <c r="G200" s="28" t="str">
        <f aca="false">IF(F200="","",IF(F200=0,"مطابق",IF(F200&gt;0,"سجّل تسوية زيادة","سجّل تسوية نقص")))</f>
        <v/>
      </c>
      <c r="H200" s="29"/>
    </row>
    <row r="201" customFormat="false" ht="15" hidden="false" customHeight="false" outlineLevel="0" collapsed="false">
      <c r="A201" s="32"/>
      <c r="B201" s="29"/>
      <c r="C201" s="28" t="str">
        <f aca="false">IF($B201="","",IFERROR(INDEX('المواد الخام'!$B$5:$B$104,MATCH($B201,'المواد الخام'!$A$5:$A$104,0)),IFERROR(INDEX(المنتجات!$C$5:$C$24,MATCH($B201,المنتجات!$A$5:$A$24,0)),"كود غير موجود")))</f>
        <v/>
      </c>
      <c r="D201" s="27" t="str">
        <f aca="false">IF($B201="","",IFERROR(INDEX('المواد الخام'!$L$5:$L$104,MATCH($B201,'المواد الخام'!$A$5:$A$104,0)),IFERROR(INDEX(المنتجات!$P$5:$P$24,MATCH($B201,المنتجات!$A$5:$A$24,0)),0)))</f>
        <v/>
      </c>
      <c r="E201" s="24"/>
      <c r="F201" s="27" t="str">
        <f aca="false">IF(OR($B201="",E201=""),"",E201-D201)</f>
        <v/>
      </c>
      <c r="G201" s="28" t="str">
        <f aca="false">IF(F201="","",IF(F201=0,"مطابق",IF(F201&gt;0,"سجّل تسوية زيادة","سجّل تسوية نقص")))</f>
        <v/>
      </c>
      <c r="H201" s="29"/>
    </row>
    <row r="202" customFormat="false" ht="15" hidden="false" customHeight="false" outlineLevel="0" collapsed="false">
      <c r="A202" s="32"/>
      <c r="B202" s="29"/>
      <c r="C202" s="28" t="str">
        <f aca="false">IF($B202="","",IFERROR(INDEX('المواد الخام'!$B$5:$B$104,MATCH($B202,'المواد الخام'!$A$5:$A$104,0)),IFERROR(INDEX(المنتجات!$C$5:$C$24,MATCH($B202,المنتجات!$A$5:$A$24,0)),"كود غير موجود")))</f>
        <v/>
      </c>
      <c r="D202" s="27" t="str">
        <f aca="false">IF($B202="","",IFERROR(INDEX('المواد الخام'!$L$5:$L$104,MATCH($B202,'المواد الخام'!$A$5:$A$104,0)),IFERROR(INDEX(المنتجات!$P$5:$P$24,MATCH($B202,المنتجات!$A$5:$A$24,0)),0)))</f>
        <v/>
      </c>
      <c r="E202" s="24"/>
      <c r="F202" s="27" t="str">
        <f aca="false">IF(OR($B202="",E202=""),"",E202-D202)</f>
        <v/>
      </c>
      <c r="G202" s="28" t="str">
        <f aca="false">IF(F202="","",IF(F202=0,"مطابق",IF(F202&gt;0,"سجّل تسوية زيادة","سجّل تسوية نقص")))</f>
        <v/>
      </c>
      <c r="H202" s="29"/>
    </row>
    <row r="203" customFormat="false" ht="15" hidden="false" customHeight="false" outlineLevel="0" collapsed="false">
      <c r="A203" s="32"/>
      <c r="B203" s="29"/>
      <c r="C203" s="28" t="str">
        <f aca="false">IF($B203="","",IFERROR(INDEX('المواد الخام'!$B$5:$B$104,MATCH($B203,'المواد الخام'!$A$5:$A$104,0)),IFERROR(INDEX(المنتجات!$C$5:$C$24,MATCH($B203,المنتجات!$A$5:$A$24,0)),"كود غير موجود")))</f>
        <v/>
      </c>
      <c r="D203" s="27" t="str">
        <f aca="false">IF($B203="","",IFERROR(INDEX('المواد الخام'!$L$5:$L$104,MATCH($B203,'المواد الخام'!$A$5:$A$104,0)),IFERROR(INDEX(المنتجات!$P$5:$P$24,MATCH($B203,المنتجات!$A$5:$A$24,0)),0)))</f>
        <v/>
      </c>
      <c r="E203" s="24"/>
      <c r="F203" s="27" t="str">
        <f aca="false">IF(OR($B203="",E203=""),"",E203-D203)</f>
        <v/>
      </c>
      <c r="G203" s="28" t="str">
        <f aca="false">IF(F203="","",IF(F203=0,"مطابق",IF(F203&gt;0,"سجّل تسوية زيادة","سجّل تسوية نقص")))</f>
        <v/>
      </c>
      <c r="H203" s="29"/>
    </row>
    <row r="204" customFormat="false" ht="15" hidden="false" customHeight="false" outlineLevel="0" collapsed="false">
      <c r="A204" s="32"/>
      <c r="B204" s="29"/>
      <c r="C204" s="28" t="str">
        <f aca="false">IF($B204="","",IFERROR(INDEX('المواد الخام'!$B$5:$B$104,MATCH($B204,'المواد الخام'!$A$5:$A$104,0)),IFERROR(INDEX(المنتجات!$C$5:$C$24,MATCH($B204,المنتجات!$A$5:$A$24,0)),"كود غير موجود")))</f>
        <v/>
      </c>
      <c r="D204" s="27" t="str">
        <f aca="false">IF($B204="","",IFERROR(INDEX('المواد الخام'!$L$5:$L$104,MATCH($B204,'المواد الخام'!$A$5:$A$104,0)),IFERROR(INDEX(المنتجات!$P$5:$P$24,MATCH($B204,المنتجات!$A$5:$A$24,0)),0)))</f>
        <v/>
      </c>
      <c r="E204" s="24"/>
      <c r="F204" s="27" t="str">
        <f aca="false">IF(OR($B204="",E204=""),"",E204-D204)</f>
        <v/>
      </c>
      <c r="G204" s="28" t="str">
        <f aca="false">IF(F204="","",IF(F204=0,"مطابق",IF(F204&gt;0,"سجّل تسوية زيادة","سجّل تسوية نقص")))</f>
        <v/>
      </c>
      <c r="H204" s="29"/>
    </row>
    <row r="205" customFormat="false" ht="15" hidden="false" customHeight="false" outlineLevel="0" collapsed="false">
      <c r="A205" s="32"/>
      <c r="B205" s="29"/>
      <c r="C205" s="28" t="str">
        <f aca="false">IF($B205="","",IFERROR(INDEX('المواد الخام'!$B$5:$B$104,MATCH($B205,'المواد الخام'!$A$5:$A$104,0)),IFERROR(INDEX(المنتجات!$C$5:$C$24,MATCH($B205,المنتجات!$A$5:$A$24,0)),"كود غير موجود")))</f>
        <v/>
      </c>
      <c r="D205" s="27" t="str">
        <f aca="false">IF($B205="","",IFERROR(INDEX('المواد الخام'!$L$5:$L$104,MATCH($B205,'المواد الخام'!$A$5:$A$104,0)),IFERROR(INDEX(المنتجات!$P$5:$P$24,MATCH($B205,المنتجات!$A$5:$A$24,0)),0)))</f>
        <v/>
      </c>
      <c r="E205" s="24"/>
      <c r="F205" s="27" t="str">
        <f aca="false">IF(OR($B205="",E205=""),"",E205-D205)</f>
        <v/>
      </c>
      <c r="G205" s="28" t="str">
        <f aca="false">IF(F205="","",IF(F205=0,"مطابق",IF(F205&gt;0,"سجّل تسوية زيادة","سجّل تسوية نقص")))</f>
        <v/>
      </c>
      <c r="H205" s="29"/>
    </row>
    <row r="206" customFormat="false" ht="15" hidden="false" customHeight="false" outlineLevel="0" collapsed="false">
      <c r="A206" s="32"/>
      <c r="B206" s="29"/>
      <c r="C206" s="28" t="str">
        <f aca="false">IF($B206="","",IFERROR(INDEX('المواد الخام'!$B$5:$B$104,MATCH($B206,'المواد الخام'!$A$5:$A$104,0)),IFERROR(INDEX(المنتجات!$C$5:$C$24,MATCH($B206,المنتجات!$A$5:$A$24,0)),"كود غير موجود")))</f>
        <v/>
      </c>
      <c r="D206" s="27" t="str">
        <f aca="false">IF($B206="","",IFERROR(INDEX('المواد الخام'!$L$5:$L$104,MATCH($B206,'المواد الخام'!$A$5:$A$104,0)),IFERROR(INDEX(المنتجات!$P$5:$P$24,MATCH($B206,المنتجات!$A$5:$A$24,0)),0)))</f>
        <v/>
      </c>
      <c r="E206" s="24"/>
      <c r="F206" s="27" t="str">
        <f aca="false">IF(OR($B206="",E206=""),"",E206-D206)</f>
        <v/>
      </c>
      <c r="G206" s="28" t="str">
        <f aca="false">IF(F206="","",IF(F206=0,"مطابق",IF(F206&gt;0,"سجّل تسوية زيادة","سجّل تسوية نقص")))</f>
        <v/>
      </c>
      <c r="H206" s="29"/>
    </row>
    <row r="207" customFormat="false" ht="15" hidden="false" customHeight="false" outlineLevel="0" collapsed="false">
      <c r="A207" s="32"/>
      <c r="B207" s="29"/>
      <c r="C207" s="28" t="str">
        <f aca="false">IF($B207="","",IFERROR(INDEX('المواد الخام'!$B$5:$B$104,MATCH($B207,'المواد الخام'!$A$5:$A$104,0)),IFERROR(INDEX(المنتجات!$C$5:$C$24,MATCH($B207,المنتجات!$A$5:$A$24,0)),"كود غير موجود")))</f>
        <v/>
      </c>
      <c r="D207" s="27" t="str">
        <f aca="false">IF($B207="","",IFERROR(INDEX('المواد الخام'!$L$5:$L$104,MATCH($B207,'المواد الخام'!$A$5:$A$104,0)),IFERROR(INDEX(المنتجات!$P$5:$P$24,MATCH($B207,المنتجات!$A$5:$A$24,0)),0)))</f>
        <v/>
      </c>
      <c r="E207" s="24"/>
      <c r="F207" s="27" t="str">
        <f aca="false">IF(OR($B207="",E207=""),"",E207-D207)</f>
        <v/>
      </c>
      <c r="G207" s="28" t="str">
        <f aca="false">IF(F207="","",IF(F207=0,"مطابق",IF(F207&gt;0,"سجّل تسوية زيادة","سجّل تسوية نقص")))</f>
        <v/>
      </c>
      <c r="H207" s="29"/>
    </row>
    <row r="208" customFormat="false" ht="15" hidden="false" customHeight="false" outlineLevel="0" collapsed="false">
      <c r="A208" s="32"/>
      <c r="B208" s="29"/>
      <c r="C208" s="28" t="str">
        <f aca="false">IF($B208="","",IFERROR(INDEX('المواد الخام'!$B$5:$B$104,MATCH($B208,'المواد الخام'!$A$5:$A$104,0)),IFERROR(INDEX(المنتجات!$C$5:$C$24,MATCH($B208,المنتجات!$A$5:$A$24,0)),"كود غير موجود")))</f>
        <v/>
      </c>
      <c r="D208" s="27" t="str">
        <f aca="false">IF($B208="","",IFERROR(INDEX('المواد الخام'!$L$5:$L$104,MATCH($B208,'المواد الخام'!$A$5:$A$104,0)),IFERROR(INDEX(المنتجات!$P$5:$P$24,MATCH($B208,المنتجات!$A$5:$A$24,0)),0)))</f>
        <v/>
      </c>
      <c r="E208" s="24"/>
      <c r="F208" s="27" t="str">
        <f aca="false">IF(OR($B208="",E208=""),"",E208-D208)</f>
        <v/>
      </c>
      <c r="G208" s="28" t="str">
        <f aca="false">IF(F208="","",IF(F208=0,"مطابق",IF(F208&gt;0,"سجّل تسوية زيادة","سجّل تسوية نقص")))</f>
        <v/>
      </c>
      <c r="H208" s="29"/>
    </row>
    <row r="209" customFormat="false" ht="15" hidden="false" customHeight="false" outlineLevel="0" collapsed="false">
      <c r="A209" s="32"/>
      <c r="B209" s="29"/>
      <c r="C209" s="28" t="str">
        <f aca="false">IF($B209="","",IFERROR(INDEX('المواد الخام'!$B$5:$B$104,MATCH($B209,'المواد الخام'!$A$5:$A$104,0)),IFERROR(INDEX(المنتجات!$C$5:$C$24,MATCH($B209,المنتجات!$A$5:$A$24,0)),"كود غير موجود")))</f>
        <v/>
      </c>
      <c r="D209" s="27" t="str">
        <f aca="false">IF($B209="","",IFERROR(INDEX('المواد الخام'!$L$5:$L$104,MATCH($B209,'المواد الخام'!$A$5:$A$104,0)),IFERROR(INDEX(المنتجات!$P$5:$P$24,MATCH($B209,المنتجات!$A$5:$A$24,0)),0)))</f>
        <v/>
      </c>
      <c r="E209" s="24"/>
      <c r="F209" s="27" t="str">
        <f aca="false">IF(OR($B209="",E209=""),"",E209-D209)</f>
        <v/>
      </c>
      <c r="G209" s="28" t="str">
        <f aca="false">IF(F209="","",IF(F209=0,"مطابق",IF(F209&gt;0,"سجّل تسوية زيادة","سجّل تسوية نقص")))</f>
        <v/>
      </c>
      <c r="H209" s="29"/>
    </row>
    <row r="210" customFormat="false" ht="15" hidden="false" customHeight="false" outlineLevel="0" collapsed="false">
      <c r="A210" s="32"/>
      <c r="B210" s="29"/>
      <c r="C210" s="28" t="str">
        <f aca="false">IF($B210="","",IFERROR(INDEX('المواد الخام'!$B$5:$B$104,MATCH($B210,'المواد الخام'!$A$5:$A$104,0)),IFERROR(INDEX(المنتجات!$C$5:$C$24,MATCH($B210,المنتجات!$A$5:$A$24,0)),"كود غير موجود")))</f>
        <v/>
      </c>
      <c r="D210" s="27" t="str">
        <f aca="false">IF($B210="","",IFERROR(INDEX('المواد الخام'!$L$5:$L$104,MATCH($B210,'المواد الخام'!$A$5:$A$104,0)),IFERROR(INDEX(المنتجات!$P$5:$P$24,MATCH($B210,المنتجات!$A$5:$A$24,0)),0)))</f>
        <v/>
      </c>
      <c r="E210" s="24"/>
      <c r="F210" s="27" t="str">
        <f aca="false">IF(OR($B210="",E210=""),"",E210-D210)</f>
        <v/>
      </c>
      <c r="G210" s="28" t="str">
        <f aca="false">IF(F210="","",IF(F210=0,"مطابق",IF(F210&gt;0,"سجّل تسوية زيادة","سجّل تسوية نقص")))</f>
        <v/>
      </c>
      <c r="H210" s="29"/>
    </row>
    <row r="211" customFormat="false" ht="15" hidden="false" customHeight="false" outlineLevel="0" collapsed="false">
      <c r="A211" s="32"/>
      <c r="B211" s="29"/>
      <c r="C211" s="28" t="str">
        <f aca="false">IF($B211="","",IFERROR(INDEX('المواد الخام'!$B$5:$B$104,MATCH($B211,'المواد الخام'!$A$5:$A$104,0)),IFERROR(INDEX(المنتجات!$C$5:$C$24,MATCH($B211,المنتجات!$A$5:$A$24,0)),"كود غير موجود")))</f>
        <v/>
      </c>
      <c r="D211" s="27" t="str">
        <f aca="false">IF($B211="","",IFERROR(INDEX('المواد الخام'!$L$5:$L$104,MATCH($B211,'المواد الخام'!$A$5:$A$104,0)),IFERROR(INDEX(المنتجات!$P$5:$P$24,MATCH($B211,المنتجات!$A$5:$A$24,0)),0)))</f>
        <v/>
      </c>
      <c r="E211" s="24"/>
      <c r="F211" s="27" t="str">
        <f aca="false">IF(OR($B211="",E211=""),"",E211-D211)</f>
        <v/>
      </c>
      <c r="G211" s="28" t="str">
        <f aca="false">IF(F211="","",IF(F211=0,"مطابق",IF(F211&gt;0,"سجّل تسوية زيادة","سجّل تسوية نقص")))</f>
        <v/>
      </c>
      <c r="H211" s="29"/>
    </row>
    <row r="212" customFormat="false" ht="15" hidden="false" customHeight="false" outlineLevel="0" collapsed="false">
      <c r="A212" s="32"/>
      <c r="B212" s="29"/>
      <c r="C212" s="28" t="str">
        <f aca="false">IF($B212="","",IFERROR(INDEX('المواد الخام'!$B$5:$B$104,MATCH($B212,'المواد الخام'!$A$5:$A$104,0)),IFERROR(INDEX(المنتجات!$C$5:$C$24,MATCH($B212,المنتجات!$A$5:$A$24,0)),"كود غير موجود")))</f>
        <v/>
      </c>
      <c r="D212" s="27" t="str">
        <f aca="false">IF($B212="","",IFERROR(INDEX('المواد الخام'!$L$5:$L$104,MATCH($B212,'المواد الخام'!$A$5:$A$104,0)),IFERROR(INDEX(المنتجات!$P$5:$P$24,MATCH($B212,المنتجات!$A$5:$A$24,0)),0)))</f>
        <v/>
      </c>
      <c r="E212" s="24"/>
      <c r="F212" s="27" t="str">
        <f aca="false">IF(OR($B212="",E212=""),"",E212-D212)</f>
        <v/>
      </c>
      <c r="G212" s="28" t="str">
        <f aca="false">IF(F212="","",IF(F212=0,"مطابق",IF(F212&gt;0,"سجّل تسوية زيادة","سجّل تسوية نقص")))</f>
        <v/>
      </c>
      <c r="H212" s="29"/>
    </row>
    <row r="213" customFormat="false" ht="15" hidden="false" customHeight="false" outlineLevel="0" collapsed="false">
      <c r="A213" s="32"/>
      <c r="B213" s="29"/>
      <c r="C213" s="28" t="str">
        <f aca="false">IF($B213="","",IFERROR(INDEX('المواد الخام'!$B$5:$B$104,MATCH($B213,'المواد الخام'!$A$5:$A$104,0)),IFERROR(INDEX(المنتجات!$C$5:$C$24,MATCH($B213,المنتجات!$A$5:$A$24,0)),"كود غير موجود")))</f>
        <v/>
      </c>
      <c r="D213" s="27" t="str">
        <f aca="false">IF($B213="","",IFERROR(INDEX('المواد الخام'!$L$5:$L$104,MATCH($B213,'المواد الخام'!$A$5:$A$104,0)),IFERROR(INDEX(المنتجات!$P$5:$P$24,MATCH($B213,المنتجات!$A$5:$A$24,0)),0)))</f>
        <v/>
      </c>
      <c r="E213" s="24"/>
      <c r="F213" s="27" t="str">
        <f aca="false">IF(OR($B213="",E213=""),"",E213-D213)</f>
        <v/>
      </c>
      <c r="G213" s="28" t="str">
        <f aca="false">IF(F213="","",IF(F213=0,"مطابق",IF(F213&gt;0,"سجّل تسوية زيادة","سجّل تسوية نقص")))</f>
        <v/>
      </c>
      <c r="H213" s="29"/>
    </row>
    <row r="214" customFormat="false" ht="15" hidden="false" customHeight="false" outlineLevel="0" collapsed="false">
      <c r="A214" s="32"/>
      <c r="B214" s="29"/>
      <c r="C214" s="28" t="str">
        <f aca="false">IF($B214="","",IFERROR(INDEX('المواد الخام'!$B$5:$B$104,MATCH($B214,'المواد الخام'!$A$5:$A$104,0)),IFERROR(INDEX(المنتجات!$C$5:$C$24,MATCH($B214,المنتجات!$A$5:$A$24,0)),"كود غير موجود")))</f>
        <v/>
      </c>
      <c r="D214" s="27" t="str">
        <f aca="false">IF($B214="","",IFERROR(INDEX('المواد الخام'!$L$5:$L$104,MATCH($B214,'المواد الخام'!$A$5:$A$104,0)),IFERROR(INDEX(المنتجات!$P$5:$P$24,MATCH($B214,المنتجات!$A$5:$A$24,0)),0)))</f>
        <v/>
      </c>
      <c r="E214" s="24"/>
      <c r="F214" s="27" t="str">
        <f aca="false">IF(OR($B214="",E214=""),"",E214-D214)</f>
        <v/>
      </c>
      <c r="G214" s="28" t="str">
        <f aca="false">IF(F214="","",IF(F214=0,"مطابق",IF(F214&gt;0,"سجّل تسوية زيادة","سجّل تسوية نقص")))</f>
        <v/>
      </c>
      <c r="H214" s="29"/>
    </row>
    <row r="215" customFormat="false" ht="15" hidden="false" customHeight="false" outlineLevel="0" collapsed="false">
      <c r="A215" s="32"/>
      <c r="B215" s="29"/>
      <c r="C215" s="28" t="str">
        <f aca="false">IF($B215="","",IFERROR(INDEX('المواد الخام'!$B$5:$B$104,MATCH($B215,'المواد الخام'!$A$5:$A$104,0)),IFERROR(INDEX(المنتجات!$C$5:$C$24,MATCH($B215,المنتجات!$A$5:$A$24,0)),"كود غير موجود")))</f>
        <v/>
      </c>
      <c r="D215" s="27" t="str">
        <f aca="false">IF($B215="","",IFERROR(INDEX('المواد الخام'!$L$5:$L$104,MATCH($B215,'المواد الخام'!$A$5:$A$104,0)),IFERROR(INDEX(المنتجات!$P$5:$P$24,MATCH($B215,المنتجات!$A$5:$A$24,0)),0)))</f>
        <v/>
      </c>
      <c r="E215" s="24"/>
      <c r="F215" s="27" t="str">
        <f aca="false">IF(OR($B215="",E215=""),"",E215-D215)</f>
        <v/>
      </c>
      <c r="G215" s="28" t="str">
        <f aca="false">IF(F215="","",IF(F215=0,"مطابق",IF(F215&gt;0,"سجّل تسوية زيادة","سجّل تسوية نقص")))</f>
        <v/>
      </c>
      <c r="H215" s="29"/>
    </row>
    <row r="216" customFormat="false" ht="15" hidden="false" customHeight="false" outlineLevel="0" collapsed="false">
      <c r="A216" s="32"/>
      <c r="B216" s="29"/>
      <c r="C216" s="28" t="str">
        <f aca="false">IF($B216="","",IFERROR(INDEX('المواد الخام'!$B$5:$B$104,MATCH($B216,'المواد الخام'!$A$5:$A$104,0)),IFERROR(INDEX(المنتجات!$C$5:$C$24,MATCH($B216,المنتجات!$A$5:$A$24,0)),"كود غير موجود")))</f>
        <v/>
      </c>
      <c r="D216" s="27" t="str">
        <f aca="false">IF($B216="","",IFERROR(INDEX('المواد الخام'!$L$5:$L$104,MATCH($B216,'المواد الخام'!$A$5:$A$104,0)),IFERROR(INDEX(المنتجات!$P$5:$P$24,MATCH($B216,المنتجات!$A$5:$A$24,0)),0)))</f>
        <v/>
      </c>
      <c r="E216" s="24"/>
      <c r="F216" s="27" t="str">
        <f aca="false">IF(OR($B216="",E216=""),"",E216-D216)</f>
        <v/>
      </c>
      <c r="G216" s="28" t="str">
        <f aca="false">IF(F216="","",IF(F216=0,"مطابق",IF(F216&gt;0,"سجّل تسوية زيادة","سجّل تسوية نقص")))</f>
        <v/>
      </c>
      <c r="H216" s="29"/>
    </row>
    <row r="217" customFormat="false" ht="15" hidden="false" customHeight="false" outlineLevel="0" collapsed="false">
      <c r="A217" s="32"/>
      <c r="B217" s="29"/>
      <c r="C217" s="28" t="str">
        <f aca="false">IF($B217="","",IFERROR(INDEX('المواد الخام'!$B$5:$B$104,MATCH($B217,'المواد الخام'!$A$5:$A$104,0)),IFERROR(INDEX(المنتجات!$C$5:$C$24,MATCH($B217,المنتجات!$A$5:$A$24,0)),"كود غير موجود")))</f>
        <v/>
      </c>
      <c r="D217" s="27" t="str">
        <f aca="false">IF($B217="","",IFERROR(INDEX('المواد الخام'!$L$5:$L$104,MATCH($B217,'المواد الخام'!$A$5:$A$104,0)),IFERROR(INDEX(المنتجات!$P$5:$P$24,MATCH($B217,المنتجات!$A$5:$A$24,0)),0)))</f>
        <v/>
      </c>
      <c r="E217" s="24"/>
      <c r="F217" s="27" t="str">
        <f aca="false">IF(OR($B217="",E217=""),"",E217-D217)</f>
        <v/>
      </c>
      <c r="G217" s="28" t="str">
        <f aca="false">IF(F217="","",IF(F217=0,"مطابق",IF(F217&gt;0,"سجّل تسوية زيادة","سجّل تسوية نقص")))</f>
        <v/>
      </c>
      <c r="H217" s="29"/>
    </row>
    <row r="218" customFormat="false" ht="15" hidden="false" customHeight="false" outlineLevel="0" collapsed="false">
      <c r="A218" s="32"/>
      <c r="B218" s="29"/>
      <c r="C218" s="28" t="str">
        <f aca="false">IF($B218="","",IFERROR(INDEX('المواد الخام'!$B$5:$B$104,MATCH($B218,'المواد الخام'!$A$5:$A$104,0)),IFERROR(INDEX(المنتجات!$C$5:$C$24,MATCH($B218,المنتجات!$A$5:$A$24,0)),"كود غير موجود")))</f>
        <v/>
      </c>
      <c r="D218" s="27" t="str">
        <f aca="false">IF($B218="","",IFERROR(INDEX('المواد الخام'!$L$5:$L$104,MATCH($B218,'المواد الخام'!$A$5:$A$104,0)),IFERROR(INDEX(المنتجات!$P$5:$P$24,MATCH($B218,المنتجات!$A$5:$A$24,0)),0)))</f>
        <v/>
      </c>
      <c r="E218" s="24"/>
      <c r="F218" s="27" t="str">
        <f aca="false">IF(OR($B218="",E218=""),"",E218-D218)</f>
        <v/>
      </c>
      <c r="G218" s="28" t="str">
        <f aca="false">IF(F218="","",IF(F218=0,"مطابق",IF(F218&gt;0,"سجّل تسوية زيادة","سجّل تسوية نقص")))</f>
        <v/>
      </c>
      <c r="H218" s="29"/>
    </row>
    <row r="219" customFormat="false" ht="15" hidden="false" customHeight="false" outlineLevel="0" collapsed="false">
      <c r="A219" s="32"/>
      <c r="B219" s="29"/>
      <c r="C219" s="28" t="str">
        <f aca="false">IF($B219="","",IFERROR(INDEX('المواد الخام'!$B$5:$B$104,MATCH($B219,'المواد الخام'!$A$5:$A$104,0)),IFERROR(INDEX(المنتجات!$C$5:$C$24,MATCH($B219,المنتجات!$A$5:$A$24,0)),"كود غير موجود")))</f>
        <v/>
      </c>
      <c r="D219" s="27" t="str">
        <f aca="false">IF($B219="","",IFERROR(INDEX('المواد الخام'!$L$5:$L$104,MATCH($B219,'المواد الخام'!$A$5:$A$104,0)),IFERROR(INDEX(المنتجات!$P$5:$P$24,MATCH($B219,المنتجات!$A$5:$A$24,0)),0)))</f>
        <v/>
      </c>
      <c r="E219" s="24"/>
      <c r="F219" s="27" t="str">
        <f aca="false">IF(OR($B219="",E219=""),"",E219-D219)</f>
        <v/>
      </c>
      <c r="G219" s="28" t="str">
        <f aca="false">IF(F219="","",IF(F219=0,"مطابق",IF(F219&gt;0,"سجّل تسوية زيادة","سجّل تسوية نقص")))</f>
        <v/>
      </c>
      <c r="H219" s="29"/>
    </row>
    <row r="220" customFormat="false" ht="15" hidden="false" customHeight="false" outlineLevel="0" collapsed="false">
      <c r="A220" s="32"/>
      <c r="B220" s="29"/>
      <c r="C220" s="28" t="str">
        <f aca="false">IF($B220="","",IFERROR(INDEX('المواد الخام'!$B$5:$B$104,MATCH($B220,'المواد الخام'!$A$5:$A$104,0)),IFERROR(INDEX(المنتجات!$C$5:$C$24,MATCH($B220,المنتجات!$A$5:$A$24,0)),"كود غير موجود")))</f>
        <v/>
      </c>
      <c r="D220" s="27" t="str">
        <f aca="false">IF($B220="","",IFERROR(INDEX('المواد الخام'!$L$5:$L$104,MATCH($B220,'المواد الخام'!$A$5:$A$104,0)),IFERROR(INDEX(المنتجات!$P$5:$P$24,MATCH($B220,المنتجات!$A$5:$A$24,0)),0)))</f>
        <v/>
      </c>
      <c r="E220" s="24"/>
      <c r="F220" s="27" t="str">
        <f aca="false">IF(OR($B220="",E220=""),"",E220-D220)</f>
        <v/>
      </c>
      <c r="G220" s="28" t="str">
        <f aca="false">IF(F220="","",IF(F220=0,"مطابق",IF(F220&gt;0,"سجّل تسوية زيادة","سجّل تسوية نقص")))</f>
        <v/>
      </c>
      <c r="H220" s="29"/>
    </row>
    <row r="221" customFormat="false" ht="15" hidden="false" customHeight="false" outlineLevel="0" collapsed="false">
      <c r="A221" s="32"/>
      <c r="B221" s="29"/>
      <c r="C221" s="28" t="str">
        <f aca="false">IF($B221="","",IFERROR(INDEX('المواد الخام'!$B$5:$B$104,MATCH($B221,'المواد الخام'!$A$5:$A$104,0)),IFERROR(INDEX(المنتجات!$C$5:$C$24,MATCH($B221,المنتجات!$A$5:$A$24,0)),"كود غير موجود")))</f>
        <v/>
      </c>
      <c r="D221" s="27" t="str">
        <f aca="false">IF($B221="","",IFERROR(INDEX('المواد الخام'!$L$5:$L$104,MATCH($B221,'المواد الخام'!$A$5:$A$104,0)),IFERROR(INDEX(المنتجات!$P$5:$P$24,MATCH($B221,المنتجات!$A$5:$A$24,0)),0)))</f>
        <v/>
      </c>
      <c r="E221" s="24"/>
      <c r="F221" s="27" t="str">
        <f aca="false">IF(OR($B221="",E221=""),"",E221-D221)</f>
        <v/>
      </c>
      <c r="G221" s="28" t="str">
        <f aca="false">IF(F221="","",IF(F221=0,"مطابق",IF(F221&gt;0,"سجّل تسوية زيادة","سجّل تسوية نقص")))</f>
        <v/>
      </c>
      <c r="H221" s="29"/>
    </row>
    <row r="222" customFormat="false" ht="15" hidden="false" customHeight="false" outlineLevel="0" collapsed="false">
      <c r="A222" s="32"/>
      <c r="B222" s="29"/>
      <c r="C222" s="28" t="str">
        <f aca="false">IF($B222="","",IFERROR(INDEX('المواد الخام'!$B$5:$B$104,MATCH($B222,'المواد الخام'!$A$5:$A$104,0)),IFERROR(INDEX(المنتجات!$C$5:$C$24,MATCH($B222,المنتجات!$A$5:$A$24,0)),"كود غير موجود")))</f>
        <v/>
      </c>
      <c r="D222" s="27" t="str">
        <f aca="false">IF($B222="","",IFERROR(INDEX('المواد الخام'!$L$5:$L$104,MATCH($B222,'المواد الخام'!$A$5:$A$104,0)),IFERROR(INDEX(المنتجات!$P$5:$P$24,MATCH($B222,المنتجات!$A$5:$A$24,0)),0)))</f>
        <v/>
      </c>
      <c r="E222" s="24"/>
      <c r="F222" s="27" t="str">
        <f aca="false">IF(OR($B222="",E222=""),"",E222-D222)</f>
        <v/>
      </c>
      <c r="G222" s="28" t="str">
        <f aca="false">IF(F222="","",IF(F222=0,"مطابق",IF(F222&gt;0,"سجّل تسوية زيادة","سجّل تسوية نقص")))</f>
        <v/>
      </c>
      <c r="H222" s="29"/>
    </row>
    <row r="223" customFormat="false" ht="15" hidden="false" customHeight="false" outlineLevel="0" collapsed="false">
      <c r="A223" s="32"/>
      <c r="B223" s="29"/>
      <c r="C223" s="28" t="str">
        <f aca="false">IF($B223="","",IFERROR(INDEX('المواد الخام'!$B$5:$B$104,MATCH($B223,'المواد الخام'!$A$5:$A$104,0)),IFERROR(INDEX(المنتجات!$C$5:$C$24,MATCH($B223,المنتجات!$A$5:$A$24,0)),"كود غير موجود")))</f>
        <v/>
      </c>
      <c r="D223" s="27" t="str">
        <f aca="false">IF($B223="","",IFERROR(INDEX('المواد الخام'!$L$5:$L$104,MATCH($B223,'المواد الخام'!$A$5:$A$104,0)),IFERROR(INDEX(المنتجات!$P$5:$P$24,MATCH($B223,المنتجات!$A$5:$A$24,0)),0)))</f>
        <v/>
      </c>
      <c r="E223" s="24"/>
      <c r="F223" s="27" t="str">
        <f aca="false">IF(OR($B223="",E223=""),"",E223-D223)</f>
        <v/>
      </c>
      <c r="G223" s="28" t="str">
        <f aca="false">IF(F223="","",IF(F223=0,"مطابق",IF(F223&gt;0,"سجّل تسوية زيادة","سجّل تسوية نقص")))</f>
        <v/>
      </c>
      <c r="H223" s="29"/>
    </row>
    <row r="224" customFormat="false" ht="15" hidden="false" customHeight="false" outlineLevel="0" collapsed="false">
      <c r="A224" s="32"/>
      <c r="B224" s="29"/>
      <c r="C224" s="28" t="str">
        <f aca="false">IF($B224="","",IFERROR(INDEX('المواد الخام'!$B$5:$B$104,MATCH($B224,'المواد الخام'!$A$5:$A$104,0)),IFERROR(INDEX(المنتجات!$C$5:$C$24,MATCH($B224,المنتجات!$A$5:$A$24,0)),"كود غير موجود")))</f>
        <v/>
      </c>
      <c r="D224" s="27" t="str">
        <f aca="false">IF($B224="","",IFERROR(INDEX('المواد الخام'!$L$5:$L$104,MATCH($B224,'المواد الخام'!$A$5:$A$104,0)),IFERROR(INDEX(المنتجات!$P$5:$P$24,MATCH($B224,المنتجات!$A$5:$A$24,0)),0)))</f>
        <v/>
      </c>
      <c r="E224" s="24"/>
      <c r="F224" s="27" t="str">
        <f aca="false">IF(OR($B224="",E224=""),"",E224-D224)</f>
        <v/>
      </c>
      <c r="G224" s="28" t="str">
        <f aca="false">IF(F224="","",IF(F224=0,"مطابق",IF(F224&gt;0,"سجّل تسوية زيادة","سجّل تسوية نقص")))</f>
        <v/>
      </c>
      <c r="H224" s="29"/>
    </row>
    <row r="225" customFormat="false" ht="15" hidden="false" customHeight="false" outlineLevel="0" collapsed="false">
      <c r="A225" s="32"/>
      <c r="B225" s="29"/>
      <c r="C225" s="28" t="str">
        <f aca="false">IF($B225="","",IFERROR(INDEX('المواد الخام'!$B$5:$B$104,MATCH($B225,'المواد الخام'!$A$5:$A$104,0)),IFERROR(INDEX(المنتجات!$C$5:$C$24,MATCH($B225,المنتجات!$A$5:$A$24,0)),"كود غير موجود")))</f>
        <v/>
      </c>
      <c r="D225" s="27" t="str">
        <f aca="false">IF($B225="","",IFERROR(INDEX('المواد الخام'!$L$5:$L$104,MATCH($B225,'المواد الخام'!$A$5:$A$104,0)),IFERROR(INDEX(المنتجات!$P$5:$P$24,MATCH($B225,المنتجات!$A$5:$A$24,0)),0)))</f>
        <v/>
      </c>
      <c r="E225" s="24"/>
      <c r="F225" s="27" t="str">
        <f aca="false">IF(OR($B225="",E225=""),"",E225-D225)</f>
        <v/>
      </c>
      <c r="G225" s="28" t="str">
        <f aca="false">IF(F225="","",IF(F225=0,"مطابق",IF(F225&gt;0,"سجّل تسوية زيادة","سجّل تسوية نقص")))</f>
        <v/>
      </c>
      <c r="H225" s="29"/>
    </row>
    <row r="226" customFormat="false" ht="15" hidden="false" customHeight="false" outlineLevel="0" collapsed="false">
      <c r="A226" s="32"/>
      <c r="B226" s="29"/>
      <c r="C226" s="28" t="str">
        <f aca="false">IF($B226="","",IFERROR(INDEX('المواد الخام'!$B$5:$B$104,MATCH($B226,'المواد الخام'!$A$5:$A$104,0)),IFERROR(INDEX(المنتجات!$C$5:$C$24,MATCH($B226,المنتجات!$A$5:$A$24,0)),"كود غير موجود")))</f>
        <v/>
      </c>
      <c r="D226" s="27" t="str">
        <f aca="false">IF($B226="","",IFERROR(INDEX('المواد الخام'!$L$5:$L$104,MATCH($B226,'المواد الخام'!$A$5:$A$104,0)),IFERROR(INDEX(المنتجات!$P$5:$P$24,MATCH($B226,المنتجات!$A$5:$A$24,0)),0)))</f>
        <v/>
      </c>
      <c r="E226" s="24"/>
      <c r="F226" s="27" t="str">
        <f aca="false">IF(OR($B226="",E226=""),"",E226-D226)</f>
        <v/>
      </c>
      <c r="G226" s="28" t="str">
        <f aca="false">IF(F226="","",IF(F226=0,"مطابق",IF(F226&gt;0,"سجّل تسوية زيادة","سجّل تسوية نقص")))</f>
        <v/>
      </c>
      <c r="H226" s="29"/>
    </row>
    <row r="227" customFormat="false" ht="15" hidden="false" customHeight="false" outlineLevel="0" collapsed="false">
      <c r="A227" s="32"/>
      <c r="B227" s="29"/>
      <c r="C227" s="28" t="str">
        <f aca="false">IF($B227="","",IFERROR(INDEX('المواد الخام'!$B$5:$B$104,MATCH($B227,'المواد الخام'!$A$5:$A$104,0)),IFERROR(INDEX(المنتجات!$C$5:$C$24,MATCH($B227,المنتجات!$A$5:$A$24,0)),"كود غير موجود")))</f>
        <v/>
      </c>
      <c r="D227" s="27" t="str">
        <f aca="false">IF($B227="","",IFERROR(INDEX('المواد الخام'!$L$5:$L$104,MATCH($B227,'المواد الخام'!$A$5:$A$104,0)),IFERROR(INDEX(المنتجات!$P$5:$P$24,MATCH($B227,المنتجات!$A$5:$A$24,0)),0)))</f>
        <v/>
      </c>
      <c r="E227" s="24"/>
      <c r="F227" s="27" t="str">
        <f aca="false">IF(OR($B227="",E227=""),"",E227-D227)</f>
        <v/>
      </c>
      <c r="G227" s="28" t="str">
        <f aca="false">IF(F227="","",IF(F227=0,"مطابق",IF(F227&gt;0,"سجّل تسوية زيادة","سجّل تسوية نقص")))</f>
        <v/>
      </c>
      <c r="H227" s="29"/>
    </row>
    <row r="228" customFormat="false" ht="15" hidden="false" customHeight="false" outlineLevel="0" collapsed="false">
      <c r="A228" s="32"/>
      <c r="B228" s="29"/>
      <c r="C228" s="28" t="str">
        <f aca="false">IF($B228="","",IFERROR(INDEX('المواد الخام'!$B$5:$B$104,MATCH($B228,'المواد الخام'!$A$5:$A$104,0)),IFERROR(INDEX(المنتجات!$C$5:$C$24,MATCH($B228,المنتجات!$A$5:$A$24,0)),"كود غير موجود")))</f>
        <v/>
      </c>
      <c r="D228" s="27" t="str">
        <f aca="false">IF($B228="","",IFERROR(INDEX('المواد الخام'!$L$5:$L$104,MATCH($B228,'المواد الخام'!$A$5:$A$104,0)),IFERROR(INDEX(المنتجات!$P$5:$P$24,MATCH($B228,المنتجات!$A$5:$A$24,0)),0)))</f>
        <v/>
      </c>
      <c r="E228" s="24"/>
      <c r="F228" s="27" t="str">
        <f aca="false">IF(OR($B228="",E228=""),"",E228-D228)</f>
        <v/>
      </c>
      <c r="G228" s="28" t="str">
        <f aca="false">IF(F228="","",IF(F228=0,"مطابق",IF(F228&gt;0,"سجّل تسوية زيادة","سجّل تسوية نقص")))</f>
        <v/>
      </c>
      <c r="H228" s="29"/>
    </row>
    <row r="229" customFormat="false" ht="15" hidden="false" customHeight="false" outlineLevel="0" collapsed="false">
      <c r="A229" s="32"/>
      <c r="B229" s="29"/>
      <c r="C229" s="28" t="str">
        <f aca="false">IF($B229="","",IFERROR(INDEX('المواد الخام'!$B$5:$B$104,MATCH($B229,'المواد الخام'!$A$5:$A$104,0)),IFERROR(INDEX(المنتجات!$C$5:$C$24,MATCH($B229,المنتجات!$A$5:$A$24,0)),"كود غير موجود")))</f>
        <v/>
      </c>
      <c r="D229" s="27" t="str">
        <f aca="false">IF($B229="","",IFERROR(INDEX('المواد الخام'!$L$5:$L$104,MATCH($B229,'المواد الخام'!$A$5:$A$104,0)),IFERROR(INDEX(المنتجات!$P$5:$P$24,MATCH($B229,المنتجات!$A$5:$A$24,0)),0)))</f>
        <v/>
      </c>
      <c r="E229" s="24"/>
      <c r="F229" s="27" t="str">
        <f aca="false">IF(OR($B229="",E229=""),"",E229-D229)</f>
        <v/>
      </c>
      <c r="G229" s="28" t="str">
        <f aca="false">IF(F229="","",IF(F229=0,"مطابق",IF(F229&gt;0,"سجّل تسوية زيادة","سجّل تسوية نقص")))</f>
        <v/>
      </c>
      <c r="H229" s="29"/>
    </row>
    <row r="230" customFormat="false" ht="15" hidden="false" customHeight="false" outlineLevel="0" collapsed="false">
      <c r="A230" s="32"/>
      <c r="B230" s="29"/>
      <c r="C230" s="28" t="str">
        <f aca="false">IF($B230="","",IFERROR(INDEX('المواد الخام'!$B$5:$B$104,MATCH($B230,'المواد الخام'!$A$5:$A$104,0)),IFERROR(INDEX(المنتجات!$C$5:$C$24,MATCH($B230,المنتجات!$A$5:$A$24,0)),"كود غير موجود")))</f>
        <v/>
      </c>
      <c r="D230" s="27" t="str">
        <f aca="false">IF($B230="","",IFERROR(INDEX('المواد الخام'!$L$5:$L$104,MATCH($B230,'المواد الخام'!$A$5:$A$104,0)),IFERROR(INDEX(المنتجات!$P$5:$P$24,MATCH($B230,المنتجات!$A$5:$A$24,0)),0)))</f>
        <v/>
      </c>
      <c r="E230" s="24"/>
      <c r="F230" s="27" t="str">
        <f aca="false">IF(OR($B230="",E230=""),"",E230-D230)</f>
        <v/>
      </c>
      <c r="G230" s="28" t="str">
        <f aca="false">IF(F230="","",IF(F230=0,"مطابق",IF(F230&gt;0,"سجّل تسوية زيادة","سجّل تسوية نقص")))</f>
        <v/>
      </c>
      <c r="H230" s="29"/>
    </row>
    <row r="231" customFormat="false" ht="15" hidden="false" customHeight="false" outlineLevel="0" collapsed="false">
      <c r="A231" s="32"/>
      <c r="B231" s="29"/>
      <c r="C231" s="28" t="str">
        <f aca="false">IF($B231="","",IFERROR(INDEX('المواد الخام'!$B$5:$B$104,MATCH($B231,'المواد الخام'!$A$5:$A$104,0)),IFERROR(INDEX(المنتجات!$C$5:$C$24,MATCH($B231,المنتجات!$A$5:$A$24,0)),"كود غير موجود")))</f>
        <v/>
      </c>
      <c r="D231" s="27" t="str">
        <f aca="false">IF($B231="","",IFERROR(INDEX('المواد الخام'!$L$5:$L$104,MATCH($B231,'المواد الخام'!$A$5:$A$104,0)),IFERROR(INDEX(المنتجات!$P$5:$P$24,MATCH($B231,المنتجات!$A$5:$A$24,0)),0)))</f>
        <v/>
      </c>
      <c r="E231" s="24"/>
      <c r="F231" s="27" t="str">
        <f aca="false">IF(OR($B231="",E231=""),"",E231-D231)</f>
        <v/>
      </c>
      <c r="G231" s="28" t="str">
        <f aca="false">IF(F231="","",IF(F231=0,"مطابق",IF(F231&gt;0,"سجّل تسوية زيادة","سجّل تسوية نقص")))</f>
        <v/>
      </c>
      <c r="H231" s="29"/>
    </row>
    <row r="232" customFormat="false" ht="15" hidden="false" customHeight="false" outlineLevel="0" collapsed="false">
      <c r="A232" s="32"/>
      <c r="B232" s="29"/>
      <c r="C232" s="28" t="str">
        <f aca="false">IF($B232="","",IFERROR(INDEX('المواد الخام'!$B$5:$B$104,MATCH($B232,'المواد الخام'!$A$5:$A$104,0)),IFERROR(INDEX(المنتجات!$C$5:$C$24,MATCH($B232,المنتجات!$A$5:$A$24,0)),"كود غير موجود")))</f>
        <v/>
      </c>
      <c r="D232" s="27" t="str">
        <f aca="false">IF($B232="","",IFERROR(INDEX('المواد الخام'!$L$5:$L$104,MATCH($B232,'المواد الخام'!$A$5:$A$104,0)),IFERROR(INDEX(المنتجات!$P$5:$P$24,MATCH($B232,المنتجات!$A$5:$A$24,0)),0)))</f>
        <v/>
      </c>
      <c r="E232" s="24"/>
      <c r="F232" s="27" t="str">
        <f aca="false">IF(OR($B232="",E232=""),"",E232-D232)</f>
        <v/>
      </c>
      <c r="G232" s="28" t="str">
        <f aca="false">IF(F232="","",IF(F232=0,"مطابق",IF(F232&gt;0,"سجّل تسوية زيادة","سجّل تسوية نقص")))</f>
        <v/>
      </c>
      <c r="H232" s="29"/>
    </row>
    <row r="233" customFormat="false" ht="15" hidden="false" customHeight="false" outlineLevel="0" collapsed="false">
      <c r="A233" s="32"/>
      <c r="B233" s="29"/>
      <c r="C233" s="28" t="str">
        <f aca="false">IF($B233="","",IFERROR(INDEX('المواد الخام'!$B$5:$B$104,MATCH($B233,'المواد الخام'!$A$5:$A$104,0)),IFERROR(INDEX(المنتجات!$C$5:$C$24,MATCH($B233,المنتجات!$A$5:$A$24,0)),"كود غير موجود")))</f>
        <v/>
      </c>
      <c r="D233" s="27" t="str">
        <f aca="false">IF($B233="","",IFERROR(INDEX('المواد الخام'!$L$5:$L$104,MATCH($B233,'المواد الخام'!$A$5:$A$104,0)),IFERROR(INDEX(المنتجات!$P$5:$P$24,MATCH($B233,المنتجات!$A$5:$A$24,0)),0)))</f>
        <v/>
      </c>
      <c r="E233" s="24"/>
      <c r="F233" s="27" t="str">
        <f aca="false">IF(OR($B233="",E233=""),"",E233-D233)</f>
        <v/>
      </c>
      <c r="G233" s="28" t="str">
        <f aca="false">IF(F233="","",IF(F233=0,"مطابق",IF(F233&gt;0,"سجّل تسوية زيادة","سجّل تسوية نقص")))</f>
        <v/>
      </c>
      <c r="H233" s="29"/>
    </row>
    <row r="234" customFormat="false" ht="15" hidden="false" customHeight="false" outlineLevel="0" collapsed="false">
      <c r="A234" s="32"/>
      <c r="B234" s="29"/>
      <c r="C234" s="28" t="str">
        <f aca="false">IF($B234="","",IFERROR(INDEX('المواد الخام'!$B$5:$B$104,MATCH($B234,'المواد الخام'!$A$5:$A$104,0)),IFERROR(INDEX(المنتجات!$C$5:$C$24,MATCH($B234,المنتجات!$A$5:$A$24,0)),"كود غير موجود")))</f>
        <v/>
      </c>
      <c r="D234" s="27" t="str">
        <f aca="false">IF($B234="","",IFERROR(INDEX('المواد الخام'!$L$5:$L$104,MATCH($B234,'المواد الخام'!$A$5:$A$104,0)),IFERROR(INDEX(المنتجات!$P$5:$P$24,MATCH($B234,المنتجات!$A$5:$A$24,0)),0)))</f>
        <v/>
      </c>
      <c r="E234" s="24"/>
      <c r="F234" s="27" t="str">
        <f aca="false">IF(OR($B234="",E234=""),"",E234-D234)</f>
        <v/>
      </c>
      <c r="G234" s="28" t="str">
        <f aca="false">IF(F234="","",IF(F234=0,"مطابق",IF(F234&gt;0,"سجّل تسوية زيادة","سجّل تسوية نقص")))</f>
        <v/>
      </c>
      <c r="H234" s="29"/>
    </row>
    <row r="235" customFormat="false" ht="15" hidden="false" customHeight="false" outlineLevel="0" collapsed="false">
      <c r="A235" s="32"/>
      <c r="B235" s="29"/>
      <c r="C235" s="28" t="str">
        <f aca="false">IF($B235="","",IFERROR(INDEX('المواد الخام'!$B$5:$B$104,MATCH($B235,'المواد الخام'!$A$5:$A$104,0)),IFERROR(INDEX(المنتجات!$C$5:$C$24,MATCH($B235,المنتجات!$A$5:$A$24,0)),"كود غير موجود")))</f>
        <v/>
      </c>
      <c r="D235" s="27" t="str">
        <f aca="false">IF($B235="","",IFERROR(INDEX('المواد الخام'!$L$5:$L$104,MATCH($B235,'المواد الخام'!$A$5:$A$104,0)),IFERROR(INDEX(المنتجات!$P$5:$P$24,MATCH($B235,المنتجات!$A$5:$A$24,0)),0)))</f>
        <v/>
      </c>
      <c r="E235" s="24"/>
      <c r="F235" s="27" t="str">
        <f aca="false">IF(OR($B235="",E235=""),"",E235-D235)</f>
        <v/>
      </c>
      <c r="G235" s="28" t="str">
        <f aca="false">IF(F235="","",IF(F235=0,"مطابق",IF(F235&gt;0,"سجّل تسوية زيادة","سجّل تسوية نقص")))</f>
        <v/>
      </c>
      <c r="H235" s="29"/>
    </row>
    <row r="236" customFormat="false" ht="15" hidden="false" customHeight="false" outlineLevel="0" collapsed="false">
      <c r="A236" s="32"/>
      <c r="B236" s="29"/>
      <c r="C236" s="28" t="str">
        <f aca="false">IF($B236="","",IFERROR(INDEX('المواد الخام'!$B$5:$B$104,MATCH($B236,'المواد الخام'!$A$5:$A$104,0)),IFERROR(INDEX(المنتجات!$C$5:$C$24,MATCH($B236,المنتجات!$A$5:$A$24,0)),"كود غير موجود")))</f>
        <v/>
      </c>
      <c r="D236" s="27" t="str">
        <f aca="false">IF($B236="","",IFERROR(INDEX('المواد الخام'!$L$5:$L$104,MATCH($B236,'المواد الخام'!$A$5:$A$104,0)),IFERROR(INDEX(المنتجات!$P$5:$P$24,MATCH($B236,المنتجات!$A$5:$A$24,0)),0)))</f>
        <v/>
      </c>
      <c r="E236" s="24"/>
      <c r="F236" s="27" t="str">
        <f aca="false">IF(OR($B236="",E236=""),"",E236-D236)</f>
        <v/>
      </c>
      <c r="G236" s="28" t="str">
        <f aca="false">IF(F236="","",IF(F236=0,"مطابق",IF(F236&gt;0,"سجّل تسوية زيادة","سجّل تسوية نقص")))</f>
        <v/>
      </c>
      <c r="H236" s="29"/>
    </row>
    <row r="237" customFormat="false" ht="15" hidden="false" customHeight="false" outlineLevel="0" collapsed="false">
      <c r="A237" s="32"/>
      <c r="B237" s="29"/>
      <c r="C237" s="28" t="str">
        <f aca="false">IF($B237="","",IFERROR(INDEX('المواد الخام'!$B$5:$B$104,MATCH($B237,'المواد الخام'!$A$5:$A$104,0)),IFERROR(INDEX(المنتجات!$C$5:$C$24,MATCH($B237,المنتجات!$A$5:$A$24,0)),"كود غير موجود")))</f>
        <v/>
      </c>
      <c r="D237" s="27" t="str">
        <f aca="false">IF($B237="","",IFERROR(INDEX('المواد الخام'!$L$5:$L$104,MATCH($B237,'المواد الخام'!$A$5:$A$104,0)),IFERROR(INDEX(المنتجات!$P$5:$P$24,MATCH($B237,المنتجات!$A$5:$A$24,0)),0)))</f>
        <v/>
      </c>
      <c r="E237" s="24"/>
      <c r="F237" s="27" t="str">
        <f aca="false">IF(OR($B237="",E237=""),"",E237-D237)</f>
        <v/>
      </c>
      <c r="G237" s="28" t="str">
        <f aca="false">IF(F237="","",IF(F237=0,"مطابق",IF(F237&gt;0,"سجّل تسوية زيادة","سجّل تسوية نقص")))</f>
        <v/>
      </c>
      <c r="H237" s="29"/>
    </row>
    <row r="238" customFormat="false" ht="15" hidden="false" customHeight="false" outlineLevel="0" collapsed="false">
      <c r="A238" s="32"/>
      <c r="B238" s="29"/>
      <c r="C238" s="28" t="str">
        <f aca="false">IF($B238="","",IFERROR(INDEX('المواد الخام'!$B$5:$B$104,MATCH($B238,'المواد الخام'!$A$5:$A$104,0)),IFERROR(INDEX(المنتجات!$C$5:$C$24,MATCH($B238,المنتجات!$A$5:$A$24,0)),"كود غير موجود")))</f>
        <v/>
      </c>
      <c r="D238" s="27" t="str">
        <f aca="false">IF($B238="","",IFERROR(INDEX('المواد الخام'!$L$5:$L$104,MATCH($B238,'المواد الخام'!$A$5:$A$104,0)),IFERROR(INDEX(المنتجات!$P$5:$P$24,MATCH($B238,المنتجات!$A$5:$A$24,0)),0)))</f>
        <v/>
      </c>
      <c r="E238" s="24"/>
      <c r="F238" s="27" t="str">
        <f aca="false">IF(OR($B238="",E238=""),"",E238-D238)</f>
        <v/>
      </c>
      <c r="G238" s="28" t="str">
        <f aca="false">IF(F238="","",IF(F238=0,"مطابق",IF(F238&gt;0,"سجّل تسوية زيادة","سجّل تسوية نقص")))</f>
        <v/>
      </c>
      <c r="H238" s="29"/>
    </row>
    <row r="239" customFormat="false" ht="15" hidden="false" customHeight="false" outlineLevel="0" collapsed="false">
      <c r="A239" s="32"/>
      <c r="B239" s="29"/>
      <c r="C239" s="28" t="str">
        <f aca="false">IF($B239="","",IFERROR(INDEX('المواد الخام'!$B$5:$B$104,MATCH($B239,'المواد الخام'!$A$5:$A$104,0)),IFERROR(INDEX(المنتجات!$C$5:$C$24,MATCH($B239,المنتجات!$A$5:$A$24,0)),"كود غير موجود")))</f>
        <v/>
      </c>
      <c r="D239" s="27" t="str">
        <f aca="false">IF($B239="","",IFERROR(INDEX('المواد الخام'!$L$5:$L$104,MATCH($B239,'المواد الخام'!$A$5:$A$104,0)),IFERROR(INDEX(المنتجات!$P$5:$P$24,MATCH($B239,المنتجات!$A$5:$A$24,0)),0)))</f>
        <v/>
      </c>
      <c r="E239" s="24"/>
      <c r="F239" s="27" t="str">
        <f aca="false">IF(OR($B239="",E239=""),"",E239-D239)</f>
        <v/>
      </c>
      <c r="G239" s="28" t="str">
        <f aca="false">IF(F239="","",IF(F239=0,"مطابق",IF(F239&gt;0,"سجّل تسوية زيادة","سجّل تسوية نقص")))</f>
        <v/>
      </c>
      <c r="H239" s="29"/>
    </row>
    <row r="240" customFormat="false" ht="15" hidden="false" customHeight="false" outlineLevel="0" collapsed="false">
      <c r="A240" s="32"/>
      <c r="B240" s="29"/>
      <c r="C240" s="28" t="str">
        <f aca="false">IF($B240="","",IFERROR(INDEX('المواد الخام'!$B$5:$B$104,MATCH($B240,'المواد الخام'!$A$5:$A$104,0)),IFERROR(INDEX(المنتجات!$C$5:$C$24,MATCH($B240,المنتجات!$A$5:$A$24,0)),"كود غير موجود")))</f>
        <v/>
      </c>
      <c r="D240" s="27" t="str">
        <f aca="false">IF($B240="","",IFERROR(INDEX('المواد الخام'!$L$5:$L$104,MATCH($B240,'المواد الخام'!$A$5:$A$104,0)),IFERROR(INDEX(المنتجات!$P$5:$P$24,MATCH($B240,المنتجات!$A$5:$A$24,0)),0)))</f>
        <v/>
      </c>
      <c r="E240" s="24"/>
      <c r="F240" s="27" t="str">
        <f aca="false">IF(OR($B240="",E240=""),"",E240-D240)</f>
        <v/>
      </c>
      <c r="G240" s="28" t="str">
        <f aca="false">IF(F240="","",IF(F240=0,"مطابق",IF(F240&gt;0,"سجّل تسوية زيادة","سجّل تسوية نقص")))</f>
        <v/>
      </c>
      <c r="H240" s="29"/>
    </row>
    <row r="241" customFormat="false" ht="15" hidden="false" customHeight="false" outlineLevel="0" collapsed="false">
      <c r="A241" s="32"/>
      <c r="B241" s="29"/>
      <c r="C241" s="28" t="str">
        <f aca="false">IF($B241="","",IFERROR(INDEX('المواد الخام'!$B$5:$B$104,MATCH($B241,'المواد الخام'!$A$5:$A$104,0)),IFERROR(INDEX(المنتجات!$C$5:$C$24,MATCH($B241,المنتجات!$A$5:$A$24,0)),"كود غير موجود")))</f>
        <v/>
      </c>
      <c r="D241" s="27" t="str">
        <f aca="false">IF($B241="","",IFERROR(INDEX('المواد الخام'!$L$5:$L$104,MATCH($B241,'المواد الخام'!$A$5:$A$104,0)),IFERROR(INDEX(المنتجات!$P$5:$P$24,MATCH($B241,المنتجات!$A$5:$A$24,0)),0)))</f>
        <v/>
      </c>
      <c r="E241" s="24"/>
      <c r="F241" s="27" t="str">
        <f aca="false">IF(OR($B241="",E241=""),"",E241-D241)</f>
        <v/>
      </c>
      <c r="G241" s="28" t="str">
        <f aca="false">IF(F241="","",IF(F241=0,"مطابق",IF(F241&gt;0,"سجّل تسوية زيادة","سجّل تسوية نقص")))</f>
        <v/>
      </c>
      <c r="H241" s="29"/>
    </row>
    <row r="242" customFormat="false" ht="15" hidden="false" customHeight="false" outlineLevel="0" collapsed="false">
      <c r="A242" s="32"/>
      <c r="B242" s="29"/>
      <c r="C242" s="28" t="str">
        <f aca="false">IF($B242="","",IFERROR(INDEX('المواد الخام'!$B$5:$B$104,MATCH($B242,'المواد الخام'!$A$5:$A$104,0)),IFERROR(INDEX(المنتجات!$C$5:$C$24,MATCH($B242,المنتجات!$A$5:$A$24,0)),"كود غير موجود")))</f>
        <v/>
      </c>
      <c r="D242" s="27" t="str">
        <f aca="false">IF($B242="","",IFERROR(INDEX('المواد الخام'!$L$5:$L$104,MATCH($B242,'المواد الخام'!$A$5:$A$104,0)),IFERROR(INDEX(المنتجات!$P$5:$P$24,MATCH($B242,المنتجات!$A$5:$A$24,0)),0)))</f>
        <v/>
      </c>
      <c r="E242" s="24"/>
      <c r="F242" s="27" t="str">
        <f aca="false">IF(OR($B242="",E242=""),"",E242-D242)</f>
        <v/>
      </c>
      <c r="G242" s="28" t="str">
        <f aca="false">IF(F242="","",IF(F242=0,"مطابق",IF(F242&gt;0,"سجّل تسوية زيادة","سجّل تسوية نقص")))</f>
        <v/>
      </c>
      <c r="H242" s="29"/>
    </row>
    <row r="243" customFormat="false" ht="15" hidden="false" customHeight="false" outlineLevel="0" collapsed="false">
      <c r="A243" s="32"/>
      <c r="B243" s="29"/>
      <c r="C243" s="28" t="str">
        <f aca="false">IF($B243="","",IFERROR(INDEX('المواد الخام'!$B$5:$B$104,MATCH($B243,'المواد الخام'!$A$5:$A$104,0)),IFERROR(INDEX(المنتجات!$C$5:$C$24,MATCH($B243,المنتجات!$A$5:$A$24,0)),"كود غير موجود")))</f>
        <v/>
      </c>
      <c r="D243" s="27" t="str">
        <f aca="false">IF($B243="","",IFERROR(INDEX('المواد الخام'!$L$5:$L$104,MATCH($B243,'المواد الخام'!$A$5:$A$104,0)),IFERROR(INDEX(المنتجات!$P$5:$P$24,MATCH($B243,المنتجات!$A$5:$A$24,0)),0)))</f>
        <v/>
      </c>
      <c r="E243" s="24"/>
      <c r="F243" s="27" t="str">
        <f aca="false">IF(OR($B243="",E243=""),"",E243-D243)</f>
        <v/>
      </c>
      <c r="G243" s="28" t="str">
        <f aca="false">IF(F243="","",IF(F243=0,"مطابق",IF(F243&gt;0,"سجّل تسوية زيادة","سجّل تسوية نقص")))</f>
        <v/>
      </c>
      <c r="H243" s="29"/>
    </row>
    <row r="244" customFormat="false" ht="15" hidden="false" customHeight="false" outlineLevel="0" collapsed="false">
      <c r="A244" s="32"/>
      <c r="B244" s="29"/>
      <c r="C244" s="28" t="str">
        <f aca="false">IF($B244="","",IFERROR(INDEX('المواد الخام'!$B$5:$B$104,MATCH($B244,'المواد الخام'!$A$5:$A$104,0)),IFERROR(INDEX(المنتجات!$C$5:$C$24,MATCH($B244,المنتجات!$A$5:$A$24,0)),"كود غير موجود")))</f>
        <v/>
      </c>
      <c r="D244" s="27" t="str">
        <f aca="false">IF($B244="","",IFERROR(INDEX('المواد الخام'!$L$5:$L$104,MATCH($B244,'المواد الخام'!$A$5:$A$104,0)),IFERROR(INDEX(المنتجات!$P$5:$P$24,MATCH($B244,المنتجات!$A$5:$A$24,0)),0)))</f>
        <v/>
      </c>
      <c r="E244" s="24"/>
      <c r="F244" s="27" t="str">
        <f aca="false">IF(OR($B244="",E244=""),"",E244-D244)</f>
        <v/>
      </c>
      <c r="G244" s="28" t="str">
        <f aca="false">IF(F244="","",IF(F244=0,"مطابق",IF(F244&gt;0,"سجّل تسوية زيادة","سجّل تسوية نقص")))</f>
        <v/>
      </c>
      <c r="H244" s="29"/>
    </row>
    <row r="245" customFormat="false" ht="15" hidden="false" customHeight="false" outlineLevel="0" collapsed="false">
      <c r="A245" s="32"/>
      <c r="B245" s="29"/>
      <c r="C245" s="28" t="str">
        <f aca="false">IF($B245="","",IFERROR(INDEX('المواد الخام'!$B$5:$B$104,MATCH($B245,'المواد الخام'!$A$5:$A$104,0)),IFERROR(INDEX(المنتجات!$C$5:$C$24,MATCH($B245,المنتجات!$A$5:$A$24,0)),"كود غير موجود")))</f>
        <v/>
      </c>
      <c r="D245" s="27" t="str">
        <f aca="false">IF($B245="","",IFERROR(INDEX('المواد الخام'!$L$5:$L$104,MATCH($B245,'المواد الخام'!$A$5:$A$104,0)),IFERROR(INDEX(المنتجات!$P$5:$P$24,MATCH($B245,المنتجات!$A$5:$A$24,0)),0)))</f>
        <v/>
      </c>
      <c r="E245" s="24"/>
      <c r="F245" s="27" t="str">
        <f aca="false">IF(OR($B245="",E245=""),"",E245-D245)</f>
        <v/>
      </c>
      <c r="G245" s="28" t="str">
        <f aca="false">IF(F245="","",IF(F245=0,"مطابق",IF(F245&gt;0,"سجّل تسوية زيادة","سجّل تسوية نقص")))</f>
        <v/>
      </c>
      <c r="H245" s="29"/>
    </row>
    <row r="246" customFormat="false" ht="15" hidden="false" customHeight="false" outlineLevel="0" collapsed="false">
      <c r="A246" s="32"/>
      <c r="B246" s="29"/>
      <c r="C246" s="28" t="str">
        <f aca="false">IF($B246="","",IFERROR(INDEX('المواد الخام'!$B$5:$B$104,MATCH($B246,'المواد الخام'!$A$5:$A$104,0)),IFERROR(INDEX(المنتجات!$C$5:$C$24,MATCH($B246,المنتجات!$A$5:$A$24,0)),"كود غير موجود")))</f>
        <v/>
      </c>
      <c r="D246" s="27" t="str">
        <f aca="false">IF($B246="","",IFERROR(INDEX('المواد الخام'!$L$5:$L$104,MATCH($B246,'المواد الخام'!$A$5:$A$104,0)),IFERROR(INDEX(المنتجات!$P$5:$P$24,MATCH($B246,المنتجات!$A$5:$A$24,0)),0)))</f>
        <v/>
      </c>
      <c r="E246" s="24"/>
      <c r="F246" s="27" t="str">
        <f aca="false">IF(OR($B246="",E246=""),"",E246-D246)</f>
        <v/>
      </c>
      <c r="G246" s="28" t="str">
        <f aca="false">IF(F246="","",IF(F246=0,"مطابق",IF(F246&gt;0,"سجّل تسوية زيادة","سجّل تسوية نقص")))</f>
        <v/>
      </c>
      <c r="H246" s="29"/>
    </row>
    <row r="247" customFormat="false" ht="15" hidden="false" customHeight="false" outlineLevel="0" collapsed="false">
      <c r="A247" s="32"/>
      <c r="B247" s="29"/>
      <c r="C247" s="28" t="str">
        <f aca="false">IF($B247="","",IFERROR(INDEX('المواد الخام'!$B$5:$B$104,MATCH($B247,'المواد الخام'!$A$5:$A$104,0)),IFERROR(INDEX(المنتجات!$C$5:$C$24,MATCH($B247,المنتجات!$A$5:$A$24,0)),"كود غير موجود")))</f>
        <v/>
      </c>
      <c r="D247" s="27" t="str">
        <f aca="false">IF($B247="","",IFERROR(INDEX('المواد الخام'!$L$5:$L$104,MATCH($B247,'المواد الخام'!$A$5:$A$104,0)),IFERROR(INDEX(المنتجات!$P$5:$P$24,MATCH($B247,المنتجات!$A$5:$A$24,0)),0)))</f>
        <v/>
      </c>
      <c r="E247" s="24"/>
      <c r="F247" s="27" t="str">
        <f aca="false">IF(OR($B247="",E247=""),"",E247-D247)</f>
        <v/>
      </c>
      <c r="G247" s="28" t="str">
        <f aca="false">IF(F247="","",IF(F247=0,"مطابق",IF(F247&gt;0,"سجّل تسوية زيادة","سجّل تسوية نقص")))</f>
        <v/>
      </c>
      <c r="H247" s="29"/>
    </row>
    <row r="248" customFormat="false" ht="15" hidden="false" customHeight="false" outlineLevel="0" collapsed="false">
      <c r="A248" s="32"/>
      <c r="B248" s="29"/>
      <c r="C248" s="28" t="str">
        <f aca="false">IF($B248="","",IFERROR(INDEX('المواد الخام'!$B$5:$B$104,MATCH($B248,'المواد الخام'!$A$5:$A$104,0)),IFERROR(INDEX(المنتجات!$C$5:$C$24,MATCH($B248,المنتجات!$A$5:$A$24,0)),"كود غير موجود")))</f>
        <v/>
      </c>
      <c r="D248" s="27" t="str">
        <f aca="false">IF($B248="","",IFERROR(INDEX('المواد الخام'!$L$5:$L$104,MATCH($B248,'المواد الخام'!$A$5:$A$104,0)),IFERROR(INDEX(المنتجات!$P$5:$P$24,MATCH($B248,المنتجات!$A$5:$A$24,0)),0)))</f>
        <v/>
      </c>
      <c r="E248" s="24"/>
      <c r="F248" s="27" t="str">
        <f aca="false">IF(OR($B248="",E248=""),"",E248-D248)</f>
        <v/>
      </c>
      <c r="G248" s="28" t="str">
        <f aca="false">IF(F248="","",IF(F248=0,"مطابق",IF(F248&gt;0,"سجّل تسوية زيادة","سجّل تسوية نقص")))</f>
        <v/>
      </c>
      <c r="H248" s="29"/>
    </row>
    <row r="249" customFormat="false" ht="15" hidden="false" customHeight="false" outlineLevel="0" collapsed="false">
      <c r="A249" s="32"/>
      <c r="B249" s="29"/>
      <c r="C249" s="28" t="str">
        <f aca="false">IF($B249="","",IFERROR(INDEX('المواد الخام'!$B$5:$B$104,MATCH($B249,'المواد الخام'!$A$5:$A$104,0)),IFERROR(INDEX(المنتجات!$C$5:$C$24,MATCH($B249,المنتجات!$A$5:$A$24,0)),"كود غير موجود")))</f>
        <v/>
      </c>
      <c r="D249" s="27" t="str">
        <f aca="false">IF($B249="","",IFERROR(INDEX('المواد الخام'!$L$5:$L$104,MATCH($B249,'المواد الخام'!$A$5:$A$104,0)),IFERROR(INDEX(المنتجات!$P$5:$P$24,MATCH($B249,المنتجات!$A$5:$A$24,0)),0)))</f>
        <v/>
      </c>
      <c r="E249" s="24"/>
      <c r="F249" s="27" t="str">
        <f aca="false">IF(OR($B249="",E249=""),"",E249-D249)</f>
        <v/>
      </c>
      <c r="G249" s="28" t="str">
        <f aca="false">IF(F249="","",IF(F249=0,"مطابق",IF(F249&gt;0,"سجّل تسوية زيادة","سجّل تسوية نقص")))</f>
        <v/>
      </c>
      <c r="H249" s="29"/>
    </row>
    <row r="250" customFormat="false" ht="15" hidden="false" customHeight="false" outlineLevel="0" collapsed="false">
      <c r="A250" s="32"/>
      <c r="B250" s="29"/>
      <c r="C250" s="28" t="str">
        <f aca="false">IF($B250="","",IFERROR(INDEX('المواد الخام'!$B$5:$B$104,MATCH($B250,'المواد الخام'!$A$5:$A$104,0)),IFERROR(INDEX(المنتجات!$C$5:$C$24,MATCH($B250,المنتجات!$A$5:$A$24,0)),"كود غير موجود")))</f>
        <v/>
      </c>
      <c r="D250" s="27" t="str">
        <f aca="false">IF($B250="","",IFERROR(INDEX('المواد الخام'!$L$5:$L$104,MATCH($B250,'المواد الخام'!$A$5:$A$104,0)),IFERROR(INDEX(المنتجات!$P$5:$P$24,MATCH($B250,المنتجات!$A$5:$A$24,0)),0)))</f>
        <v/>
      </c>
      <c r="E250" s="24"/>
      <c r="F250" s="27" t="str">
        <f aca="false">IF(OR($B250="",E250=""),"",E250-D250)</f>
        <v/>
      </c>
      <c r="G250" s="28" t="str">
        <f aca="false">IF(F250="","",IF(F250=0,"مطابق",IF(F250&gt;0,"سجّل تسوية زيادة","سجّل تسوية نقص")))</f>
        <v/>
      </c>
      <c r="H250" s="29"/>
    </row>
    <row r="251" customFormat="false" ht="15" hidden="false" customHeight="false" outlineLevel="0" collapsed="false">
      <c r="A251" s="32"/>
      <c r="B251" s="29"/>
      <c r="C251" s="28" t="str">
        <f aca="false">IF($B251="","",IFERROR(INDEX('المواد الخام'!$B$5:$B$104,MATCH($B251,'المواد الخام'!$A$5:$A$104,0)),IFERROR(INDEX(المنتجات!$C$5:$C$24,MATCH($B251,المنتجات!$A$5:$A$24,0)),"كود غير موجود")))</f>
        <v/>
      </c>
      <c r="D251" s="27" t="str">
        <f aca="false">IF($B251="","",IFERROR(INDEX('المواد الخام'!$L$5:$L$104,MATCH($B251,'المواد الخام'!$A$5:$A$104,0)),IFERROR(INDEX(المنتجات!$P$5:$P$24,MATCH($B251,المنتجات!$A$5:$A$24,0)),0)))</f>
        <v/>
      </c>
      <c r="E251" s="24"/>
      <c r="F251" s="27" t="str">
        <f aca="false">IF(OR($B251="",E251=""),"",E251-D251)</f>
        <v/>
      </c>
      <c r="G251" s="28" t="str">
        <f aca="false">IF(F251="","",IF(F251=0,"مطابق",IF(F251&gt;0,"سجّل تسوية زيادة","سجّل تسوية نقص")))</f>
        <v/>
      </c>
      <c r="H251" s="29"/>
    </row>
    <row r="252" customFormat="false" ht="15" hidden="false" customHeight="false" outlineLevel="0" collapsed="false">
      <c r="A252" s="32"/>
      <c r="B252" s="29"/>
      <c r="C252" s="28" t="str">
        <f aca="false">IF($B252="","",IFERROR(INDEX('المواد الخام'!$B$5:$B$104,MATCH($B252,'المواد الخام'!$A$5:$A$104,0)),IFERROR(INDEX(المنتجات!$C$5:$C$24,MATCH($B252,المنتجات!$A$5:$A$24,0)),"كود غير موجود")))</f>
        <v/>
      </c>
      <c r="D252" s="27" t="str">
        <f aca="false">IF($B252="","",IFERROR(INDEX('المواد الخام'!$L$5:$L$104,MATCH($B252,'المواد الخام'!$A$5:$A$104,0)),IFERROR(INDEX(المنتجات!$P$5:$P$24,MATCH($B252,المنتجات!$A$5:$A$24,0)),0)))</f>
        <v/>
      </c>
      <c r="E252" s="24"/>
      <c r="F252" s="27" t="str">
        <f aca="false">IF(OR($B252="",E252=""),"",E252-D252)</f>
        <v/>
      </c>
      <c r="G252" s="28" t="str">
        <f aca="false">IF(F252="","",IF(F252=0,"مطابق",IF(F252&gt;0,"سجّل تسوية زيادة","سجّل تسوية نقص")))</f>
        <v/>
      </c>
      <c r="H252" s="29"/>
    </row>
    <row r="253" customFormat="false" ht="15" hidden="false" customHeight="false" outlineLevel="0" collapsed="false">
      <c r="A253" s="32"/>
      <c r="B253" s="29"/>
      <c r="C253" s="28" t="str">
        <f aca="false">IF($B253="","",IFERROR(INDEX('المواد الخام'!$B$5:$B$104,MATCH($B253,'المواد الخام'!$A$5:$A$104,0)),IFERROR(INDEX(المنتجات!$C$5:$C$24,MATCH($B253,المنتجات!$A$5:$A$24,0)),"كود غير موجود")))</f>
        <v/>
      </c>
      <c r="D253" s="27" t="str">
        <f aca="false">IF($B253="","",IFERROR(INDEX('المواد الخام'!$L$5:$L$104,MATCH($B253,'المواد الخام'!$A$5:$A$104,0)),IFERROR(INDEX(المنتجات!$P$5:$P$24,MATCH($B253,المنتجات!$A$5:$A$24,0)),0)))</f>
        <v/>
      </c>
      <c r="E253" s="24"/>
      <c r="F253" s="27" t="str">
        <f aca="false">IF(OR($B253="",E253=""),"",E253-D253)</f>
        <v/>
      </c>
      <c r="G253" s="28" t="str">
        <f aca="false">IF(F253="","",IF(F253=0,"مطابق",IF(F253&gt;0,"سجّل تسوية زيادة","سجّل تسوية نقص")))</f>
        <v/>
      </c>
      <c r="H253" s="29"/>
    </row>
    <row r="254" customFormat="false" ht="15" hidden="false" customHeight="false" outlineLevel="0" collapsed="false">
      <c r="A254" s="32"/>
      <c r="B254" s="29"/>
      <c r="C254" s="28" t="str">
        <f aca="false">IF($B254="","",IFERROR(INDEX('المواد الخام'!$B$5:$B$104,MATCH($B254,'المواد الخام'!$A$5:$A$104,0)),IFERROR(INDEX(المنتجات!$C$5:$C$24,MATCH($B254,المنتجات!$A$5:$A$24,0)),"كود غير موجود")))</f>
        <v/>
      </c>
      <c r="D254" s="27" t="str">
        <f aca="false">IF($B254="","",IFERROR(INDEX('المواد الخام'!$L$5:$L$104,MATCH($B254,'المواد الخام'!$A$5:$A$104,0)),IFERROR(INDEX(المنتجات!$P$5:$P$24,MATCH($B254,المنتجات!$A$5:$A$24,0)),0)))</f>
        <v/>
      </c>
      <c r="E254" s="24"/>
      <c r="F254" s="27" t="str">
        <f aca="false">IF(OR($B254="",E254=""),"",E254-D254)</f>
        <v/>
      </c>
      <c r="G254" s="28" t="str">
        <f aca="false">IF(F254="","",IF(F254=0,"مطابق",IF(F254&gt;0,"سجّل تسوية زيادة","سجّل تسوية نقص")))</f>
        <v/>
      </c>
      <c r="H254" s="29"/>
    </row>
    <row r="255" customFormat="false" ht="15" hidden="false" customHeight="false" outlineLevel="0" collapsed="false">
      <c r="A255" s="32"/>
      <c r="B255" s="29"/>
      <c r="C255" s="28" t="str">
        <f aca="false">IF($B255="","",IFERROR(INDEX('المواد الخام'!$B$5:$B$104,MATCH($B255,'المواد الخام'!$A$5:$A$104,0)),IFERROR(INDEX(المنتجات!$C$5:$C$24,MATCH($B255,المنتجات!$A$5:$A$24,0)),"كود غير موجود")))</f>
        <v/>
      </c>
      <c r="D255" s="27" t="str">
        <f aca="false">IF($B255="","",IFERROR(INDEX('المواد الخام'!$L$5:$L$104,MATCH($B255,'المواد الخام'!$A$5:$A$104,0)),IFERROR(INDEX(المنتجات!$P$5:$P$24,MATCH($B255,المنتجات!$A$5:$A$24,0)),0)))</f>
        <v/>
      </c>
      <c r="E255" s="24"/>
      <c r="F255" s="27" t="str">
        <f aca="false">IF(OR($B255="",E255=""),"",E255-D255)</f>
        <v/>
      </c>
      <c r="G255" s="28" t="str">
        <f aca="false">IF(F255="","",IF(F255=0,"مطابق",IF(F255&gt;0,"سجّل تسوية زيادة","سجّل تسوية نقص")))</f>
        <v/>
      </c>
      <c r="H255" s="29"/>
    </row>
    <row r="256" customFormat="false" ht="15" hidden="false" customHeight="false" outlineLevel="0" collapsed="false">
      <c r="A256" s="32"/>
      <c r="B256" s="29"/>
      <c r="C256" s="28" t="str">
        <f aca="false">IF($B256="","",IFERROR(INDEX('المواد الخام'!$B$5:$B$104,MATCH($B256,'المواد الخام'!$A$5:$A$104,0)),IFERROR(INDEX(المنتجات!$C$5:$C$24,MATCH($B256,المنتجات!$A$5:$A$24,0)),"كود غير موجود")))</f>
        <v/>
      </c>
      <c r="D256" s="27" t="str">
        <f aca="false">IF($B256="","",IFERROR(INDEX('المواد الخام'!$L$5:$L$104,MATCH($B256,'المواد الخام'!$A$5:$A$104,0)),IFERROR(INDEX(المنتجات!$P$5:$P$24,MATCH($B256,المنتجات!$A$5:$A$24,0)),0)))</f>
        <v/>
      </c>
      <c r="E256" s="24"/>
      <c r="F256" s="27" t="str">
        <f aca="false">IF(OR($B256="",E256=""),"",E256-D256)</f>
        <v/>
      </c>
      <c r="G256" s="28" t="str">
        <f aca="false">IF(F256="","",IF(F256=0,"مطابق",IF(F256&gt;0,"سجّل تسوية زيادة","سجّل تسوية نقص")))</f>
        <v/>
      </c>
      <c r="H256" s="29"/>
    </row>
    <row r="257" customFormat="false" ht="15" hidden="false" customHeight="false" outlineLevel="0" collapsed="false">
      <c r="A257" s="32"/>
      <c r="B257" s="29"/>
      <c r="C257" s="28" t="str">
        <f aca="false">IF($B257="","",IFERROR(INDEX('المواد الخام'!$B$5:$B$104,MATCH($B257,'المواد الخام'!$A$5:$A$104,0)),IFERROR(INDEX(المنتجات!$C$5:$C$24,MATCH($B257,المنتجات!$A$5:$A$24,0)),"كود غير موجود")))</f>
        <v/>
      </c>
      <c r="D257" s="27" t="str">
        <f aca="false">IF($B257="","",IFERROR(INDEX('المواد الخام'!$L$5:$L$104,MATCH($B257,'المواد الخام'!$A$5:$A$104,0)),IFERROR(INDEX(المنتجات!$P$5:$P$24,MATCH($B257,المنتجات!$A$5:$A$24,0)),0)))</f>
        <v/>
      </c>
      <c r="E257" s="24"/>
      <c r="F257" s="27" t="str">
        <f aca="false">IF(OR($B257="",E257=""),"",E257-D257)</f>
        <v/>
      </c>
      <c r="G257" s="28" t="str">
        <f aca="false">IF(F257="","",IF(F257=0,"مطابق",IF(F257&gt;0,"سجّل تسوية زيادة","سجّل تسوية نقص")))</f>
        <v/>
      </c>
      <c r="H257" s="29"/>
    </row>
    <row r="258" customFormat="false" ht="15" hidden="false" customHeight="false" outlineLevel="0" collapsed="false">
      <c r="A258" s="32"/>
      <c r="B258" s="29"/>
      <c r="C258" s="28" t="str">
        <f aca="false">IF($B258="","",IFERROR(INDEX('المواد الخام'!$B$5:$B$104,MATCH($B258,'المواد الخام'!$A$5:$A$104,0)),IFERROR(INDEX(المنتجات!$C$5:$C$24,MATCH($B258,المنتجات!$A$5:$A$24,0)),"كود غير موجود")))</f>
        <v/>
      </c>
      <c r="D258" s="27" t="str">
        <f aca="false">IF($B258="","",IFERROR(INDEX('المواد الخام'!$L$5:$L$104,MATCH($B258,'المواد الخام'!$A$5:$A$104,0)),IFERROR(INDEX(المنتجات!$P$5:$P$24,MATCH($B258,المنتجات!$A$5:$A$24,0)),0)))</f>
        <v/>
      </c>
      <c r="E258" s="24"/>
      <c r="F258" s="27" t="str">
        <f aca="false">IF(OR($B258="",E258=""),"",E258-D258)</f>
        <v/>
      </c>
      <c r="G258" s="28" t="str">
        <f aca="false">IF(F258="","",IF(F258=0,"مطابق",IF(F258&gt;0,"سجّل تسوية زيادة","سجّل تسوية نقص")))</f>
        <v/>
      </c>
      <c r="H258" s="29"/>
    </row>
    <row r="259" customFormat="false" ht="15" hidden="false" customHeight="false" outlineLevel="0" collapsed="false">
      <c r="A259" s="32"/>
      <c r="B259" s="29"/>
      <c r="C259" s="28" t="str">
        <f aca="false">IF($B259="","",IFERROR(INDEX('المواد الخام'!$B$5:$B$104,MATCH($B259,'المواد الخام'!$A$5:$A$104,0)),IFERROR(INDEX(المنتجات!$C$5:$C$24,MATCH($B259,المنتجات!$A$5:$A$24,0)),"كود غير موجود")))</f>
        <v/>
      </c>
      <c r="D259" s="27" t="str">
        <f aca="false">IF($B259="","",IFERROR(INDEX('المواد الخام'!$L$5:$L$104,MATCH($B259,'المواد الخام'!$A$5:$A$104,0)),IFERROR(INDEX(المنتجات!$P$5:$P$24,MATCH($B259,المنتجات!$A$5:$A$24,0)),0)))</f>
        <v/>
      </c>
      <c r="E259" s="24"/>
      <c r="F259" s="27" t="str">
        <f aca="false">IF(OR($B259="",E259=""),"",E259-D259)</f>
        <v/>
      </c>
      <c r="G259" s="28" t="str">
        <f aca="false">IF(F259="","",IF(F259=0,"مطابق",IF(F259&gt;0,"سجّل تسوية زيادة","سجّل تسوية نقص")))</f>
        <v/>
      </c>
      <c r="H259" s="29"/>
    </row>
    <row r="260" customFormat="false" ht="15" hidden="false" customHeight="false" outlineLevel="0" collapsed="false">
      <c r="A260" s="32"/>
      <c r="B260" s="29"/>
      <c r="C260" s="28" t="str">
        <f aca="false">IF($B260="","",IFERROR(INDEX('المواد الخام'!$B$5:$B$104,MATCH($B260,'المواد الخام'!$A$5:$A$104,0)),IFERROR(INDEX(المنتجات!$C$5:$C$24,MATCH($B260,المنتجات!$A$5:$A$24,0)),"كود غير موجود")))</f>
        <v/>
      </c>
      <c r="D260" s="27" t="str">
        <f aca="false">IF($B260="","",IFERROR(INDEX('المواد الخام'!$L$5:$L$104,MATCH($B260,'المواد الخام'!$A$5:$A$104,0)),IFERROR(INDEX(المنتجات!$P$5:$P$24,MATCH($B260,المنتجات!$A$5:$A$24,0)),0)))</f>
        <v/>
      </c>
      <c r="E260" s="24"/>
      <c r="F260" s="27" t="str">
        <f aca="false">IF(OR($B260="",E260=""),"",E260-D260)</f>
        <v/>
      </c>
      <c r="G260" s="28" t="str">
        <f aca="false">IF(F260="","",IF(F260=0,"مطابق",IF(F260&gt;0,"سجّل تسوية زيادة","سجّل تسوية نقص")))</f>
        <v/>
      </c>
      <c r="H260" s="29"/>
    </row>
    <row r="261" customFormat="false" ht="15" hidden="false" customHeight="false" outlineLevel="0" collapsed="false">
      <c r="A261" s="32"/>
      <c r="B261" s="29"/>
      <c r="C261" s="28" t="str">
        <f aca="false">IF($B261="","",IFERROR(INDEX('المواد الخام'!$B$5:$B$104,MATCH($B261,'المواد الخام'!$A$5:$A$104,0)),IFERROR(INDEX(المنتجات!$C$5:$C$24,MATCH($B261,المنتجات!$A$5:$A$24,0)),"كود غير موجود")))</f>
        <v/>
      </c>
      <c r="D261" s="27" t="str">
        <f aca="false">IF($B261="","",IFERROR(INDEX('المواد الخام'!$L$5:$L$104,MATCH($B261,'المواد الخام'!$A$5:$A$104,0)),IFERROR(INDEX(المنتجات!$P$5:$P$24,MATCH($B261,المنتجات!$A$5:$A$24,0)),0)))</f>
        <v/>
      </c>
      <c r="E261" s="24"/>
      <c r="F261" s="27" t="str">
        <f aca="false">IF(OR($B261="",E261=""),"",E261-D261)</f>
        <v/>
      </c>
      <c r="G261" s="28" t="str">
        <f aca="false">IF(F261="","",IF(F261=0,"مطابق",IF(F261&gt;0,"سجّل تسوية زيادة","سجّل تسوية نقص")))</f>
        <v/>
      </c>
      <c r="H261" s="29"/>
    </row>
    <row r="262" customFormat="false" ht="15" hidden="false" customHeight="false" outlineLevel="0" collapsed="false">
      <c r="A262" s="32"/>
      <c r="B262" s="29"/>
      <c r="C262" s="28" t="str">
        <f aca="false">IF($B262="","",IFERROR(INDEX('المواد الخام'!$B$5:$B$104,MATCH($B262,'المواد الخام'!$A$5:$A$104,0)),IFERROR(INDEX(المنتجات!$C$5:$C$24,MATCH($B262,المنتجات!$A$5:$A$24,0)),"كود غير موجود")))</f>
        <v/>
      </c>
      <c r="D262" s="27" t="str">
        <f aca="false">IF($B262="","",IFERROR(INDEX('المواد الخام'!$L$5:$L$104,MATCH($B262,'المواد الخام'!$A$5:$A$104,0)),IFERROR(INDEX(المنتجات!$P$5:$P$24,MATCH($B262,المنتجات!$A$5:$A$24,0)),0)))</f>
        <v/>
      </c>
      <c r="E262" s="24"/>
      <c r="F262" s="27" t="str">
        <f aca="false">IF(OR($B262="",E262=""),"",E262-D262)</f>
        <v/>
      </c>
      <c r="G262" s="28" t="str">
        <f aca="false">IF(F262="","",IF(F262=0,"مطابق",IF(F262&gt;0,"سجّل تسوية زيادة","سجّل تسوية نقص")))</f>
        <v/>
      </c>
      <c r="H262" s="29"/>
    </row>
    <row r="263" customFormat="false" ht="15" hidden="false" customHeight="false" outlineLevel="0" collapsed="false">
      <c r="A263" s="32"/>
      <c r="B263" s="29"/>
      <c r="C263" s="28" t="str">
        <f aca="false">IF($B263="","",IFERROR(INDEX('المواد الخام'!$B$5:$B$104,MATCH($B263,'المواد الخام'!$A$5:$A$104,0)),IFERROR(INDEX(المنتجات!$C$5:$C$24,MATCH($B263,المنتجات!$A$5:$A$24,0)),"كود غير موجود")))</f>
        <v/>
      </c>
      <c r="D263" s="27" t="str">
        <f aca="false">IF($B263="","",IFERROR(INDEX('المواد الخام'!$L$5:$L$104,MATCH($B263,'المواد الخام'!$A$5:$A$104,0)),IFERROR(INDEX(المنتجات!$P$5:$P$24,MATCH($B263,المنتجات!$A$5:$A$24,0)),0)))</f>
        <v/>
      </c>
      <c r="E263" s="24"/>
      <c r="F263" s="27" t="str">
        <f aca="false">IF(OR($B263="",E263=""),"",E263-D263)</f>
        <v/>
      </c>
      <c r="G263" s="28" t="str">
        <f aca="false">IF(F263="","",IF(F263=0,"مطابق",IF(F263&gt;0,"سجّل تسوية زيادة","سجّل تسوية نقص")))</f>
        <v/>
      </c>
      <c r="H263" s="29"/>
    </row>
    <row r="264" customFormat="false" ht="15" hidden="false" customHeight="false" outlineLevel="0" collapsed="false">
      <c r="A264" s="32"/>
      <c r="B264" s="29"/>
      <c r="C264" s="28" t="str">
        <f aca="false">IF($B264="","",IFERROR(INDEX('المواد الخام'!$B$5:$B$104,MATCH($B264,'المواد الخام'!$A$5:$A$104,0)),IFERROR(INDEX(المنتجات!$C$5:$C$24,MATCH($B264,المنتجات!$A$5:$A$24,0)),"كود غير موجود")))</f>
        <v/>
      </c>
      <c r="D264" s="27" t="str">
        <f aca="false">IF($B264="","",IFERROR(INDEX('المواد الخام'!$L$5:$L$104,MATCH($B264,'المواد الخام'!$A$5:$A$104,0)),IFERROR(INDEX(المنتجات!$P$5:$P$24,MATCH($B264,المنتجات!$A$5:$A$24,0)),0)))</f>
        <v/>
      </c>
      <c r="E264" s="24"/>
      <c r="F264" s="27" t="str">
        <f aca="false">IF(OR($B264="",E264=""),"",E264-D264)</f>
        <v/>
      </c>
      <c r="G264" s="28" t="str">
        <f aca="false">IF(F264="","",IF(F264=0,"مطابق",IF(F264&gt;0,"سجّل تسوية زيادة","سجّل تسوية نقص")))</f>
        <v/>
      </c>
      <c r="H264" s="29"/>
    </row>
    <row r="265" customFormat="false" ht="15" hidden="false" customHeight="false" outlineLevel="0" collapsed="false">
      <c r="A265" s="32"/>
      <c r="B265" s="29"/>
      <c r="C265" s="28" t="str">
        <f aca="false">IF($B265="","",IFERROR(INDEX('المواد الخام'!$B$5:$B$104,MATCH($B265,'المواد الخام'!$A$5:$A$104,0)),IFERROR(INDEX(المنتجات!$C$5:$C$24,MATCH($B265,المنتجات!$A$5:$A$24,0)),"كود غير موجود")))</f>
        <v/>
      </c>
      <c r="D265" s="27" t="str">
        <f aca="false">IF($B265="","",IFERROR(INDEX('المواد الخام'!$L$5:$L$104,MATCH($B265,'المواد الخام'!$A$5:$A$104,0)),IFERROR(INDEX(المنتجات!$P$5:$P$24,MATCH($B265,المنتجات!$A$5:$A$24,0)),0)))</f>
        <v/>
      </c>
      <c r="E265" s="24"/>
      <c r="F265" s="27" t="str">
        <f aca="false">IF(OR($B265="",E265=""),"",E265-D265)</f>
        <v/>
      </c>
      <c r="G265" s="28" t="str">
        <f aca="false">IF(F265="","",IF(F265=0,"مطابق",IF(F265&gt;0,"سجّل تسوية زيادة","سجّل تسوية نقص")))</f>
        <v/>
      </c>
      <c r="H265" s="29"/>
    </row>
    <row r="266" customFormat="false" ht="15" hidden="false" customHeight="false" outlineLevel="0" collapsed="false">
      <c r="A266" s="32"/>
      <c r="B266" s="29"/>
      <c r="C266" s="28" t="str">
        <f aca="false">IF($B266="","",IFERROR(INDEX('المواد الخام'!$B$5:$B$104,MATCH($B266,'المواد الخام'!$A$5:$A$104,0)),IFERROR(INDEX(المنتجات!$C$5:$C$24,MATCH($B266,المنتجات!$A$5:$A$24,0)),"كود غير موجود")))</f>
        <v/>
      </c>
      <c r="D266" s="27" t="str">
        <f aca="false">IF($B266="","",IFERROR(INDEX('المواد الخام'!$L$5:$L$104,MATCH($B266,'المواد الخام'!$A$5:$A$104,0)),IFERROR(INDEX(المنتجات!$P$5:$P$24,MATCH($B266,المنتجات!$A$5:$A$24,0)),0)))</f>
        <v/>
      </c>
      <c r="E266" s="24"/>
      <c r="F266" s="27" t="str">
        <f aca="false">IF(OR($B266="",E266=""),"",E266-D266)</f>
        <v/>
      </c>
      <c r="G266" s="28" t="str">
        <f aca="false">IF(F266="","",IF(F266=0,"مطابق",IF(F266&gt;0,"سجّل تسوية زيادة","سجّل تسوية نقص")))</f>
        <v/>
      </c>
      <c r="H266" s="29"/>
    </row>
    <row r="267" customFormat="false" ht="15" hidden="false" customHeight="false" outlineLevel="0" collapsed="false">
      <c r="A267" s="32"/>
      <c r="B267" s="29"/>
      <c r="C267" s="28" t="str">
        <f aca="false">IF($B267="","",IFERROR(INDEX('المواد الخام'!$B$5:$B$104,MATCH($B267,'المواد الخام'!$A$5:$A$104,0)),IFERROR(INDEX(المنتجات!$C$5:$C$24,MATCH($B267,المنتجات!$A$5:$A$24,0)),"كود غير موجود")))</f>
        <v/>
      </c>
      <c r="D267" s="27" t="str">
        <f aca="false">IF($B267="","",IFERROR(INDEX('المواد الخام'!$L$5:$L$104,MATCH($B267,'المواد الخام'!$A$5:$A$104,0)),IFERROR(INDEX(المنتجات!$P$5:$P$24,MATCH($B267,المنتجات!$A$5:$A$24,0)),0)))</f>
        <v/>
      </c>
      <c r="E267" s="24"/>
      <c r="F267" s="27" t="str">
        <f aca="false">IF(OR($B267="",E267=""),"",E267-D267)</f>
        <v/>
      </c>
      <c r="G267" s="28" t="str">
        <f aca="false">IF(F267="","",IF(F267=0,"مطابق",IF(F267&gt;0,"سجّل تسوية زيادة","سجّل تسوية نقص")))</f>
        <v/>
      </c>
      <c r="H267" s="29"/>
    </row>
    <row r="268" customFormat="false" ht="15" hidden="false" customHeight="false" outlineLevel="0" collapsed="false">
      <c r="A268" s="32"/>
      <c r="B268" s="29"/>
      <c r="C268" s="28" t="str">
        <f aca="false">IF($B268="","",IFERROR(INDEX('المواد الخام'!$B$5:$B$104,MATCH($B268,'المواد الخام'!$A$5:$A$104,0)),IFERROR(INDEX(المنتجات!$C$5:$C$24,MATCH($B268,المنتجات!$A$5:$A$24,0)),"كود غير موجود")))</f>
        <v/>
      </c>
      <c r="D268" s="27" t="str">
        <f aca="false">IF($B268="","",IFERROR(INDEX('المواد الخام'!$L$5:$L$104,MATCH($B268,'المواد الخام'!$A$5:$A$104,0)),IFERROR(INDEX(المنتجات!$P$5:$P$24,MATCH($B268,المنتجات!$A$5:$A$24,0)),0)))</f>
        <v/>
      </c>
      <c r="E268" s="24"/>
      <c r="F268" s="27" t="str">
        <f aca="false">IF(OR($B268="",E268=""),"",E268-D268)</f>
        <v/>
      </c>
      <c r="G268" s="28" t="str">
        <f aca="false">IF(F268="","",IF(F268=0,"مطابق",IF(F268&gt;0,"سجّل تسوية زيادة","سجّل تسوية نقص")))</f>
        <v/>
      </c>
      <c r="H268" s="29"/>
    </row>
    <row r="269" customFormat="false" ht="15" hidden="false" customHeight="false" outlineLevel="0" collapsed="false">
      <c r="A269" s="32"/>
      <c r="B269" s="29"/>
      <c r="C269" s="28" t="str">
        <f aca="false">IF($B269="","",IFERROR(INDEX('المواد الخام'!$B$5:$B$104,MATCH($B269,'المواد الخام'!$A$5:$A$104,0)),IFERROR(INDEX(المنتجات!$C$5:$C$24,MATCH($B269,المنتجات!$A$5:$A$24,0)),"كود غير موجود")))</f>
        <v/>
      </c>
      <c r="D269" s="27" t="str">
        <f aca="false">IF($B269="","",IFERROR(INDEX('المواد الخام'!$L$5:$L$104,MATCH($B269,'المواد الخام'!$A$5:$A$104,0)),IFERROR(INDEX(المنتجات!$P$5:$P$24,MATCH($B269,المنتجات!$A$5:$A$24,0)),0)))</f>
        <v/>
      </c>
      <c r="E269" s="24"/>
      <c r="F269" s="27" t="str">
        <f aca="false">IF(OR($B269="",E269=""),"",E269-D269)</f>
        <v/>
      </c>
      <c r="G269" s="28" t="str">
        <f aca="false">IF(F269="","",IF(F269=0,"مطابق",IF(F269&gt;0,"سجّل تسوية زيادة","سجّل تسوية نقص")))</f>
        <v/>
      </c>
      <c r="H269" s="29"/>
    </row>
    <row r="270" customFormat="false" ht="15" hidden="false" customHeight="false" outlineLevel="0" collapsed="false">
      <c r="A270" s="32"/>
      <c r="B270" s="29"/>
      <c r="C270" s="28" t="str">
        <f aca="false">IF($B270="","",IFERROR(INDEX('المواد الخام'!$B$5:$B$104,MATCH($B270,'المواد الخام'!$A$5:$A$104,0)),IFERROR(INDEX(المنتجات!$C$5:$C$24,MATCH($B270,المنتجات!$A$5:$A$24,0)),"كود غير موجود")))</f>
        <v/>
      </c>
      <c r="D270" s="27" t="str">
        <f aca="false">IF($B270="","",IFERROR(INDEX('المواد الخام'!$L$5:$L$104,MATCH($B270,'المواد الخام'!$A$5:$A$104,0)),IFERROR(INDEX(المنتجات!$P$5:$P$24,MATCH($B270,المنتجات!$A$5:$A$24,0)),0)))</f>
        <v/>
      </c>
      <c r="E270" s="24"/>
      <c r="F270" s="27" t="str">
        <f aca="false">IF(OR($B270="",E270=""),"",E270-D270)</f>
        <v/>
      </c>
      <c r="G270" s="28" t="str">
        <f aca="false">IF(F270="","",IF(F270=0,"مطابق",IF(F270&gt;0,"سجّل تسوية زيادة","سجّل تسوية نقص")))</f>
        <v/>
      </c>
      <c r="H270" s="29"/>
    </row>
    <row r="271" customFormat="false" ht="15" hidden="false" customHeight="false" outlineLevel="0" collapsed="false">
      <c r="A271" s="32"/>
      <c r="B271" s="29"/>
      <c r="C271" s="28" t="str">
        <f aca="false">IF($B271="","",IFERROR(INDEX('المواد الخام'!$B$5:$B$104,MATCH($B271,'المواد الخام'!$A$5:$A$104,0)),IFERROR(INDEX(المنتجات!$C$5:$C$24,MATCH($B271,المنتجات!$A$5:$A$24,0)),"كود غير موجود")))</f>
        <v/>
      </c>
      <c r="D271" s="27" t="str">
        <f aca="false">IF($B271="","",IFERROR(INDEX('المواد الخام'!$L$5:$L$104,MATCH($B271,'المواد الخام'!$A$5:$A$104,0)),IFERROR(INDEX(المنتجات!$P$5:$P$24,MATCH($B271,المنتجات!$A$5:$A$24,0)),0)))</f>
        <v/>
      </c>
      <c r="E271" s="24"/>
      <c r="F271" s="27" t="str">
        <f aca="false">IF(OR($B271="",E271=""),"",E271-D271)</f>
        <v/>
      </c>
      <c r="G271" s="28" t="str">
        <f aca="false">IF(F271="","",IF(F271=0,"مطابق",IF(F271&gt;0,"سجّل تسوية زيادة","سجّل تسوية نقص")))</f>
        <v/>
      </c>
      <c r="H271" s="29"/>
    </row>
    <row r="272" customFormat="false" ht="15" hidden="false" customHeight="false" outlineLevel="0" collapsed="false">
      <c r="A272" s="32"/>
      <c r="B272" s="29"/>
      <c r="C272" s="28" t="str">
        <f aca="false">IF($B272="","",IFERROR(INDEX('المواد الخام'!$B$5:$B$104,MATCH($B272,'المواد الخام'!$A$5:$A$104,0)),IFERROR(INDEX(المنتجات!$C$5:$C$24,MATCH($B272,المنتجات!$A$5:$A$24,0)),"كود غير موجود")))</f>
        <v/>
      </c>
      <c r="D272" s="27" t="str">
        <f aca="false">IF($B272="","",IFERROR(INDEX('المواد الخام'!$L$5:$L$104,MATCH($B272,'المواد الخام'!$A$5:$A$104,0)),IFERROR(INDEX(المنتجات!$P$5:$P$24,MATCH($B272,المنتجات!$A$5:$A$24,0)),0)))</f>
        <v/>
      </c>
      <c r="E272" s="24"/>
      <c r="F272" s="27" t="str">
        <f aca="false">IF(OR($B272="",E272=""),"",E272-D272)</f>
        <v/>
      </c>
      <c r="G272" s="28" t="str">
        <f aca="false">IF(F272="","",IF(F272=0,"مطابق",IF(F272&gt;0,"سجّل تسوية زيادة","سجّل تسوية نقص")))</f>
        <v/>
      </c>
      <c r="H272" s="29"/>
    </row>
    <row r="273" customFormat="false" ht="15" hidden="false" customHeight="false" outlineLevel="0" collapsed="false">
      <c r="A273" s="32"/>
      <c r="B273" s="29"/>
      <c r="C273" s="28" t="str">
        <f aca="false">IF($B273="","",IFERROR(INDEX('المواد الخام'!$B$5:$B$104,MATCH($B273,'المواد الخام'!$A$5:$A$104,0)),IFERROR(INDEX(المنتجات!$C$5:$C$24,MATCH($B273,المنتجات!$A$5:$A$24,0)),"كود غير موجود")))</f>
        <v/>
      </c>
      <c r="D273" s="27" t="str">
        <f aca="false">IF($B273="","",IFERROR(INDEX('المواد الخام'!$L$5:$L$104,MATCH($B273,'المواد الخام'!$A$5:$A$104,0)),IFERROR(INDEX(المنتجات!$P$5:$P$24,MATCH($B273,المنتجات!$A$5:$A$24,0)),0)))</f>
        <v/>
      </c>
      <c r="E273" s="24"/>
      <c r="F273" s="27" t="str">
        <f aca="false">IF(OR($B273="",E273=""),"",E273-D273)</f>
        <v/>
      </c>
      <c r="G273" s="28" t="str">
        <f aca="false">IF(F273="","",IF(F273=0,"مطابق",IF(F273&gt;0,"سجّل تسوية زيادة","سجّل تسوية نقص")))</f>
        <v/>
      </c>
      <c r="H273" s="29"/>
    </row>
    <row r="274" customFormat="false" ht="15" hidden="false" customHeight="false" outlineLevel="0" collapsed="false">
      <c r="A274" s="32"/>
      <c r="B274" s="29"/>
      <c r="C274" s="28" t="str">
        <f aca="false">IF($B274="","",IFERROR(INDEX('المواد الخام'!$B$5:$B$104,MATCH($B274,'المواد الخام'!$A$5:$A$104,0)),IFERROR(INDEX(المنتجات!$C$5:$C$24,MATCH($B274,المنتجات!$A$5:$A$24,0)),"كود غير موجود")))</f>
        <v/>
      </c>
      <c r="D274" s="27" t="str">
        <f aca="false">IF($B274="","",IFERROR(INDEX('المواد الخام'!$L$5:$L$104,MATCH($B274,'المواد الخام'!$A$5:$A$104,0)),IFERROR(INDEX(المنتجات!$P$5:$P$24,MATCH($B274,المنتجات!$A$5:$A$24,0)),0)))</f>
        <v/>
      </c>
      <c r="E274" s="24"/>
      <c r="F274" s="27" t="str">
        <f aca="false">IF(OR($B274="",E274=""),"",E274-D274)</f>
        <v/>
      </c>
      <c r="G274" s="28" t="str">
        <f aca="false">IF(F274="","",IF(F274=0,"مطابق",IF(F274&gt;0,"سجّل تسوية زيادة","سجّل تسوية نقص")))</f>
        <v/>
      </c>
      <c r="H274" s="29"/>
    </row>
    <row r="275" customFormat="false" ht="15" hidden="false" customHeight="false" outlineLevel="0" collapsed="false">
      <c r="A275" s="32"/>
      <c r="B275" s="29"/>
      <c r="C275" s="28" t="str">
        <f aca="false">IF($B275="","",IFERROR(INDEX('المواد الخام'!$B$5:$B$104,MATCH($B275,'المواد الخام'!$A$5:$A$104,0)),IFERROR(INDEX(المنتجات!$C$5:$C$24,MATCH($B275,المنتجات!$A$5:$A$24,0)),"كود غير موجود")))</f>
        <v/>
      </c>
      <c r="D275" s="27" t="str">
        <f aca="false">IF($B275="","",IFERROR(INDEX('المواد الخام'!$L$5:$L$104,MATCH($B275,'المواد الخام'!$A$5:$A$104,0)),IFERROR(INDEX(المنتجات!$P$5:$P$24,MATCH($B275,المنتجات!$A$5:$A$24,0)),0)))</f>
        <v/>
      </c>
      <c r="E275" s="24"/>
      <c r="F275" s="27" t="str">
        <f aca="false">IF(OR($B275="",E275=""),"",E275-D275)</f>
        <v/>
      </c>
      <c r="G275" s="28" t="str">
        <f aca="false">IF(F275="","",IF(F275=0,"مطابق",IF(F275&gt;0,"سجّل تسوية زيادة","سجّل تسوية نقص")))</f>
        <v/>
      </c>
      <c r="H275" s="29"/>
    </row>
    <row r="276" customFormat="false" ht="15" hidden="false" customHeight="false" outlineLevel="0" collapsed="false">
      <c r="A276" s="32"/>
      <c r="B276" s="29"/>
      <c r="C276" s="28" t="str">
        <f aca="false">IF($B276="","",IFERROR(INDEX('المواد الخام'!$B$5:$B$104,MATCH($B276,'المواد الخام'!$A$5:$A$104,0)),IFERROR(INDEX(المنتجات!$C$5:$C$24,MATCH($B276,المنتجات!$A$5:$A$24,0)),"كود غير موجود")))</f>
        <v/>
      </c>
      <c r="D276" s="27" t="str">
        <f aca="false">IF($B276="","",IFERROR(INDEX('المواد الخام'!$L$5:$L$104,MATCH($B276,'المواد الخام'!$A$5:$A$104,0)),IFERROR(INDEX(المنتجات!$P$5:$P$24,MATCH($B276,المنتجات!$A$5:$A$24,0)),0)))</f>
        <v/>
      </c>
      <c r="E276" s="24"/>
      <c r="F276" s="27" t="str">
        <f aca="false">IF(OR($B276="",E276=""),"",E276-D276)</f>
        <v/>
      </c>
      <c r="G276" s="28" t="str">
        <f aca="false">IF(F276="","",IF(F276=0,"مطابق",IF(F276&gt;0,"سجّل تسوية زيادة","سجّل تسوية نقص")))</f>
        <v/>
      </c>
      <c r="H276" s="29"/>
    </row>
    <row r="277" customFormat="false" ht="15" hidden="false" customHeight="false" outlineLevel="0" collapsed="false">
      <c r="A277" s="32"/>
      <c r="B277" s="29"/>
      <c r="C277" s="28" t="str">
        <f aca="false">IF($B277="","",IFERROR(INDEX('المواد الخام'!$B$5:$B$104,MATCH($B277,'المواد الخام'!$A$5:$A$104,0)),IFERROR(INDEX(المنتجات!$C$5:$C$24,MATCH($B277,المنتجات!$A$5:$A$24,0)),"كود غير موجود")))</f>
        <v/>
      </c>
      <c r="D277" s="27" t="str">
        <f aca="false">IF($B277="","",IFERROR(INDEX('المواد الخام'!$L$5:$L$104,MATCH($B277,'المواد الخام'!$A$5:$A$104,0)),IFERROR(INDEX(المنتجات!$P$5:$P$24,MATCH($B277,المنتجات!$A$5:$A$24,0)),0)))</f>
        <v/>
      </c>
      <c r="E277" s="24"/>
      <c r="F277" s="27" t="str">
        <f aca="false">IF(OR($B277="",E277=""),"",E277-D277)</f>
        <v/>
      </c>
      <c r="G277" s="28" t="str">
        <f aca="false">IF(F277="","",IF(F277=0,"مطابق",IF(F277&gt;0,"سجّل تسوية زيادة","سجّل تسوية نقص")))</f>
        <v/>
      </c>
      <c r="H277" s="29"/>
    </row>
    <row r="278" customFormat="false" ht="15" hidden="false" customHeight="false" outlineLevel="0" collapsed="false">
      <c r="A278" s="32"/>
      <c r="B278" s="29"/>
      <c r="C278" s="28" t="str">
        <f aca="false">IF($B278="","",IFERROR(INDEX('المواد الخام'!$B$5:$B$104,MATCH($B278,'المواد الخام'!$A$5:$A$104,0)),IFERROR(INDEX(المنتجات!$C$5:$C$24,MATCH($B278,المنتجات!$A$5:$A$24,0)),"كود غير موجود")))</f>
        <v/>
      </c>
      <c r="D278" s="27" t="str">
        <f aca="false">IF($B278="","",IFERROR(INDEX('المواد الخام'!$L$5:$L$104,MATCH($B278,'المواد الخام'!$A$5:$A$104,0)),IFERROR(INDEX(المنتجات!$P$5:$P$24,MATCH($B278,المنتجات!$A$5:$A$24,0)),0)))</f>
        <v/>
      </c>
      <c r="E278" s="24"/>
      <c r="F278" s="27" t="str">
        <f aca="false">IF(OR($B278="",E278=""),"",E278-D278)</f>
        <v/>
      </c>
      <c r="G278" s="28" t="str">
        <f aca="false">IF(F278="","",IF(F278=0,"مطابق",IF(F278&gt;0,"سجّل تسوية زيادة","سجّل تسوية نقص")))</f>
        <v/>
      </c>
      <c r="H278" s="29"/>
    </row>
    <row r="279" customFormat="false" ht="15" hidden="false" customHeight="false" outlineLevel="0" collapsed="false">
      <c r="A279" s="32"/>
      <c r="B279" s="29"/>
      <c r="C279" s="28" t="str">
        <f aca="false">IF($B279="","",IFERROR(INDEX('المواد الخام'!$B$5:$B$104,MATCH($B279,'المواد الخام'!$A$5:$A$104,0)),IFERROR(INDEX(المنتجات!$C$5:$C$24,MATCH($B279,المنتجات!$A$5:$A$24,0)),"كود غير موجود")))</f>
        <v/>
      </c>
      <c r="D279" s="27" t="str">
        <f aca="false">IF($B279="","",IFERROR(INDEX('المواد الخام'!$L$5:$L$104,MATCH($B279,'المواد الخام'!$A$5:$A$104,0)),IFERROR(INDEX(المنتجات!$P$5:$P$24,MATCH($B279,المنتجات!$A$5:$A$24,0)),0)))</f>
        <v/>
      </c>
      <c r="E279" s="24"/>
      <c r="F279" s="27" t="str">
        <f aca="false">IF(OR($B279="",E279=""),"",E279-D279)</f>
        <v/>
      </c>
      <c r="G279" s="28" t="str">
        <f aca="false">IF(F279="","",IF(F279=0,"مطابق",IF(F279&gt;0,"سجّل تسوية زيادة","سجّل تسوية نقص")))</f>
        <v/>
      </c>
      <c r="H279" s="29"/>
    </row>
    <row r="280" customFormat="false" ht="15" hidden="false" customHeight="false" outlineLevel="0" collapsed="false">
      <c r="A280" s="32"/>
      <c r="B280" s="29"/>
      <c r="C280" s="28" t="str">
        <f aca="false">IF($B280="","",IFERROR(INDEX('المواد الخام'!$B$5:$B$104,MATCH($B280,'المواد الخام'!$A$5:$A$104,0)),IFERROR(INDEX(المنتجات!$C$5:$C$24,MATCH($B280,المنتجات!$A$5:$A$24,0)),"كود غير موجود")))</f>
        <v/>
      </c>
      <c r="D280" s="27" t="str">
        <f aca="false">IF($B280="","",IFERROR(INDEX('المواد الخام'!$L$5:$L$104,MATCH($B280,'المواد الخام'!$A$5:$A$104,0)),IFERROR(INDEX(المنتجات!$P$5:$P$24,MATCH($B280,المنتجات!$A$5:$A$24,0)),0)))</f>
        <v/>
      </c>
      <c r="E280" s="24"/>
      <c r="F280" s="27" t="str">
        <f aca="false">IF(OR($B280="",E280=""),"",E280-D280)</f>
        <v/>
      </c>
      <c r="G280" s="28" t="str">
        <f aca="false">IF(F280="","",IF(F280=0,"مطابق",IF(F280&gt;0,"سجّل تسوية زيادة","سجّل تسوية نقص")))</f>
        <v/>
      </c>
      <c r="H280" s="29"/>
    </row>
    <row r="281" customFormat="false" ht="15" hidden="false" customHeight="false" outlineLevel="0" collapsed="false">
      <c r="A281" s="32"/>
      <c r="B281" s="29"/>
      <c r="C281" s="28" t="str">
        <f aca="false">IF($B281="","",IFERROR(INDEX('المواد الخام'!$B$5:$B$104,MATCH($B281,'المواد الخام'!$A$5:$A$104,0)),IFERROR(INDEX(المنتجات!$C$5:$C$24,MATCH($B281,المنتجات!$A$5:$A$24,0)),"كود غير موجود")))</f>
        <v/>
      </c>
      <c r="D281" s="27" t="str">
        <f aca="false">IF($B281="","",IFERROR(INDEX('المواد الخام'!$L$5:$L$104,MATCH($B281,'المواد الخام'!$A$5:$A$104,0)),IFERROR(INDEX(المنتجات!$P$5:$P$24,MATCH($B281,المنتجات!$A$5:$A$24,0)),0)))</f>
        <v/>
      </c>
      <c r="E281" s="24"/>
      <c r="F281" s="27" t="str">
        <f aca="false">IF(OR($B281="",E281=""),"",E281-D281)</f>
        <v/>
      </c>
      <c r="G281" s="28" t="str">
        <f aca="false">IF(F281="","",IF(F281=0,"مطابق",IF(F281&gt;0,"سجّل تسوية زيادة","سجّل تسوية نقص")))</f>
        <v/>
      </c>
      <c r="H281" s="29"/>
    </row>
    <row r="282" customFormat="false" ht="15" hidden="false" customHeight="false" outlineLevel="0" collapsed="false">
      <c r="A282" s="32"/>
      <c r="B282" s="29"/>
      <c r="C282" s="28" t="str">
        <f aca="false">IF($B282="","",IFERROR(INDEX('المواد الخام'!$B$5:$B$104,MATCH($B282,'المواد الخام'!$A$5:$A$104,0)),IFERROR(INDEX(المنتجات!$C$5:$C$24,MATCH($B282,المنتجات!$A$5:$A$24,0)),"كود غير موجود")))</f>
        <v/>
      </c>
      <c r="D282" s="27" t="str">
        <f aca="false">IF($B282="","",IFERROR(INDEX('المواد الخام'!$L$5:$L$104,MATCH($B282,'المواد الخام'!$A$5:$A$104,0)),IFERROR(INDEX(المنتجات!$P$5:$P$24,MATCH($B282,المنتجات!$A$5:$A$24,0)),0)))</f>
        <v/>
      </c>
      <c r="E282" s="24"/>
      <c r="F282" s="27" t="str">
        <f aca="false">IF(OR($B282="",E282=""),"",E282-D282)</f>
        <v/>
      </c>
      <c r="G282" s="28" t="str">
        <f aca="false">IF(F282="","",IF(F282=0,"مطابق",IF(F282&gt;0,"سجّل تسوية زيادة","سجّل تسوية نقص")))</f>
        <v/>
      </c>
      <c r="H282" s="29"/>
    </row>
    <row r="283" customFormat="false" ht="15" hidden="false" customHeight="false" outlineLevel="0" collapsed="false">
      <c r="A283" s="32"/>
      <c r="B283" s="29"/>
      <c r="C283" s="28" t="str">
        <f aca="false">IF($B283="","",IFERROR(INDEX('المواد الخام'!$B$5:$B$104,MATCH($B283,'المواد الخام'!$A$5:$A$104,0)),IFERROR(INDEX(المنتجات!$C$5:$C$24,MATCH($B283,المنتجات!$A$5:$A$24,0)),"كود غير موجود")))</f>
        <v/>
      </c>
      <c r="D283" s="27" t="str">
        <f aca="false">IF($B283="","",IFERROR(INDEX('المواد الخام'!$L$5:$L$104,MATCH($B283,'المواد الخام'!$A$5:$A$104,0)),IFERROR(INDEX(المنتجات!$P$5:$P$24,MATCH($B283,المنتجات!$A$5:$A$24,0)),0)))</f>
        <v/>
      </c>
      <c r="E283" s="24"/>
      <c r="F283" s="27" t="str">
        <f aca="false">IF(OR($B283="",E283=""),"",E283-D283)</f>
        <v/>
      </c>
      <c r="G283" s="28" t="str">
        <f aca="false">IF(F283="","",IF(F283=0,"مطابق",IF(F283&gt;0,"سجّل تسوية زيادة","سجّل تسوية نقص")))</f>
        <v/>
      </c>
      <c r="H283" s="29"/>
    </row>
    <row r="284" customFormat="false" ht="15" hidden="false" customHeight="false" outlineLevel="0" collapsed="false">
      <c r="A284" s="32"/>
      <c r="B284" s="29"/>
      <c r="C284" s="28" t="str">
        <f aca="false">IF($B284="","",IFERROR(INDEX('المواد الخام'!$B$5:$B$104,MATCH($B284,'المواد الخام'!$A$5:$A$104,0)),IFERROR(INDEX(المنتجات!$C$5:$C$24,MATCH($B284,المنتجات!$A$5:$A$24,0)),"كود غير موجود")))</f>
        <v/>
      </c>
      <c r="D284" s="27" t="str">
        <f aca="false">IF($B284="","",IFERROR(INDEX('المواد الخام'!$L$5:$L$104,MATCH($B284,'المواد الخام'!$A$5:$A$104,0)),IFERROR(INDEX(المنتجات!$P$5:$P$24,MATCH($B284,المنتجات!$A$5:$A$24,0)),0)))</f>
        <v/>
      </c>
      <c r="E284" s="24"/>
      <c r="F284" s="27" t="str">
        <f aca="false">IF(OR($B284="",E284=""),"",E284-D284)</f>
        <v/>
      </c>
      <c r="G284" s="28" t="str">
        <f aca="false">IF(F284="","",IF(F284=0,"مطابق",IF(F284&gt;0,"سجّل تسوية زيادة","سجّل تسوية نقص")))</f>
        <v/>
      </c>
      <c r="H284" s="29"/>
    </row>
    <row r="285" customFormat="false" ht="15" hidden="false" customHeight="false" outlineLevel="0" collapsed="false">
      <c r="A285" s="32"/>
      <c r="B285" s="29"/>
      <c r="C285" s="28" t="str">
        <f aca="false">IF($B285="","",IFERROR(INDEX('المواد الخام'!$B$5:$B$104,MATCH($B285,'المواد الخام'!$A$5:$A$104,0)),IFERROR(INDEX(المنتجات!$C$5:$C$24,MATCH($B285,المنتجات!$A$5:$A$24,0)),"كود غير موجود")))</f>
        <v/>
      </c>
      <c r="D285" s="27" t="str">
        <f aca="false">IF($B285="","",IFERROR(INDEX('المواد الخام'!$L$5:$L$104,MATCH($B285,'المواد الخام'!$A$5:$A$104,0)),IFERROR(INDEX(المنتجات!$P$5:$P$24,MATCH($B285,المنتجات!$A$5:$A$24,0)),0)))</f>
        <v/>
      </c>
      <c r="E285" s="24"/>
      <c r="F285" s="27" t="str">
        <f aca="false">IF(OR($B285="",E285=""),"",E285-D285)</f>
        <v/>
      </c>
      <c r="G285" s="28" t="str">
        <f aca="false">IF(F285="","",IF(F285=0,"مطابق",IF(F285&gt;0,"سجّل تسوية زيادة","سجّل تسوية نقص")))</f>
        <v/>
      </c>
      <c r="H285" s="29"/>
    </row>
    <row r="286" customFormat="false" ht="15" hidden="false" customHeight="false" outlineLevel="0" collapsed="false">
      <c r="A286" s="32"/>
      <c r="B286" s="29"/>
      <c r="C286" s="28" t="str">
        <f aca="false">IF($B286="","",IFERROR(INDEX('المواد الخام'!$B$5:$B$104,MATCH($B286,'المواد الخام'!$A$5:$A$104,0)),IFERROR(INDEX(المنتجات!$C$5:$C$24,MATCH($B286,المنتجات!$A$5:$A$24,0)),"كود غير موجود")))</f>
        <v/>
      </c>
      <c r="D286" s="27" t="str">
        <f aca="false">IF($B286="","",IFERROR(INDEX('المواد الخام'!$L$5:$L$104,MATCH($B286,'المواد الخام'!$A$5:$A$104,0)),IFERROR(INDEX(المنتجات!$P$5:$P$24,MATCH($B286,المنتجات!$A$5:$A$24,0)),0)))</f>
        <v/>
      </c>
      <c r="E286" s="24"/>
      <c r="F286" s="27" t="str">
        <f aca="false">IF(OR($B286="",E286=""),"",E286-D286)</f>
        <v/>
      </c>
      <c r="G286" s="28" t="str">
        <f aca="false">IF(F286="","",IF(F286=0,"مطابق",IF(F286&gt;0,"سجّل تسوية زيادة","سجّل تسوية نقص")))</f>
        <v/>
      </c>
      <c r="H286" s="29"/>
    </row>
    <row r="287" customFormat="false" ht="15" hidden="false" customHeight="false" outlineLevel="0" collapsed="false">
      <c r="A287" s="32"/>
      <c r="B287" s="29"/>
      <c r="C287" s="28" t="str">
        <f aca="false">IF($B287="","",IFERROR(INDEX('المواد الخام'!$B$5:$B$104,MATCH($B287,'المواد الخام'!$A$5:$A$104,0)),IFERROR(INDEX(المنتجات!$C$5:$C$24,MATCH($B287,المنتجات!$A$5:$A$24,0)),"كود غير موجود")))</f>
        <v/>
      </c>
      <c r="D287" s="27" t="str">
        <f aca="false">IF($B287="","",IFERROR(INDEX('المواد الخام'!$L$5:$L$104,MATCH($B287,'المواد الخام'!$A$5:$A$104,0)),IFERROR(INDEX(المنتجات!$P$5:$P$24,MATCH($B287,المنتجات!$A$5:$A$24,0)),0)))</f>
        <v/>
      </c>
      <c r="E287" s="24"/>
      <c r="F287" s="27" t="str">
        <f aca="false">IF(OR($B287="",E287=""),"",E287-D287)</f>
        <v/>
      </c>
      <c r="G287" s="28" t="str">
        <f aca="false">IF(F287="","",IF(F287=0,"مطابق",IF(F287&gt;0,"سجّل تسوية زيادة","سجّل تسوية نقص")))</f>
        <v/>
      </c>
      <c r="H287" s="29"/>
    </row>
    <row r="288" customFormat="false" ht="15" hidden="false" customHeight="false" outlineLevel="0" collapsed="false">
      <c r="A288" s="32"/>
      <c r="B288" s="29"/>
      <c r="C288" s="28" t="str">
        <f aca="false">IF($B288="","",IFERROR(INDEX('المواد الخام'!$B$5:$B$104,MATCH($B288,'المواد الخام'!$A$5:$A$104,0)),IFERROR(INDEX(المنتجات!$C$5:$C$24,MATCH($B288,المنتجات!$A$5:$A$24,0)),"كود غير موجود")))</f>
        <v/>
      </c>
      <c r="D288" s="27" t="str">
        <f aca="false">IF($B288="","",IFERROR(INDEX('المواد الخام'!$L$5:$L$104,MATCH($B288,'المواد الخام'!$A$5:$A$104,0)),IFERROR(INDEX(المنتجات!$P$5:$P$24,MATCH($B288,المنتجات!$A$5:$A$24,0)),0)))</f>
        <v/>
      </c>
      <c r="E288" s="24"/>
      <c r="F288" s="27" t="str">
        <f aca="false">IF(OR($B288="",E288=""),"",E288-D288)</f>
        <v/>
      </c>
      <c r="G288" s="28" t="str">
        <f aca="false">IF(F288="","",IF(F288=0,"مطابق",IF(F288&gt;0,"سجّل تسوية زيادة","سجّل تسوية نقص")))</f>
        <v/>
      </c>
      <c r="H288" s="29"/>
    </row>
    <row r="289" customFormat="false" ht="15" hidden="false" customHeight="false" outlineLevel="0" collapsed="false">
      <c r="A289" s="32"/>
      <c r="B289" s="29"/>
      <c r="C289" s="28" t="str">
        <f aca="false">IF($B289="","",IFERROR(INDEX('المواد الخام'!$B$5:$B$104,MATCH($B289,'المواد الخام'!$A$5:$A$104,0)),IFERROR(INDEX(المنتجات!$C$5:$C$24,MATCH($B289,المنتجات!$A$5:$A$24,0)),"كود غير موجود")))</f>
        <v/>
      </c>
      <c r="D289" s="27" t="str">
        <f aca="false">IF($B289="","",IFERROR(INDEX('المواد الخام'!$L$5:$L$104,MATCH($B289,'المواد الخام'!$A$5:$A$104,0)),IFERROR(INDEX(المنتجات!$P$5:$P$24,MATCH($B289,المنتجات!$A$5:$A$24,0)),0)))</f>
        <v/>
      </c>
      <c r="E289" s="24"/>
      <c r="F289" s="27" t="str">
        <f aca="false">IF(OR($B289="",E289=""),"",E289-D289)</f>
        <v/>
      </c>
      <c r="G289" s="28" t="str">
        <f aca="false">IF(F289="","",IF(F289=0,"مطابق",IF(F289&gt;0,"سجّل تسوية زيادة","سجّل تسوية نقص")))</f>
        <v/>
      </c>
      <c r="H289" s="29"/>
    </row>
    <row r="290" customFormat="false" ht="15" hidden="false" customHeight="false" outlineLevel="0" collapsed="false">
      <c r="A290" s="32"/>
      <c r="B290" s="29"/>
      <c r="C290" s="28" t="str">
        <f aca="false">IF($B290="","",IFERROR(INDEX('المواد الخام'!$B$5:$B$104,MATCH($B290,'المواد الخام'!$A$5:$A$104,0)),IFERROR(INDEX(المنتجات!$C$5:$C$24,MATCH($B290,المنتجات!$A$5:$A$24,0)),"كود غير موجود")))</f>
        <v/>
      </c>
      <c r="D290" s="27" t="str">
        <f aca="false">IF($B290="","",IFERROR(INDEX('المواد الخام'!$L$5:$L$104,MATCH($B290,'المواد الخام'!$A$5:$A$104,0)),IFERROR(INDEX(المنتجات!$P$5:$P$24,MATCH($B290,المنتجات!$A$5:$A$24,0)),0)))</f>
        <v/>
      </c>
      <c r="E290" s="24"/>
      <c r="F290" s="27" t="str">
        <f aca="false">IF(OR($B290="",E290=""),"",E290-D290)</f>
        <v/>
      </c>
      <c r="G290" s="28" t="str">
        <f aca="false">IF(F290="","",IF(F290=0,"مطابق",IF(F290&gt;0,"سجّل تسوية زيادة","سجّل تسوية نقص")))</f>
        <v/>
      </c>
      <c r="H290" s="29"/>
    </row>
    <row r="291" customFormat="false" ht="15" hidden="false" customHeight="false" outlineLevel="0" collapsed="false">
      <c r="A291" s="32"/>
      <c r="B291" s="29"/>
      <c r="C291" s="28" t="str">
        <f aca="false">IF($B291="","",IFERROR(INDEX('المواد الخام'!$B$5:$B$104,MATCH($B291,'المواد الخام'!$A$5:$A$104,0)),IFERROR(INDEX(المنتجات!$C$5:$C$24,MATCH($B291,المنتجات!$A$5:$A$24,0)),"كود غير موجود")))</f>
        <v/>
      </c>
      <c r="D291" s="27" t="str">
        <f aca="false">IF($B291="","",IFERROR(INDEX('المواد الخام'!$L$5:$L$104,MATCH($B291,'المواد الخام'!$A$5:$A$104,0)),IFERROR(INDEX(المنتجات!$P$5:$P$24,MATCH($B291,المنتجات!$A$5:$A$24,0)),0)))</f>
        <v/>
      </c>
      <c r="E291" s="24"/>
      <c r="F291" s="27" t="str">
        <f aca="false">IF(OR($B291="",E291=""),"",E291-D291)</f>
        <v/>
      </c>
      <c r="G291" s="28" t="str">
        <f aca="false">IF(F291="","",IF(F291=0,"مطابق",IF(F291&gt;0,"سجّل تسوية زيادة","سجّل تسوية نقص")))</f>
        <v/>
      </c>
      <c r="H291" s="29"/>
    </row>
    <row r="292" customFormat="false" ht="15" hidden="false" customHeight="false" outlineLevel="0" collapsed="false">
      <c r="A292" s="32"/>
      <c r="B292" s="29"/>
      <c r="C292" s="28" t="str">
        <f aca="false">IF($B292="","",IFERROR(INDEX('المواد الخام'!$B$5:$B$104,MATCH($B292,'المواد الخام'!$A$5:$A$104,0)),IFERROR(INDEX(المنتجات!$C$5:$C$24,MATCH($B292,المنتجات!$A$5:$A$24,0)),"كود غير موجود")))</f>
        <v/>
      </c>
      <c r="D292" s="27" t="str">
        <f aca="false">IF($B292="","",IFERROR(INDEX('المواد الخام'!$L$5:$L$104,MATCH($B292,'المواد الخام'!$A$5:$A$104,0)),IFERROR(INDEX(المنتجات!$P$5:$P$24,MATCH($B292,المنتجات!$A$5:$A$24,0)),0)))</f>
        <v/>
      </c>
      <c r="E292" s="24"/>
      <c r="F292" s="27" t="str">
        <f aca="false">IF(OR($B292="",E292=""),"",E292-D292)</f>
        <v/>
      </c>
      <c r="G292" s="28" t="str">
        <f aca="false">IF(F292="","",IF(F292=0,"مطابق",IF(F292&gt;0,"سجّل تسوية زيادة","سجّل تسوية نقص")))</f>
        <v/>
      </c>
      <c r="H292" s="29"/>
    </row>
    <row r="293" customFormat="false" ht="15" hidden="false" customHeight="false" outlineLevel="0" collapsed="false">
      <c r="A293" s="32"/>
      <c r="B293" s="29"/>
      <c r="C293" s="28" t="str">
        <f aca="false">IF($B293="","",IFERROR(INDEX('المواد الخام'!$B$5:$B$104,MATCH($B293,'المواد الخام'!$A$5:$A$104,0)),IFERROR(INDEX(المنتجات!$C$5:$C$24,MATCH($B293,المنتجات!$A$5:$A$24,0)),"كود غير موجود")))</f>
        <v/>
      </c>
      <c r="D293" s="27" t="str">
        <f aca="false">IF($B293="","",IFERROR(INDEX('المواد الخام'!$L$5:$L$104,MATCH($B293,'المواد الخام'!$A$5:$A$104,0)),IFERROR(INDEX(المنتجات!$P$5:$P$24,MATCH($B293,المنتجات!$A$5:$A$24,0)),0)))</f>
        <v/>
      </c>
      <c r="E293" s="24"/>
      <c r="F293" s="27" t="str">
        <f aca="false">IF(OR($B293="",E293=""),"",E293-D293)</f>
        <v/>
      </c>
      <c r="G293" s="28" t="str">
        <f aca="false">IF(F293="","",IF(F293=0,"مطابق",IF(F293&gt;0,"سجّل تسوية زيادة","سجّل تسوية نقص")))</f>
        <v/>
      </c>
      <c r="H293" s="29"/>
    </row>
    <row r="294" customFormat="false" ht="15" hidden="false" customHeight="false" outlineLevel="0" collapsed="false">
      <c r="A294" s="32"/>
      <c r="B294" s="29"/>
      <c r="C294" s="28" t="str">
        <f aca="false">IF($B294="","",IFERROR(INDEX('المواد الخام'!$B$5:$B$104,MATCH($B294,'المواد الخام'!$A$5:$A$104,0)),IFERROR(INDEX(المنتجات!$C$5:$C$24,MATCH($B294,المنتجات!$A$5:$A$24,0)),"كود غير موجود")))</f>
        <v/>
      </c>
      <c r="D294" s="27" t="str">
        <f aca="false">IF($B294="","",IFERROR(INDEX('المواد الخام'!$L$5:$L$104,MATCH($B294,'المواد الخام'!$A$5:$A$104,0)),IFERROR(INDEX(المنتجات!$P$5:$P$24,MATCH($B294,المنتجات!$A$5:$A$24,0)),0)))</f>
        <v/>
      </c>
      <c r="E294" s="24"/>
      <c r="F294" s="27" t="str">
        <f aca="false">IF(OR($B294="",E294=""),"",E294-D294)</f>
        <v/>
      </c>
      <c r="G294" s="28" t="str">
        <f aca="false">IF(F294="","",IF(F294=0,"مطابق",IF(F294&gt;0,"سجّل تسوية زيادة","سجّل تسوية نقص")))</f>
        <v/>
      </c>
      <c r="H294" s="29"/>
    </row>
    <row r="295" customFormat="false" ht="15" hidden="false" customHeight="false" outlineLevel="0" collapsed="false">
      <c r="A295" s="32"/>
      <c r="B295" s="29"/>
      <c r="C295" s="28" t="str">
        <f aca="false">IF($B295="","",IFERROR(INDEX('المواد الخام'!$B$5:$B$104,MATCH($B295,'المواد الخام'!$A$5:$A$104,0)),IFERROR(INDEX(المنتجات!$C$5:$C$24,MATCH($B295,المنتجات!$A$5:$A$24,0)),"كود غير موجود")))</f>
        <v/>
      </c>
      <c r="D295" s="27" t="str">
        <f aca="false">IF($B295="","",IFERROR(INDEX('المواد الخام'!$L$5:$L$104,MATCH($B295,'المواد الخام'!$A$5:$A$104,0)),IFERROR(INDEX(المنتجات!$P$5:$P$24,MATCH($B295,المنتجات!$A$5:$A$24,0)),0)))</f>
        <v/>
      </c>
      <c r="E295" s="24"/>
      <c r="F295" s="27" t="str">
        <f aca="false">IF(OR($B295="",E295=""),"",E295-D295)</f>
        <v/>
      </c>
      <c r="G295" s="28" t="str">
        <f aca="false">IF(F295="","",IF(F295=0,"مطابق",IF(F295&gt;0,"سجّل تسوية زيادة","سجّل تسوية نقص")))</f>
        <v/>
      </c>
      <c r="H295" s="29"/>
    </row>
    <row r="296" customFormat="false" ht="15" hidden="false" customHeight="false" outlineLevel="0" collapsed="false">
      <c r="A296" s="32"/>
      <c r="B296" s="29"/>
      <c r="C296" s="28" t="str">
        <f aca="false">IF($B296="","",IFERROR(INDEX('المواد الخام'!$B$5:$B$104,MATCH($B296,'المواد الخام'!$A$5:$A$104,0)),IFERROR(INDEX(المنتجات!$C$5:$C$24,MATCH($B296,المنتجات!$A$5:$A$24,0)),"كود غير موجود")))</f>
        <v/>
      </c>
      <c r="D296" s="27" t="str">
        <f aca="false">IF($B296="","",IFERROR(INDEX('المواد الخام'!$L$5:$L$104,MATCH($B296,'المواد الخام'!$A$5:$A$104,0)),IFERROR(INDEX(المنتجات!$P$5:$P$24,MATCH($B296,المنتجات!$A$5:$A$24,0)),0)))</f>
        <v/>
      </c>
      <c r="E296" s="24"/>
      <c r="F296" s="27" t="str">
        <f aca="false">IF(OR($B296="",E296=""),"",E296-D296)</f>
        <v/>
      </c>
      <c r="G296" s="28" t="str">
        <f aca="false">IF(F296="","",IF(F296=0,"مطابق",IF(F296&gt;0,"سجّل تسوية زيادة","سجّل تسوية نقص")))</f>
        <v/>
      </c>
      <c r="H296" s="29"/>
    </row>
    <row r="297" customFormat="false" ht="15" hidden="false" customHeight="false" outlineLevel="0" collapsed="false">
      <c r="A297" s="32"/>
      <c r="B297" s="29"/>
      <c r="C297" s="28" t="str">
        <f aca="false">IF($B297="","",IFERROR(INDEX('المواد الخام'!$B$5:$B$104,MATCH($B297,'المواد الخام'!$A$5:$A$104,0)),IFERROR(INDEX(المنتجات!$C$5:$C$24,MATCH($B297,المنتجات!$A$5:$A$24,0)),"كود غير موجود")))</f>
        <v/>
      </c>
      <c r="D297" s="27" t="str">
        <f aca="false">IF($B297="","",IFERROR(INDEX('المواد الخام'!$L$5:$L$104,MATCH($B297,'المواد الخام'!$A$5:$A$104,0)),IFERROR(INDEX(المنتجات!$P$5:$P$24,MATCH($B297,المنتجات!$A$5:$A$24,0)),0)))</f>
        <v/>
      </c>
      <c r="E297" s="24"/>
      <c r="F297" s="27" t="str">
        <f aca="false">IF(OR($B297="",E297=""),"",E297-D297)</f>
        <v/>
      </c>
      <c r="G297" s="28" t="str">
        <f aca="false">IF(F297="","",IF(F297=0,"مطابق",IF(F297&gt;0,"سجّل تسوية زيادة","سجّل تسوية نقص")))</f>
        <v/>
      </c>
      <c r="H297" s="29"/>
    </row>
    <row r="298" customFormat="false" ht="15" hidden="false" customHeight="false" outlineLevel="0" collapsed="false">
      <c r="A298" s="32"/>
      <c r="B298" s="29"/>
      <c r="C298" s="28" t="str">
        <f aca="false">IF($B298="","",IFERROR(INDEX('المواد الخام'!$B$5:$B$104,MATCH($B298,'المواد الخام'!$A$5:$A$104,0)),IFERROR(INDEX(المنتجات!$C$5:$C$24,MATCH($B298,المنتجات!$A$5:$A$24,0)),"كود غير موجود")))</f>
        <v/>
      </c>
      <c r="D298" s="27" t="str">
        <f aca="false">IF($B298="","",IFERROR(INDEX('المواد الخام'!$L$5:$L$104,MATCH($B298,'المواد الخام'!$A$5:$A$104,0)),IFERROR(INDEX(المنتجات!$P$5:$P$24,MATCH($B298,المنتجات!$A$5:$A$24,0)),0)))</f>
        <v/>
      </c>
      <c r="E298" s="24"/>
      <c r="F298" s="27" t="str">
        <f aca="false">IF(OR($B298="",E298=""),"",E298-D298)</f>
        <v/>
      </c>
      <c r="G298" s="28" t="str">
        <f aca="false">IF(F298="","",IF(F298=0,"مطابق",IF(F298&gt;0,"سجّل تسوية زيادة","سجّل تسوية نقص")))</f>
        <v/>
      </c>
      <c r="H298" s="29"/>
    </row>
    <row r="299" customFormat="false" ht="15" hidden="false" customHeight="false" outlineLevel="0" collapsed="false">
      <c r="A299" s="32"/>
      <c r="B299" s="29"/>
      <c r="C299" s="28" t="str">
        <f aca="false">IF($B299="","",IFERROR(INDEX('المواد الخام'!$B$5:$B$104,MATCH($B299,'المواد الخام'!$A$5:$A$104,0)),IFERROR(INDEX(المنتجات!$C$5:$C$24,MATCH($B299,المنتجات!$A$5:$A$24,0)),"كود غير موجود")))</f>
        <v/>
      </c>
      <c r="D299" s="27" t="str">
        <f aca="false">IF($B299="","",IFERROR(INDEX('المواد الخام'!$L$5:$L$104,MATCH($B299,'المواد الخام'!$A$5:$A$104,0)),IFERROR(INDEX(المنتجات!$P$5:$P$24,MATCH($B299,المنتجات!$A$5:$A$24,0)),0)))</f>
        <v/>
      </c>
      <c r="E299" s="24"/>
      <c r="F299" s="27" t="str">
        <f aca="false">IF(OR($B299="",E299=""),"",E299-D299)</f>
        <v/>
      </c>
      <c r="G299" s="28" t="str">
        <f aca="false">IF(F299="","",IF(F299=0,"مطابق",IF(F299&gt;0,"سجّل تسوية زيادة","سجّل تسوية نقص")))</f>
        <v/>
      </c>
      <c r="H299" s="29"/>
    </row>
    <row r="300" customFormat="false" ht="15" hidden="false" customHeight="false" outlineLevel="0" collapsed="false">
      <c r="A300" s="32"/>
      <c r="B300" s="29"/>
      <c r="C300" s="28" t="str">
        <f aca="false">IF($B300="","",IFERROR(INDEX('المواد الخام'!$B$5:$B$104,MATCH($B300,'المواد الخام'!$A$5:$A$104,0)),IFERROR(INDEX(المنتجات!$C$5:$C$24,MATCH($B300,المنتجات!$A$5:$A$24,0)),"كود غير موجود")))</f>
        <v/>
      </c>
      <c r="D300" s="27" t="str">
        <f aca="false">IF($B300="","",IFERROR(INDEX('المواد الخام'!$L$5:$L$104,MATCH($B300,'المواد الخام'!$A$5:$A$104,0)),IFERROR(INDEX(المنتجات!$P$5:$P$24,MATCH($B300,المنتجات!$A$5:$A$24,0)),0)))</f>
        <v/>
      </c>
      <c r="E300" s="24"/>
      <c r="F300" s="27" t="str">
        <f aca="false">IF(OR($B300="",E300=""),"",E300-D300)</f>
        <v/>
      </c>
      <c r="G300" s="28" t="str">
        <f aca="false">IF(F300="","",IF(F300=0,"مطابق",IF(F300&gt;0,"سجّل تسوية زيادة","سجّل تسوية نقص")))</f>
        <v/>
      </c>
      <c r="H300" s="29"/>
    </row>
    <row r="301" customFormat="false" ht="15" hidden="false" customHeight="false" outlineLevel="0" collapsed="false">
      <c r="A301" s="32"/>
      <c r="B301" s="29"/>
      <c r="C301" s="28" t="str">
        <f aca="false">IF($B301="","",IFERROR(INDEX('المواد الخام'!$B$5:$B$104,MATCH($B301,'المواد الخام'!$A$5:$A$104,0)),IFERROR(INDEX(المنتجات!$C$5:$C$24,MATCH($B301,المنتجات!$A$5:$A$24,0)),"كود غير موجود")))</f>
        <v/>
      </c>
      <c r="D301" s="27" t="str">
        <f aca="false">IF($B301="","",IFERROR(INDEX('المواد الخام'!$L$5:$L$104,MATCH($B301,'المواد الخام'!$A$5:$A$104,0)),IFERROR(INDEX(المنتجات!$P$5:$P$24,MATCH($B301,المنتجات!$A$5:$A$24,0)),0)))</f>
        <v/>
      </c>
      <c r="E301" s="24"/>
      <c r="F301" s="27" t="str">
        <f aca="false">IF(OR($B301="",E301=""),"",E301-D301)</f>
        <v/>
      </c>
      <c r="G301" s="28" t="str">
        <f aca="false">IF(F301="","",IF(F301=0,"مطابق",IF(F301&gt;0,"سجّل تسوية زيادة","سجّل تسوية نقص")))</f>
        <v/>
      </c>
      <c r="H301" s="29"/>
    </row>
    <row r="302" customFormat="false" ht="15" hidden="false" customHeight="false" outlineLevel="0" collapsed="false">
      <c r="A302" s="32"/>
      <c r="B302" s="29"/>
      <c r="C302" s="28" t="str">
        <f aca="false">IF($B302="","",IFERROR(INDEX('المواد الخام'!$B$5:$B$104,MATCH($B302,'المواد الخام'!$A$5:$A$104,0)),IFERROR(INDEX(المنتجات!$C$5:$C$24,MATCH($B302,المنتجات!$A$5:$A$24,0)),"كود غير موجود")))</f>
        <v/>
      </c>
      <c r="D302" s="27" t="str">
        <f aca="false">IF($B302="","",IFERROR(INDEX('المواد الخام'!$L$5:$L$104,MATCH($B302,'المواد الخام'!$A$5:$A$104,0)),IFERROR(INDEX(المنتجات!$P$5:$P$24,MATCH($B302,المنتجات!$A$5:$A$24,0)),0)))</f>
        <v/>
      </c>
      <c r="E302" s="24"/>
      <c r="F302" s="27" t="str">
        <f aca="false">IF(OR($B302="",E302=""),"",E302-D302)</f>
        <v/>
      </c>
      <c r="G302" s="28" t="str">
        <f aca="false">IF(F302="","",IF(F302=0,"مطابق",IF(F302&gt;0,"سجّل تسوية زيادة","سجّل تسوية نقص")))</f>
        <v/>
      </c>
      <c r="H302" s="29"/>
    </row>
    <row r="303" customFormat="false" ht="15" hidden="false" customHeight="false" outlineLevel="0" collapsed="false">
      <c r="A303" s="32"/>
      <c r="B303" s="29"/>
      <c r="C303" s="28" t="str">
        <f aca="false">IF($B303="","",IFERROR(INDEX('المواد الخام'!$B$5:$B$104,MATCH($B303,'المواد الخام'!$A$5:$A$104,0)),IFERROR(INDEX(المنتجات!$C$5:$C$24,MATCH($B303,المنتجات!$A$5:$A$24,0)),"كود غير موجود")))</f>
        <v/>
      </c>
      <c r="D303" s="27" t="str">
        <f aca="false">IF($B303="","",IFERROR(INDEX('المواد الخام'!$L$5:$L$104,MATCH($B303,'المواد الخام'!$A$5:$A$104,0)),IFERROR(INDEX(المنتجات!$P$5:$P$24,MATCH($B303,المنتجات!$A$5:$A$24,0)),0)))</f>
        <v/>
      </c>
      <c r="E303" s="24"/>
      <c r="F303" s="27" t="str">
        <f aca="false">IF(OR($B303="",E303=""),"",E303-D303)</f>
        <v/>
      </c>
      <c r="G303" s="28" t="str">
        <f aca="false">IF(F303="","",IF(F303=0,"مطابق",IF(F303&gt;0,"سجّل تسوية زيادة","سجّل تسوية نقص")))</f>
        <v/>
      </c>
      <c r="H303" s="29"/>
    </row>
    <row r="304" customFormat="false" ht="15" hidden="false" customHeight="false" outlineLevel="0" collapsed="false">
      <c r="A304" s="32"/>
      <c r="B304" s="29"/>
      <c r="C304" s="28" t="str">
        <f aca="false">IF($B304="","",IFERROR(INDEX('المواد الخام'!$B$5:$B$104,MATCH($B304,'المواد الخام'!$A$5:$A$104,0)),IFERROR(INDEX(المنتجات!$C$5:$C$24,MATCH($B304,المنتجات!$A$5:$A$24,0)),"كود غير موجود")))</f>
        <v/>
      </c>
      <c r="D304" s="27" t="str">
        <f aca="false">IF($B304="","",IFERROR(INDEX('المواد الخام'!$L$5:$L$104,MATCH($B304,'المواد الخام'!$A$5:$A$104,0)),IFERROR(INDEX(المنتجات!$P$5:$P$24,MATCH($B304,المنتجات!$A$5:$A$24,0)),0)))</f>
        <v/>
      </c>
      <c r="E304" s="24"/>
      <c r="F304" s="27" t="str">
        <f aca="false">IF(OR($B304="",E304=""),"",E304-D304)</f>
        <v/>
      </c>
      <c r="G304" s="28" t="str">
        <f aca="false">IF(F304="","",IF(F304=0,"مطابق",IF(F304&gt;0,"سجّل تسوية زيادة","سجّل تسوية نقص")))</f>
        <v/>
      </c>
      <c r="H304" s="29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B5:B304" type="list">
      <formula1>الإعدادات!$L$5:$L$124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10" min="5" style="0" width="20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33" t="s">
        <v>205</v>
      </c>
    </row>
    <row r="2" customFormat="false" ht="15" hidden="false" customHeight="false" outlineLevel="0" collapsed="false">
      <c r="A2" s="34" t="s">
        <v>206</v>
      </c>
    </row>
    <row r="4" customFormat="false" ht="15" hidden="false" customHeight="false" outlineLevel="0" collapsed="false">
      <c r="E4" s="9" t="s">
        <v>207</v>
      </c>
      <c r="F4" s="9" t="s">
        <v>208</v>
      </c>
      <c r="G4" s="9" t="s">
        <v>209</v>
      </c>
      <c r="H4" s="9" t="s">
        <v>210</v>
      </c>
      <c r="I4" s="9" t="s">
        <v>211</v>
      </c>
      <c r="J4" s="9" t="s">
        <v>212</v>
      </c>
      <c r="L4" s="35" t="s">
        <v>213</v>
      </c>
    </row>
    <row r="5" customFormat="false" ht="15" hidden="false" customHeight="false" outlineLevel="0" collapsed="false">
      <c r="B5" s="36" t="s">
        <v>214</v>
      </c>
      <c r="C5" s="37" t="n">
        <v>11.66</v>
      </c>
      <c r="E5" s="38" t="s">
        <v>74</v>
      </c>
      <c r="F5" s="38" t="s">
        <v>76</v>
      </c>
      <c r="G5" s="38" t="s">
        <v>215</v>
      </c>
      <c r="H5" s="38" t="s">
        <v>117</v>
      </c>
      <c r="I5" s="38" t="s">
        <v>216</v>
      </c>
      <c r="J5" s="38" t="s">
        <v>138</v>
      </c>
      <c r="L5" s="39" t="str">
        <f aca="false">IF('المواد الخام'!A5="","",'المواد الخام'!A5)</f>
        <v>RM-001</v>
      </c>
    </row>
    <row r="6" customFormat="false" ht="15" hidden="false" customHeight="false" outlineLevel="0" collapsed="false">
      <c r="E6" s="38" t="s">
        <v>83</v>
      </c>
      <c r="F6" s="38" t="s">
        <v>90</v>
      </c>
      <c r="G6" s="38" t="s">
        <v>217</v>
      </c>
      <c r="H6" s="38" t="s">
        <v>122</v>
      </c>
      <c r="I6" s="38" t="s">
        <v>218</v>
      </c>
      <c r="J6" s="38" t="s">
        <v>158</v>
      </c>
      <c r="L6" s="39" t="str">
        <f aca="false">IF('المواد الخام'!A6="","",'المواد الخام'!A6)</f>
        <v>RM-002</v>
      </c>
    </row>
    <row r="7" customFormat="false" ht="15" hidden="false" customHeight="false" outlineLevel="0" collapsed="false">
      <c r="E7" s="38" t="s">
        <v>88</v>
      </c>
      <c r="F7" s="38" t="s">
        <v>159</v>
      </c>
      <c r="G7" s="38" t="s">
        <v>219</v>
      </c>
      <c r="H7" s="38"/>
      <c r="I7" s="38" t="s">
        <v>220</v>
      </c>
      <c r="J7" s="38"/>
      <c r="L7" s="39" t="str">
        <f aca="false">IF('المواد الخام'!A7="","",'المواد الخام'!A7)</f>
        <v>RM-003</v>
      </c>
    </row>
    <row r="8" customFormat="false" ht="15" hidden="false" customHeight="false" outlineLevel="0" collapsed="false">
      <c r="E8" s="38" t="s">
        <v>96</v>
      </c>
      <c r="F8" s="38" t="s">
        <v>98</v>
      </c>
      <c r="G8" s="38" t="s">
        <v>221</v>
      </c>
      <c r="H8" s="38"/>
      <c r="I8" s="38" t="s">
        <v>222</v>
      </c>
      <c r="J8" s="38"/>
      <c r="L8" s="39" t="str">
        <f aca="false">IF('المواد الخام'!A8="","",'المواد الخام'!A8)</f>
        <v>RM-004</v>
      </c>
    </row>
    <row r="9" customFormat="false" ht="15" hidden="false" customHeight="false" outlineLevel="0" collapsed="false">
      <c r="E9" s="38"/>
      <c r="F9" s="38"/>
      <c r="G9" s="38" t="s">
        <v>223</v>
      </c>
      <c r="H9" s="38"/>
      <c r="I9" s="38" t="s">
        <v>224</v>
      </c>
      <c r="J9" s="38"/>
      <c r="L9" s="39" t="str">
        <f aca="false">IF('المواد الخام'!A9="","",'المواد الخام'!A9)</f>
        <v>RM-005</v>
      </c>
    </row>
    <row r="10" customFormat="false" ht="15" hidden="false" customHeight="false" outlineLevel="0" collapsed="false">
      <c r="E10" s="38"/>
      <c r="F10" s="38"/>
      <c r="G10" s="38"/>
      <c r="H10" s="38"/>
      <c r="I10" s="38" t="s">
        <v>225</v>
      </c>
      <c r="J10" s="38"/>
      <c r="L10" s="39" t="str">
        <f aca="false">IF('المواد الخام'!A10="","",'المواد الخام'!A10)</f>
        <v>RM-006</v>
      </c>
    </row>
    <row r="11" customFormat="false" ht="15" hidden="false" customHeight="false" outlineLevel="0" collapsed="false">
      <c r="E11" s="38"/>
      <c r="F11" s="38"/>
      <c r="G11" s="38"/>
      <c r="H11" s="38"/>
      <c r="I11" s="38" t="s">
        <v>226</v>
      </c>
      <c r="J11" s="38"/>
      <c r="L11" s="39" t="str">
        <f aca="false">IF('المواد الخام'!A11="","",'المواد الخام'!A11)</f>
        <v>RM-007</v>
      </c>
    </row>
    <row r="12" customFormat="false" ht="15" hidden="false" customHeight="false" outlineLevel="0" collapsed="false">
      <c r="E12" s="38"/>
      <c r="F12" s="38"/>
      <c r="G12" s="38"/>
      <c r="H12" s="38"/>
      <c r="I12" s="38"/>
      <c r="J12" s="38"/>
      <c r="L12" s="39" t="str">
        <f aca="false">IF('المواد الخام'!A12="","",'المواد الخام'!A12)</f>
        <v>RM-008</v>
      </c>
    </row>
    <row r="13" customFormat="false" ht="15" hidden="false" customHeight="false" outlineLevel="0" collapsed="false">
      <c r="E13" s="38"/>
      <c r="F13" s="38"/>
      <c r="G13" s="38"/>
      <c r="H13" s="38"/>
      <c r="I13" s="38"/>
      <c r="J13" s="38"/>
      <c r="L13" s="39" t="str">
        <f aca="false">IF('المواد الخام'!A13="","",'المواد الخام'!A13)</f>
        <v>RM-009</v>
      </c>
    </row>
    <row r="14" customFormat="false" ht="15" hidden="false" customHeight="false" outlineLevel="0" collapsed="false">
      <c r="E14" s="38"/>
      <c r="F14" s="38"/>
      <c r="G14" s="38"/>
      <c r="H14" s="38"/>
      <c r="I14" s="38"/>
      <c r="J14" s="38"/>
      <c r="L14" s="39" t="str">
        <f aca="false">IF('المواد الخام'!A14="","",'المواد الخام'!A14)</f>
        <v>RM-010</v>
      </c>
    </row>
    <row r="15" customFormat="false" ht="15" hidden="false" customHeight="false" outlineLevel="0" collapsed="false">
      <c r="E15" s="38"/>
      <c r="F15" s="38"/>
      <c r="G15" s="38"/>
      <c r="H15" s="38"/>
      <c r="I15" s="38"/>
      <c r="J15" s="38"/>
      <c r="L15" s="39" t="str">
        <f aca="false">IF('المواد الخام'!A15="","",'المواد الخام'!A15)</f>
        <v>PK-001</v>
      </c>
    </row>
    <row r="16" customFormat="false" ht="15" hidden="false" customHeight="false" outlineLevel="0" collapsed="false">
      <c r="E16" s="38"/>
      <c r="F16" s="38"/>
      <c r="G16" s="38"/>
      <c r="H16" s="38"/>
      <c r="I16" s="38"/>
      <c r="J16" s="38"/>
      <c r="L16" s="39" t="str">
        <f aca="false">IF('المواد الخام'!A16="","",'المواد الخام'!A16)</f>
        <v>PK-002</v>
      </c>
    </row>
    <row r="17" customFormat="false" ht="15" hidden="false" customHeight="false" outlineLevel="0" collapsed="false">
      <c r="L17" s="39" t="str">
        <f aca="false">IF('المواد الخام'!A17="","",'المواد الخام'!A17)</f>
        <v>PK-003</v>
      </c>
    </row>
    <row r="18" customFormat="false" ht="15" hidden="false" customHeight="false" outlineLevel="0" collapsed="false">
      <c r="L18" s="39" t="str">
        <f aca="false">IF('المواد الخام'!A18="","",'المواد الخام'!A18)</f>
        <v>PK-004</v>
      </c>
    </row>
    <row r="19" customFormat="false" ht="15" hidden="false" customHeight="false" outlineLevel="0" collapsed="false">
      <c r="L19" s="39" t="str">
        <f aca="false">IF('المواد الخام'!A19="","",'المواد الخام'!A19)</f>
        <v>PK-005</v>
      </c>
    </row>
    <row r="20" customFormat="false" ht="15" hidden="false" customHeight="false" outlineLevel="0" collapsed="false">
      <c r="L20" s="39" t="str">
        <f aca="false">IF('المواد الخام'!A20="","",'المواد الخام'!A20)</f>
        <v>PK-006</v>
      </c>
    </row>
    <row r="21" customFormat="false" ht="15" hidden="false" customHeight="false" outlineLevel="0" collapsed="false">
      <c r="L21" s="39" t="str">
        <f aca="false">IF('المواد الخام'!A21="","",'المواد الخام'!A21)</f>
        <v>PK-007</v>
      </c>
    </row>
    <row r="22" customFormat="false" ht="15" hidden="false" customHeight="false" outlineLevel="0" collapsed="false">
      <c r="L22" s="39" t="str">
        <f aca="false">IF('المواد الخام'!A22="","",'المواد الخام'!A22)</f>
        <v>PK-008</v>
      </c>
    </row>
    <row r="23" customFormat="false" ht="15" hidden="false" customHeight="false" outlineLevel="0" collapsed="false">
      <c r="L23" s="39" t="str">
        <f aca="false">IF('المواد الخام'!A23="","",'المواد الخام'!A23)</f>
        <v>PK-009</v>
      </c>
    </row>
    <row r="24" customFormat="false" ht="15" hidden="false" customHeight="false" outlineLevel="0" collapsed="false">
      <c r="L24" s="39" t="str">
        <f aca="false">IF('المواد الخام'!A24="","",'المواد الخام'!A24)</f>
        <v/>
      </c>
    </row>
    <row r="25" customFormat="false" ht="15" hidden="false" customHeight="false" outlineLevel="0" collapsed="false">
      <c r="L25" s="39" t="str">
        <f aca="false">IF('المواد الخام'!A25="","",'المواد الخام'!A25)</f>
        <v/>
      </c>
    </row>
    <row r="26" customFormat="false" ht="15" hidden="false" customHeight="false" outlineLevel="0" collapsed="false">
      <c r="L26" s="39" t="str">
        <f aca="false">IF('المواد الخام'!A26="","",'المواد الخام'!A26)</f>
        <v/>
      </c>
    </row>
    <row r="27" customFormat="false" ht="15" hidden="false" customHeight="false" outlineLevel="0" collapsed="false">
      <c r="L27" s="39" t="str">
        <f aca="false">IF('المواد الخام'!A27="","",'المواد الخام'!A27)</f>
        <v/>
      </c>
    </row>
    <row r="28" customFormat="false" ht="15" hidden="false" customHeight="false" outlineLevel="0" collapsed="false">
      <c r="L28" s="39" t="str">
        <f aca="false">IF('المواد الخام'!A28="","",'المواد الخام'!A28)</f>
        <v/>
      </c>
    </row>
    <row r="29" customFormat="false" ht="15" hidden="false" customHeight="false" outlineLevel="0" collapsed="false">
      <c r="L29" s="39" t="str">
        <f aca="false">IF('المواد الخام'!A29="","",'المواد الخام'!A29)</f>
        <v/>
      </c>
    </row>
    <row r="30" customFormat="false" ht="15" hidden="false" customHeight="false" outlineLevel="0" collapsed="false">
      <c r="L30" s="39" t="str">
        <f aca="false">IF('المواد الخام'!A30="","",'المواد الخام'!A30)</f>
        <v/>
      </c>
    </row>
    <row r="31" customFormat="false" ht="15" hidden="false" customHeight="false" outlineLevel="0" collapsed="false">
      <c r="L31" s="39" t="str">
        <f aca="false">IF('المواد الخام'!A31="","",'المواد الخام'!A31)</f>
        <v/>
      </c>
    </row>
    <row r="32" customFormat="false" ht="15" hidden="false" customHeight="false" outlineLevel="0" collapsed="false">
      <c r="L32" s="39" t="str">
        <f aca="false">IF('المواد الخام'!A32="","",'المواد الخام'!A32)</f>
        <v/>
      </c>
    </row>
    <row r="33" customFormat="false" ht="15" hidden="false" customHeight="false" outlineLevel="0" collapsed="false">
      <c r="L33" s="39" t="str">
        <f aca="false">IF('المواد الخام'!A33="","",'المواد الخام'!A33)</f>
        <v/>
      </c>
    </row>
    <row r="34" customFormat="false" ht="15" hidden="false" customHeight="false" outlineLevel="0" collapsed="false">
      <c r="L34" s="39" t="str">
        <f aca="false">IF('المواد الخام'!A34="","",'المواد الخام'!A34)</f>
        <v/>
      </c>
    </row>
    <row r="35" customFormat="false" ht="15" hidden="false" customHeight="false" outlineLevel="0" collapsed="false">
      <c r="L35" s="39" t="str">
        <f aca="false">IF('المواد الخام'!A35="","",'المواد الخام'!A35)</f>
        <v/>
      </c>
    </row>
    <row r="36" customFormat="false" ht="15" hidden="false" customHeight="false" outlineLevel="0" collapsed="false">
      <c r="L36" s="39" t="str">
        <f aca="false">IF('المواد الخام'!A36="","",'المواد الخام'!A36)</f>
        <v/>
      </c>
    </row>
    <row r="37" customFormat="false" ht="15" hidden="false" customHeight="false" outlineLevel="0" collapsed="false">
      <c r="L37" s="39" t="str">
        <f aca="false">IF('المواد الخام'!A37="","",'المواد الخام'!A37)</f>
        <v/>
      </c>
    </row>
    <row r="38" customFormat="false" ht="15" hidden="false" customHeight="false" outlineLevel="0" collapsed="false">
      <c r="L38" s="39" t="str">
        <f aca="false">IF('المواد الخام'!A38="","",'المواد الخام'!A38)</f>
        <v/>
      </c>
    </row>
    <row r="39" customFormat="false" ht="15" hidden="false" customHeight="false" outlineLevel="0" collapsed="false">
      <c r="L39" s="39" t="str">
        <f aca="false">IF('المواد الخام'!A39="","",'المواد الخام'!A39)</f>
        <v/>
      </c>
    </row>
    <row r="40" customFormat="false" ht="15" hidden="false" customHeight="false" outlineLevel="0" collapsed="false">
      <c r="L40" s="39" t="str">
        <f aca="false">IF('المواد الخام'!A40="","",'المواد الخام'!A40)</f>
        <v/>
      </c>
    </row>
    <row r="41" customFormat="false" ht="15" hidden="false" customHeight="false" outlineLevel="0" collapsed="false">
      <c r="L41" s="39" t="str">
        <f aca="false">IF('المواد الخام'!A41="","",'المواد الخام'!A41)</f>
        <v/>
      </c>
    </row>
    <row r="42" customFormat="false" ht="15" hidden="false" customHeight="false" outlineLevel="0" collapsed="false">
      <c r="L42" s="39" t="str">
        <f aca="false">IF('المواد الخام'!A42="","",'المواد الخام'!A42)</f>
        <v/>
      </c>
    </row>
    <row r="43" customFormat="false" ht="15" hidden="false" customHeight="false" outlineLevel="0" collapsed="false">
      <c r="L43" s="39" t="str">
        <f aca="false">IF('المواد الخام'!A43="","",'المواد الخام'!A43)</f>
        <v/>
      </c>
    </row>
    <row r="44" customFormat="false" ht="15" hidden="false" customHeight="false" outlineLevel="0" collapsed="false">
      <c r="L44" s="39" t="str">
        <f aca="false">IF('المواد الخام'!A44="","",'المواد الخام'!A44)</f>
        <v/>
      </c>
    </row>
    <row r="45" customFormat="false" ht="15" hidden="false" customHeight="false" outlineLevel="0" collapsed="false">
      <c r="L45" s="39" t="str">
        <f aca="false">IF('المواد الخام'!A45="","",'المواد الخام'!A45)</f>
        <v/>
      </c>
    </row>
    <row r="46" customFormat="false" ht="15" hidden="false" customHeight="false" outlineLevel="0" collapsed="false">
      <c r="L46" s="39" t="str">
        <f aca="false">IF('المواد الخام'!A46="","",'المواد الخام'!A46)</f>
        <v/>
      </c>
    </row>
    <row r="47" customFormat="false" ht="15" hidden="false" customHeight="false" outlineLevel="0" collapsed="false">
      <c r="L47" s="39" t="str">
        <f aca="false">IF('المواد الخام'!A47="","",'المواد الخام'!A47)</f>
        <v/>
      </c>
    </row>
    <row r="48" customFormat="false" ht="15" hidden="false" customHeight="false" outlineLevel="0" collapsed="false">
      <c r="L48" s="39" t="str">
        <f aca="false">IF('المواد الخام'!A48="","",'المواد الخام'!A48)</f>
        <v/>
      </c>
    </row>
    <row r="49" customFormat="false" ht="15" hidden="false" customHeight="false" outlineLevel="0" collapsed="false">
      <c r="L49" s="39" t="str">
        <f aca="false">IF('المواد الخام'!A49="","",'المواد الخام'!A49)</f>
        <v/>
      </c>
    </row>
    <row r="50" customFormat="false" ht="15" hidden="false" customHeight="false" outlineLevel="0" collapsed="false">
      <c r="L50" s="39" t="str">
        <f aca="false">IF('المواد الخام'!A50="","",'المواد الخام'!A50)</f>
        <v/>
      </c>
    </row>
    <row r="51" customFormat="false" ht="15" hidden="false" customHeight="false" outlineLevel="0" collapsed="false">
      <c r="L51" s="39" t="str">
        <f aca="false">IF('المواد الخام'!A51="","",'المواد الخام'!A51)</f>
        <v/>
      </c>
    </row>
    <row r="52" customFormat="false" ht="15" hidden="false" customHeight="false" outlineLevel="0" collapsed="false">
      <c r="L52" s="39" t="str">
        <f aca="false">IF('المواد الخام'!A52="","",'المواد الخام'!A52)</f>
        <v/>
      </c>
    </row>
    <row r="53" customFormat="false" ht="15" hidden="false" customHeight="false" outlineLevel="0" collapsed="false">
      <c r="L53" s="39" t="str">
        <f aca="false">IF('المواد الخام'!A53="","",'المواد الخام'!A53)</f>
        <v/>
      </c>
    </row>
    <row r="54" customFormat="false" ht="15" hidden="false" customHeight="false" outlineLevel="0" collapsed="false">
      <c r="L54" s="39" t="str">
        <f aca="false">IF('المواد الخام'!A54="","",'المواد الخام'!A54)</f>
        <v/>
      </c>
    </row>
    <row r="55" customFormat="false" ht="15" hidden="false" customHeight="false" outlineLevel="0" collapsed="false">
      <c r="L55" s="39" t="str">
        <f aca="false">IF('المواد الخام'!A55="","",'المواد الخام'!A55)</f>
        <v/>
      </c>
    </row>
    <row r="56" customFormat="false" ht="15" hidden="false" customHeight="false" outlineLevel="0" collapsed="false">
      <c r="L56" s="39" t="str">
        <f aca="false">IF('المواد الخام'!A56="","",'المواد الخام'!A56)</f>
        <v/>
      </c>
    </row>
    <row r="57" customFormat="false" ht="15" hidden="false" customHeight="false" outlineLevel="0" collapsed="false">
      <c r="L57" s="39" t="str">
        <f aca="false">IF('المواد الخام'!A57="","",'المواد الخام'!A57)</f>
        <v/>
      </c>
    </row>
    <row r="58" customFormat="false" ht="15" hidden="false" customHeight="false" outlineLevel="0" collapsed="false">
      <c r="L58" s="39" t="str">
        <f aca="false">IF('المواد الخام'!A58="","",'المواد الخام'!A58)</f>
        <v/>
      </c>
    </row>
    <row r="59" customFormat="false" ht="15" hidden="false" customHeight="false" outlineLevel="0" collapsed="false">
      <c r="L59" s="39" t="str">
        <f aca="false">IF('المواد الخام'!A59="","",'المواد الخام'!A59)</f>
        <v/>
      </c>
    </row>
    <row r="60" customFormat="false" ht="15" hidden="false" customHeight="false" outlineLevel="0" collapsed="false">
      <c r="L60" s="39" t="str">
        <f aca="false">IF('المواد الخام'!A60="","",'المواد الخام'!A60)</f>
        <v/>
      </c>
    </row>
    <row r="61" customFormat="false" ht="15" hidden="false" customHeight="false" outlineLevel="0" collapsed="false">
      <c r="L61" s="39" t="str">
        <f aca="false">IF('المواد الخام'!A61="","",'المواد الخام'!A61)</f>
        <v/>
      </c>
    </row>
    <row r="62" customFormat="false" ht="15" hidden="false" customHeight="false" outlineLevel="0" collapsed="false">
      <c r="L62" s="39" t="str">
        <f aca="false">IF('المواد الخام'!A62="","",'المواد الخام'!A62)</f>
        <v/>
      </c>
    </row>
    <row r="63" customFormat="false" ht="15" hidden="false" customHeight="false" outlineLevel="0" collapsed="false">
      <c r="L63" s="39" t="str">
        <f aca="false">IF('المواد الخام'!A63="","",'المواد الخام'!A63)</f>
        <v/>
      </c>
    </row>
    <row r="64" customFormat="false" ht="15" hidden="false" customHeight="false" outlineLevel="0" collapsed="false">
      <c r="L64" s="39" t="str">
        <f aca="false">IF('المواد الخام'!A64="","",'المواد الخام'!A64)</f>
        <v/>
      </c>
    </row>
    <row r="65" customFormat="false" ht="15" hidden="false" customHeight="false" outlineLevel="0" collapsed="false">
      <c r="L65" s="39" t="str">
        <f aca="false">IF('المواد الخام'!A65="","",'المواد الخام'!A65)</f>
        <v/>
      </c>
    </row>
    <row r="66" customFormat="false" ht="15" hidden="false" customHeight="false" outlineLevel="0" collapsed="false">
      <c r="L66" s="39" t="str">
        <f aca="false">IF('المواد الخام'!A66="","",'المواد الخام'!A66)</f>
        <v/>
      </c>
    </row>
    <row r="67" customFormat="false" ht="15" hidden="false" customHeight="false" outlineLevel="0" collapsed="false">
      <c r="L67" s="39" t="str">
        <f aca="false">IF('المواد الخام'!A67="","",'المواد الخام'!A67)</f>
        <v/>
      </c>
    </row>
    <row r="68" customFormat="false" ht="15" hidden="false" customHeight="false" outlineLevel="0" collapsed="false">
      <c r="L68" s="39" t="str">
        <f aca="false">IF('المواد الخام'!A68="","",'المواد الخام'!A68)</f>
        <v/>
      </c>
    </row>
    <row r="69" customFormat="false" ht="15" hidden="false" customHeight="false" outlineLevel="0" collapsed="false">
      <c r="L69" s="39" t="str">
        <f aca="false">IF('المواد الخام'!A69="","",'المواد الخام'!A69)</f>
        <v/>
      </c>
    </row>
    <row r="70" customFormat="false" ht="15" hidden="false" customHeight="false" outlineLevel="0" collapsed="false">
      <c r="L70" s="39" t="str">
        <f aca="false">IF('المواد الخام'!A70="","",'المواد الخام'!A70)</f>
        <v/>
      </c>
    </row>
    <row r="71" customFormat="false" ht="15" hidden="false" customHeight="false" outlineLevel="0" collapsed="false">
      <c r="L71" s="39" t="str">
        <f aca="false">IF('المواد الخام'!A71="","",'المواد الخام'!A71)</f>
        <v/>
      </c>
    </row>
    <row r="72" customFormat="false" ht="15" hidden="false" customHeight="false" outlineLevel="0" collapsed="false">
      <c r="L72" s="39" t="str">
        <f aca="false">IF('المواد الخام'!A72="","",'المواد الخام'!A72)</f>
        <v/>
      </c>
    </row>
    <row r="73" customFormat="false" ht="15" hidden="false" customHeight="false" outlineLevel="0" collapsed="false">
      <c r="L73" s="39" t="str">
        <f aca="false">IF('المواد الخام'!A73="","",'المواد الخام'!A73)</f>
        <v/>
      </c>
    </row>
    <row r="74" customFormat="false" ht="15" hidden="false" customHeight="false" outlineLevel="0" collapsed="false">
      <c r="L74" s="39" t="str">
        <f aca="false">IF('المواد الخام'!A74="","",'المواد الخام'!A74)</f>
        <v/>
      </c>
    </row>
    <row r="75" customFormat="false" ht="15" hidden="false" customHeight="false" outlineLevel="0" collapsed="false">
      <c r="L75" s="39" t="str">
        <f aca="false">IF('المواد الخام'!A75="","",'المواد الخام'!A75)</f>
        <v/>
      </c>
    </row>
    <row r="76" customFormat="false" ht="15" hidden="false" customHeight="false" outlineLevel="0" collapsed="false">
      <c r="L76" s="39" t="str">
        <f aca="false">IF('المواد الخام'!A76="","",'المواد الخام'!A76)</f>
        <v/>
      </c>
    </row>
    <row r="77" customFormat="false" ht="15" hidden="false" customHeight="false" outlineLevel="0" collapsed="false">
      <c r="L77" s="39" t="str">
        <f aca="false">IF('المواد الخام'!A77="","",'المواد الخام'!A77)</f>
        <v/>
      </c>
    </row>
    <row r="78" customFormat="false" ht="15" hidden="false" customHeight="false" outlineLevel="0" collapsed="false">
      <c r="L78" s="39" t="str">
        <f aca="false">IF('المواد الخام'!A78="","",'المواد الخام'!A78)</f>
        <v/>
      </c>
    </row>
    <row r="79" customFormat="false" ht="15" hidden="false" customHeight="false" outlineLevel="0" collapsed="false">
      <c r="L79" s="39" t="str">
        <f aca="false">IF('المواد الخام'!A79="","",'المواد الخام'!A79)</f>
        <v/>
      </c>
    </row>
    <row r="80" customFormat="false" ht="15" hidden="false" customHeight="false" outlineLevel="0" collapsed="false">
      <c r="L80" s="39" t="str">
        <f aca="false">IF('المواد الخام'!A80="","",'المواد الخام'!A80)</f>
        <v/>
      </c>
    </row>
    <row r="81" customFormat="false" ht="15" hidden="false" customHeight="false" outlineLevel="0" collapsed="false">
      <c r="L81" s="39" t="str">
        <f aca="false">IF('المواد الخام'!A81="","",'المواد الخام'!A81)</f>
        <v/>
      </c>
    </row>
    <row r="82" customFormat="false" ht="15" hidden="false" customHeight="false" outlineLevel="0" collapsed="false">
      <c r="L82" s="39" t="str">
        <f aca="false">IF('المواد الخام'!A82="","",'المواد الخام'!A82)</f>
        <v/>
      </c>
    </row>
    <row r="83" customFormat="false" ht="15" hidden="false" customHeight="false" outlineLevel="0" collapsed="false">
      <c r="L83" s="39" t="str">
        <f aca="false">IF('المواد الخام'!A83="","",'المواد الخام'!A83)</f>
        <v/>
      </c>
    </row>
    <row r="84" customFormat="false" ht="15" hidden="false" customHeight="false" outlineLevel="0" collapsed="false">
      <c r="L84" s="39" t="str">
        <f aca="false">IF('المواد الخام'!A84="","",'المواد الخام'!A84)</f>
        <v/>
      </c>
    </row>
    <row r="85" customFormat="false" ht="15" hidden="false" customHeight="false" outlineLevel="0" collapsed="false">
      <c r="L85" s="39" t="str">
        <f aca="false">IF('المواد الخام'!A85="","",'المواد الخام'!A85)</f>
        <v/>
      </c>
    </row>
    <row r="86" customFormat="false" ht="15" hidden="false" customHeight="false" outlineLevel="0" collapsed="false">
      <c r="L86" s="39" t="str">
        <f aca="false">IF('المواد الخام'!A86="","",'المواد الخام'!A86)</f>
        <v/>
      </c>
    </row>
    <row r="87" customFormat="false" ht="15" hidden="false" customHeight="false" outlineLevel="0" collapsed="false">
      <c r="L87" s="39" t="str">
        <f aca="false">IF('المواد الخام'!A87="","",'المواد الخام'!A87)</f>
        <v/>
      </c>
    </row>
    <row r="88" customFormat="false" ht="15" hidden="false" customHeight="false" outlineLevel="0" collapsed="false">
      <c r="L88" s="39" t="str">
        <f aca="false">IF('المواد الخام'!A88="","",'المواد الخام'!A88)</f>
        <v/>
      </c>
    </row>
    <row r="89" customFormat="false" ht="15" hidden="false" customHeight="false" outlineLevel="0" collapsed="false">
      <c r="L89" s="39" t="str">
        <f aca="false">IF('المواد الخام'!A89="","",'المواد الخام'!A89)</f>
        <v/>
      </c>
    </row>
    <row r="90" customFormat="false" ht="15" hidden="false" customHeight="false" outlineLevel="0" collapsed="false">
      <c r="L90" s="39" t="str">
        <f aca="false">IF('المواد الخام'!A90="","",'المواد الخام'!A90)</f>
        <v/>
      </c>
    </row>
    <row r="91" customFormat="false" ht="15" hidden="false" customHeight="false" outlineLevel="0" collapsed="false">
      <c r="L91" s="39" t="str">
        <f aca="false">IF('المواد الخام'!A91="","",'المواد الخام'!A91)</f>
        <v/>
      </c>
    </row>
    <row r="92" customFormat="false" ht="15" hidden="false" customHeight="false" outlineLevel="0" collapsed="false">
      <c r="L92" s="39" t="str">
        <f aca="false">IF('المواد الخام'!A92="","",'المواد الخام'!A92)</f>
        <v/>
      </c>
    </row>
    <row r="93" customFormat="false" ht="15" hidden="false" customHeight="false" outlineLevel="0" collapsed="false">
      <c r="L93" s="39" t="str">
        <f aca="false">IF('المواد الخام'!A93="","",'المواد الخام'!A93)</f>
        <v/>
      </c>
    </row>
    <row r="94" customFormat="false" ht="15" hidden="false" customHeight="false" outlineLevel="0" collapsed="false">
      <c r="L94" s="39" t="str">
        <f aca="false">IF('المواد الخام'!A94="","",'المواد الخام'!A94)</f>
        <v/>
      </c>
    </row>
    <row r="95" customFormat="false" ht="15" hidden="false" customHeight="false" outlineLevel="0" collapsed="false">
      <c r="L95" s="39" t="str">
        <f aca="false">IF('المواد الخام'!A95="","",'المواد الخام'!A95)</f>
        <v/>
      </c>
    </row>
    <row r="96" customFormat="false" ht="15" hidden="false" customHeight="false" outlineLevel="0" collapsed="false">
      <c r="L96" s="39" t="str">
        <f aca="false">IF('المواد الخام'!A96="","",'المواد الخام'!A96)</f>
        <v/>
      </c>
    </row>
    <row r="97" customFormat="false" ht="15" hidden="false" customHeight="false" outlineLevel="0" collapsed="false">
      <c r="L97" s="39" t="str">
        <f aca="false">IF('المواد الخام'!A97="","",'المواد الخام'!A97)</f>
        <v/>
      </c>
    </row>
    <row r="98" customFormat="false" ht="15" hidden="false" customHeight="false" outlineLevel="0" collapsed="false">
      <c r="L98" s="39" t="str">
        <f aca="false">IF('المواد الخام'!A98="","",'المواد الخام'!A98)</f>
        <v/>
      </c>
    </row>
    <row r="99" customFormat="false" ht="15" hidden="false" customHeight="false" outlineLevel="0" collapsed="false">
      <c r="L99" s="39" t="str">
        <f aca="false">IF('المواد الخام'!A99="","",'المواد الخام'!A99)</f>
        <v/>
      </c>
    </row>
    <row r="100" customFormat="false" ht="15" hidden="false" customHeight="false" outlineLevel="0" collapsed="false">
      <c r="L100" s="39" t="str">
        <f aca="false">IF('المواد الخام'!A100="","",'المواد الخام'!A100)</f>
        <v/>
      </c>
    </row>
    <row r="101" customFormat="false" ht="15" hidden="false" customHeight="false" outlineLevel="0" collapsed="false">
      <c r="L101" s="39" t="str">
        <f aca="false">IF('المواد الخام'!A101="","",'المواد الخام'!A101)</f>
        <v/>
      </c>
    </row>
    <row r="102" customFormat="false" ht="15" hidden="false" customHeight="false" outlineLevel="0" collapsed="false">
      <c r="L102" s="39" t="str">
        <f aca="false">IF('المواد الخام'!A102="","",'المواد الخام'!A102)</f>
        <v/>
      </c>
    </row>
    <row r="103" customFormat="false" ht="15" hidden="false" customHeight="false" outlineLevel="0" collapsed="false">
      <c r="L103" s="39" t="str">
        <f aca="false">IF('المواد الخام'!A103="","",'المواد الخام'!A103)</f>
        <v/>
      </c>
    </row>
    <row r="104" customFormat="false" ht="15" hidden="false" customHeight="false" outlineLevel="0" collapsed="false">
      <c r="L104" s="39" t="str">
        <f aca="false">IF('المواد الخام'!A104="","",'المواد الخام'!A104)</f>
        <v/>
      </c>
    </row>
    <row r="105" customFormat="false" ht="15" hidden="false" customHeight="false" outlineLevel="0" collapsed="false">
      <c r="L105" s="39" t="str">
        <f aca="false">IF(المنتجات!A5="","",المنتجات!A5)</f>
        <v>MA-01</v>
      </c>
    </row>
    <row r="106" customFormat="false" ht="15" hidden="false" customHeight="false" outlineLevel="0" collapsed="false">
      <c r="L106" s="39" t="str">
        <f aca="false">IF(المنتجات!A6="","",المنتجات!A6)</f>
        <v>MA-02</v>
      </c>
    </row>
    <row r="107" customFormat="false" ht="15" hidden="false" customHeight="false" outlineLevel="0" collapsed="false">
      <c r="L107" s="39" t="str">
        <f aca="false">IF(المنتجات!A7="","",المنتجات!A7)</f>
        <v>MA-03</v>
      </c>
    </row>
    <row r="108" customFormat="false" ht="15" hidden="false" customHeight="false" outlineLevel="0" collapsed="false">
      <c r="L108" s="39" t="str">
        <f aca="false">IF(المنتجات!A8="","",المنتجات!A8)</f>
        <v>OU-01</v>
      </c>
    </row>
    <row r="109" customFormat="false" ht="15" hidden="false" customHeight="false" outlineLevel="0" collapsed="false">
      <c r="L109" s="39" t="str">
        <f aca="false">IF(المنتجات!A9="","",المنتجات!A9)</f>
        <v>OU-02</v>
      </c>
    </row>
    <row r="110" customFormat="false" ht="15" hidden="false" customHeight="false" outlineLevel="0" collapsed="false">
      <c r="L110" s="39" t="str">
        <f aca="false">IF(المنتجات!A10="","",المنتجات!A10)</f>
        <v>SP-01</v>
      </c>
    </row>
    <row r="111" customFormat="false" ht="15" hidden="false" customHeight="false" outlineLevel="0" collapsed="false">
      <c r="L111" s="39" t="str">
        <f aca="false">IF(المنتجات!A11="","",المنتجات!A11)</f>
        <v>SP-02</v>
      </c>
    </row>
    <row r="112" customFormat="false" ht="15" hidden="false" customHeight="false" outlineLevel="0" collapsed="false">
      <c r="L112" s="39" t="str">
        <f aca="false">IF(المنتجات!A12="","",المنتجات!A12)</f>
        <v>SP-03</v>
      </c>
    </row>
    <row r="113" customFormat="false" ht="15" hidden="false" customHeight="false" outlineLevel="0" collapsed="false">
      <c r="L113" s="39" t="str">
        <f aca="false">IF(المنتجات!A13="","",المنتجات!A13)</f>
        <v>OI-01</v>
      </c>
    </row>
    <row r="114" customFormat="false" ht="15" hidden="false" customHeight="false" outlineLevel="0" collapsed="false">
      <c r="L114" s="39" t="str">
        <f aca="false">IF(المنتجات!A14="","",المنتجات!A14)</f>
        <v>OI-02</v>
      </c>
    </row>
    <row r="115" customFormat="false" ht="15" hidden="false" customHeight="false" outlineLevel="0" collapsed="false">
      <c r="L115" s="39" t="str">
        <f aca="false">IF(المنتجات!A15="","",المنتجات!A15)</f>
        <v>OI-03</v>
      </c>
    </row>
    <row r="116" customFormat="false" ht="15" hidden="false" customHeight="false" outlineLevel="0" collapsed="false">
      <c r="L116" s="39" t="str">
        <f aca="false">IF(المنتجات!A16="","",المنتجات!A16)</f>
        <v>OI-04</v>
      </c>
    </row>
    <row r="117" customFormat="false" ht="15" hidden="false" customHeight="false" outlineLevel="0" collapsed="false">
      <c r="L117" s="39" t="str">
        <f aca="false">IF(المنتجات!A17="","",المنتجات!A17)</f>
        <v/>
      </c>
    </row>
    <row r="118" customFormat="false" ht="15" hidden="false" customHeight="false" outlineLevel="0" collapsed="false">
      <c r="L118" s="39" t="str">
        <f aca="false">IF(المنتجات!A18="","",المنتجات!A18)</f>
        <v/>
      </c>
    </row>
    <row r="119" customFormat="false" ht="15" hidden="false" customHeight="false" outlineLevel="0" collapsed="false">
      <c r="L119" s="39" t="str">
        <f aca="false">IF(المنتجات!A19="","",المنتجات!A19)</f>
        <v/>
      </c>
    </row>
    <row r="120" customFormat="false" ht="15" hidden="false" customHeight="false" outlineLevel="0" collapsed="false">
      <c r="L120" s="39" t="str">
        <f aca="false">IF(المنتجات!A20="","",المنتجات!A20)</f>
        <v/>
      </c>
    </row>
    <row r="121" customFormat="false" ht="15" hidden="false" customHeight="false" outlineLevel="0" collapsed="false">
      <c r="L121" s="39" t="str">
        <f aca="false">IF(المنتجات!A21="","",المنتجات!A21)</f>
        <v/>
      </c>
    </row>
    <row r="122" customFormat="false" ht="15" hidden="false" customHeight="false" outlineLevel="0" collapsed="false">
      <c r="L122" s="39" t="str">
        <f aca="false">IF(المنتجات!A22="","",المنتجات!A22)</f>
        <v/>
      </c>
    </row>
    <row r="123" customFormat="false" ht="15" hidden="false" customHeight="false" outlineLevel="0" collapsed="false">
      <c r="L123" s="39" t="str">
        <f aca="false">IF(المنتجات!A23="","",المنتجات!A23)</f>
        <v/>
      </c>
    </row>
    <row r="124" customFormat="false" ht="15" hidden="false" customHeight="false" outlineLevel="0" collapsed="false">
      <c r="L124" s="39" t="str">
        <f aca="false">IF(المنتجات!A24="","",المنتجات!A24)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2026-10-17T17:02:18Z</dcterms:created>
  <dc:creator>openpyxl</dc:creator>
  <dc:description/>
  <dc:language>en-US</dc:language>
  <cp:lastModifiedBy/>
  <dcterms:modified xsi:type="dcterms:W3CDTF">2026-10-17T17:02:22Z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