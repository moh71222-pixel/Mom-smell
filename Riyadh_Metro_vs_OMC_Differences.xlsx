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arison" sheetId="2" state="visible" r:id="rId4"/>
    <sheet name="P&amp;R" sheetId="3" state="visible" r:id="rId5"/>
    <sheet name="Data Issues" sheetId="4" state="visible" r:id="rId6"/>
  </sheets>
  <definedNames>
    <definedName function="false" hidden="true" localSheetId="1" name="_xlnm._FilterDatabase" vbProcedure="false">Comparison!$A$2:$AD$94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<sst xmlns="http://schemas.openxmlformats.org/spreadsheetml/2006/main" count="967" uniqueCount="346">
  <si>
    <t xml:space="preserve">ملخص الفوارق بين ملف المحطات وملف OMC Staff Per Shift</t>
  </si>
  <si>
    <t xml:space="preserve">البند</t>
  </si>
  <si>
    <t xml:space="preserve">Line 1</t>
  </si>
  <si>
    <t xml:space="preserve">Line 2</t>
  </si>
  <si>
    <t xml:space="preserve">Line 3</t>
  </si>
  <si>
    <t xml:space="preserve">Line 4</t>
  </si>
  <si>
    <t xml:space="preserve">Line 5</t>
  </si>
  <si>
    <t xml:space="preserve">Line 6</t>
  </si>
  <si>
    <t xml:space="preserve">المجموع</t>
  </si>
  <si>
    <t xml:space="preserve">نوع المحطة</t>
  </si>
  <si>
    <t xml:space="preserve">تشغيل 24 ساعة</t>
  </si>
  <si>
    <t xml:space="preserve">عدد الأرصفة</t>
  </si>
  <si>
    <t xml:space="preserve">مكاتب التذاكر</t>
  </si>
  <si>
    <t xml:space="preserve">إجمالي بوابات AFC</t>
  </si>
  <si>
    <t xml:space="preserve">بنوك AFC / Ticket Barriers</t>
  </si>
  <si>
    <t xml:space="preserve">فرق في عدد حراس الأمن (OMC ≠ وردية E)</t>
  </si>
  <si>
    <t xml:space="preserve">عدد المحطات</t>
  </si>
  <si>
    <t xml:space="preserve">ملاحظات:</t>
  </si>
  <si>
    <t xml:space="preserve">• الأرقام أعلاه معادلات تُحسب تلقائياً من شيت Comparison (عدد الخانات المختلفة).</t>
  </si>
  <si>
    <t xml:space="preserve">• الخانات الحمراء في شيت Comparison = اختلاف بين الملفين.</t>
  </si>
  <si>
    <t xml:space="preserve">• بنوك AFC في الخطوط 3-6: ملف المحطات دائماً ضعف ملف OMC (عمود OMC اسمه Ticket Barriers) – يحتاج توحيد طريقة العد.</t>
  </si>
  <si>
    <t xml:space="preserve">• الأمن: ملف OMC = الحد الأدنى لكل وردية (مجموع بنود العقد)، وملف المحطات = حراس لكل وردية؛ المقارنة مع وردية E تقريبية.</t>
  </si>
  <si>
    <t xml:space="preserve">• تم استبعاد صفّي 4B1 و4C1 المكررين في قسم Line 6 بشيت FLOW (أرقامهم أصفار) – انظر شيت Data Issues.</t>
  </si>
  <si>
    <t xml:space="preserve">• المستودعات (Depots) موجودة في ملف المحطات فقط ولم تُدرج في المقارنة.</t>
  </si>
  <si>
    <t xml:space="preserve">Station</t>
  </si>
  <si>
    <t xml:space="preserve">Type</t>
  </si>
  <si>
    <t xml:space="preserve">24H</t>
  </si>
  <si>
    <t xml:space="preserve">Platforms</t>
  </si>
  <si>
    <t xml:space="preserve">Ticket Offices</t>
  </si>
  <si>
    <t xml:space="preserve">AFC Total</t>
  </si>
  <si>
    <t xml:space="preserve">AFC Bank / Ticket Barriers</t>
  </si>
  <si>
    <t xml:space="preserve">Security Guards</t>
  </si>
  <si>
    <t xml:space="preserve">Code</t>
  </si>
  <si>
    <t xml:space="preserve">Line</t>
  </si>
  <si>
    <t xml:space="preserve">Name – Stations file</t>
  </si>
  <si>
    <t xml:space="preserve">Name – OMC file</t>
  </si>
  <si>
    <t xml:space="preserve">OMC sheet</t>
  </si>
  <si>
    <t xml:space="preserve">Stations file</t>
  </si>
  <si>
    <t xml:space="preserve">OMC file</t>
  </si>
  <si>
    <t xml:space="preserve">Match</t>
  </si>
  <si>
    <t xml:space="preserve">SecG E-shift</t>
  </si>
  <si>
    <t xml:space="preserve">SecG L-shift</t>
  </si>
  <si>
    <t xml:space="preserve">SecG N-shift</t>
  </si>
  <si>
    <t xml:space="preserve">SecG Total/day</t>
  </si>
  <si>
    <t xml:space="preserve">OMC SecG per shift (incl. P&amp;R)</t>
  </si>
  <si>
    <t xml:space="preserve">Diff (OMC − E-shift)</t>
  </si>
  <si>
    <t xml:space="preserve">Total mismatches</t>
  </si>
  <si>
    <t xml:space="preserve">1Y1</t>
  </si>
  <si>
    <t xml:space="preserve">1Y1 - (SAB)</t>
  </si>
  <si>
    <t xml:space="preserve">SAB</t>
  </si>
  <si>
    <t xml:space="preserve">CAMCO</t>
  </si>
  <si>
    <t xml:space="preserve">E</t>
  </si>
  <si>
    <t xml:space="preserve">N</t>
  </si>
  <si>
    <t xml:space="preserve">1Z1</t>
  </si>
  <si>
    <t xml:space="preserve">1Z1 - (DR sulaiman al habib)</t>
  </si>
  <si>
    <t xml:space="preserve">Dr Suliman Habib</t>
  </si>
  <si>
    <t xml:space="preserve">1A1</t>
  </si>
  <si>
    <t xml:space="preserve">1A1 - (KAFD) ©</t>
  </si>
  <si>
    <t xml:space="preserve">KAFD</t>
  </si>
  <si>
    <t xml:space="preserve">1A2</t>
  </si>
  <si>
    <t xml:space="preserve">1A2 - (Al murooj)</t>
  </si>
  <si>
    <t xml:space="preserve">Al Murooj</t>
  </si>
  <si>
    <t xml:space="preserve">DU</t>
  </si>
  <si>
    <t xml:space="preserve">1B1</t>
  </si>
  <si>
    <t xml:space="preserve">1B1 - (King Fahad district)</t>
  </si>
  <si>
    <t xml:space="preserve">King Fahad District</t>
  </si>
  <si>
    <t xml:space="preserve">1B2</t>
  </si>
  <si>
    <t xml:space="preserve">1B2 - (King fahad district 2)</t>
  </si>
  <si>
    <t xml:space="preserve">King Fahad District 2</t>
  </si>
  <si>
    <t xml:space="preserve">1B3</t>
  </si>
  <si>
    <t xml:space="preserve">1B3 - (STC)</t>
  </si>
  <si>
    <t xml:space="preserve">STC</t>
  </si>
  <si>
    <t xml:space="preserve">1B4</t>
  </si>
  <si>
    <t xml:space="preserve">1B4 - (Al wurud 2)</t>
  </si>
  <si>
    <t xml:space="preserve">Al Wurud 2</t>
  </si>
  <si>
    <t xml:space="preserve">1C1</t>
  </si>
  <si>
    <t xml:space="preserve">1C1 - (Al Urubah)</t>
  </si>
  <si>
    <t xml:space="preserve">Al Urubah</t>
  </si>
  <si>
    <t xml:space="preserve">1C2</t>
  </si>
  <si>
    <t xml:space="preserve">1C2 - (Alinma bank)</t>
  </si>
  <si>
    <t xml:space="preserve">Alinma bank</t>
  </si>
  <si>
    <t xml:space="preserve">1C3</t>
  </si>
  <si>
    <t xml:space="preserve">1C3 - (Bank albilad)</t>
  </si>
  <si>
    <t xml:space="preserve">Bank Albilad</t>
  </si>
  <si>
    <t xml:space="preserve">1C4</t>
  </si>
  <si>
    <t xml:space="preserve">1C4 - (King fahad library)</t>
  </si>
  <si>
    <t xml:space="preserve">King Fahad Library</t>
  </si>
  <si>
    <t xml:space="preserve">1D2</t>
  </si>
  <si>
    <t xml:space="preserve">1D2 - (Ministry of inteior)</t>
  </si>
  <si>
    <t xml:space="preserve">Ministry of Interior</t>
  </si>
  <si>
    <t xml:space="preserve">1D5</t>
  </si>
  <si>
    <t xml:space="preserve">1D5 - (Al muorabba)</t>
  </si>
  <si>
    <t xml:space="preserve">Al Muorabaa</t>
  </si>
  <si>
    <t xml:space="preserve">1E2</t>
  </si>
  <si>
    <t xml:space="preserve">1E2 - (Passport Department)</t>
  </si>
  <si>
    <t xml:space="preserve">Passport Department</t>
  </si>
  <si>
    <t xml:space="preserve">1F4</t>
  </si>
  <si>
    <t xml:space="preserve">1F4 - (National museum)</t>
  </si>
  <si>
    <t xml:space="preserve">National Museum</t>
  </si>
  <si>
    <t xml:space="preserve">1F5</t>
  </si>
  <si>
    <t xml:space="preserve">1F5 - (Al bat'ha)</t>
  </si>
  <si>
    <t xml:space="preserve">Al Batha</t>
  </si>
  <si>
    <t xml:space="preserve">1F7</t>
  </si>
  <si>
    <t xml:space="preserve">1F7 - (Qasr al hokm)</t>
  </si>
  <si>
    <t xml:space="preserve">Qasr Al Hokm</t>
  </si>
  <si>
    <t xml:space="preserve">1F8</t>
  </si>
  <si>
    <t xml:space="preserve">1F8 - (Al owd) ‼24H</t>
  </si>
  <si>
    <t xml:space="preserve">Al Owd</t>
  </si>
  <si>
    <t xml:space="preserve">Y</t>
  </si>
  <si>
    <t xml:space="preserve">1F9</t>
  </si>
  <si>
    <t xml:space="preserve">1F9 - (Skirinah) ‼24H</t>
  </si>
  <si>
    <t xml:space="preserve">Skirina</t>
  </si>
  <si>
    <t xml:space="preserve">1G1</t>
  </si>
  <si>
    <t xml:space="preserve">1G1 - (Manfouhah)</t>
  </si>
  <si>
    <t xml:space="preserve">Manfouhah</t>
  </si>
  <si>
    <t xml:space="preserve">1G2</t>
  </si>
  <si>
    <t xml:space="preserve">1G2 - (Al iman hospital)</t>
  </si>
  <si>
    <t xml:space="preserve">Al Iman Hospital</t>
  </si>
  <si>
    <t xml:space="preserve">1H2</t>
  </si>
  <si>
    <t xml:space="preserve">1H2 - (Transportation Center)</t>
  </si>
  <si>
    <t xml:space="preserve">Transportation Center</t>
  </si>
  <si>
    <t xml:space="preserve">1J1</t>
  </si>
  <si>
    <t xml:space="preserve">1J1 - (Al aziziah)</t>
  </si>
  <si>
    <t xml:space="preserve">Al Aziziah</t>
  </si>
  <si>
    <t xml:space="preserve">1J2</t>
  </si>
  <si>
    <t xml:space="preserve">1J2 - (Ad dar al bida)</t>
  </si>
  <si>
    <t xml:space="preserve">Ad Dar Al Baida</t>
  </si>
  <si>
    <t xml:space="preserve">2A1</t>
  </si>
  <si>
    <t xml:space="preserve">2A1 - (King saud University) ‼24H</t>
  </si>
  <si>
    <t xml:space="preserve">King Saud University</t>
  </si>
  <si>
    <t xml:space="preserve">2A2</t>
  </si>
  <si>
    <t xml:space="preserve">2A2 - (King Salman oasis)</t>
  </si>
  <si>
    <t xml:space="preserve">King Salman Oasis</t>
  </si>
  <si>
    <t xml:space="preserve">2A3</t>
  </si>
  <si>
    <t xml:space="preserve">2A3 - (KACST)</t>
  </si>
  <si>
    <t xml:space="preserve">KACST</t>
  </si>
  <si>
    <t xml:space="preserve">SU</t>
  </si>
  <si>
    <t xml:space="preserve">2B1</t>
  </si>
  <si>
    <t xml:space="preserve">2B1 - (Takhasusi road)</t>
  </si>
  <si>
    <t xml:space="preserve">At Takhassussi</t>
  </si>
  <si>
    <t xml:space="preserve">2B2</t>
  </si>
  <si>
    <t xml:space="preserve">2B2 - (STC) ©</t>
  </si>
  <si>
    <t xml:space="preserve">2B4</t>
  </si>
  <si>
    <t xml:space="preserve">2B4 - (Al wurud) ‼24H</t>
  </si>
  <si>
    <t xml:space="preserve">Al Wurud</t>
  </si>
  <si>
    <t xml:space="preserve">2C1</t>
  </si>
  <si>
    <t xml:space="preserve">2C1 - (King Abdulaziz road)</t>
  </si>
  <si>
    <t xml:space="preserve">King Abdulaziz Road</t>
  </si>
  <si>
    <t xml:space="preserve">2C2</t>
  </si>
  <si>
    <t xml:space="preserve">2C2 - (Ministry of Education) ‼24H</t>
  </si>
  <si>
    <t xml:space="preserve">Ministry of Education</t>
  </si>
  <si>
    <t xml:space="preserve">AG</t>
  </si>
  <si>
    <t xml:space="preserve">2C4</t>
  </si>
  <si>
    <t xml:space="preserve">2C4 - (Alnuzhah station) ‼24H</t>
  </si>
  <si>
    <t xml:space="preserve">An Nuzhah</t>
  </si>
  <si>
    <t xml:space="preserve">2C3</t>
  </si>
  <si>
    <t xml:space="preserve">2C3 - (Riyadh exhibition centre) ‼24H</t>
  </si>
  <si>
    <t xml:space="preserve">Riyadh Exhibition Center</t>
  </si>
  <si>
    <t xml:space="preserve">2D2</t>
  </si>
  <si>
    <t xml:space="preserve">2D2 - (Khalid bin alwaleed road)</t>
  </si>
  <si>
    <t xml:space="preserve">Khalid Bin Alwaleed Road</t>
  </si>
  <si>
    <t xml:space="preserve">2E1</t>
  </si>
  <si>
    <t xml:space="preserve">2E1 - (Al hamra)</t>
  </si>
  <si>
    <t xml:space="preserve">Al Hamra</t>
  </si>
  <si>
    <t xml:space="preserve">2E2</t>
  </si>
  <si>
    <t xml:space="preserve">2E2 - (Alkhaleej)</t>
  </si>
  <si>
    <t xml:space="preserve">Al Kaleej</t>
  </si>
  <si>
    <t xml:space="preserve">2F1</t>
  </si>
  <si>
    <t xml:space="preserve">2F1 - (Ishbiliya) ‼24H</t>
  </si>
  <si>
    <t xml:space="preserve">Ishbiliyah</t>
  </si>
  <si>
    <t xml:space="preserve">2G1</t>
  </si>
  <si>
    <t xml:space="preserve">2G1 - (King fahad sport city)</t>
  </si>
  <si>
    <t xml:space="preserve">King Fahad Sport City</t>
  </si>
  <si>
    <t xml:space="preserve">3A1</t>
  </si>
  <si>
    <t xml:space="preserve">3A1 - (jeddah Rd)</t>
  </si>
  <si>
    <t xml:space="preserve">Jeddah Road</t>
  </si>
  <si>
    <t xml:space="preserve">FLOW</t>
  </si>
  <si>
    <t xml:space="preserve">3A2</t>
  </si>
  <si>
    <t xml:space="preserve">3A2 - (Tuwaiq)</t>
  </si>
  <si>
    <t xml:space="preserve">Tuwaiq</t>
  </si>
  <si>
    <t xml:space="preserve">3B1</t>
  </si>
  <si>
    <t xml:space="preserve">3B1 - (Ad Douh)</t>
  </si>
  <si>
    <t xml:space="preserve">Ad Douh</t>
  </si>
  <si>
    <t xml:space="preserve">3B2</t>
  </si>
  <si>
    <t xml:space="preserve">3B2 - (Wesern Station) ©</t>
  </si>
  <si>
    <t xml:space="preserve">Western Station</t>
  </si>
  <si>
    <t xml:space="preserve">3C2</t>
  </si>
  <si>
    <t xml:space="preserve">3C2 - (Aishah Bint abi bakr st)</t>
  </si>
  <si>
    <t xml:space="preserve">Aisha Bin Abi Bakr Street</t>
  </si>
  <si>
    <t xml:space="preserve">3D3</t>
  </si>
  <si>
    <t xml:space="preserve">3D3 - (Dhahrat al badiah)</t>
  </si>
  <si>
    <t xml:space="preserve">Dharat Al Badiah</t>
  </si>
  <si>
    <t xml:space="preserve">3D1</t>
  </si>
  <si>
    <t xml:space="preserve">3D1 - (Sultanah)</t>
  </si>
  <si>
    <t xml:space="preserve">Sultanah</t>
  </si>
  <si>
    <t xml:space="preserve">3D2</t>
  </si>
  <si>
    <t xml:space="preserve">3D2 - (Aljarradiyah)</t>
  </si>
  <si>
    <t xml:space="preserve">Al Jarradiyah</t>
  </si>
  <si>
    <t xml:space="preserve">3E1</t>
  </si>
  <si>
    <t xml:space="preserve">3E1 - (Courts Complex)</t>
  </si>
  <si>
    <t xml:space="preserve">Courts Complex</t>
  </si>
  <si>
    <t xml:space="preserve">3E2</t>
  </si>
  <si>
    <t xml:space="preserve">3E2 - (Qasr Al Hokm) ©</t>
  </si>
  <si>
    <t xml:space="preserve">3E3</t>
  </si>
  <si>
    <t xml:space="preserve">3E3 - (AL Hilla)</t>
  </si>
  <si>
    <t xml:space="preserve">Al Hilla</t>
  </si>
  <si>
    <t xml:space="preserve">3E4</t>
  </si>
  <si>
    <t xml:space="preserve">3E4 - (Al Margab)</t>
  </si>
  <si>
    <t xml:space="preserve">Al Margab</t>
  </si>
  <si>
    <t xml:space="preserve">3E5</t>
  </si>
  <si>
    <t xml:space="preserve">3E5 - (As Salhiyah)</t>
  </si>
  <si>
    <t xml:space="preserve">As Salhiya</t>
  </si>
  <si>
    <t xml:space="preserve">3E6</t>
  </si>
  <si>
    <t xml:space="preserve">3E6 - (First Industrial City)</t>
  </si>
  <si>
    <t xml:space="preserve">First Industrial City</t>
  </si>
  <si>
    <t xml:space="preserve">3F1</t>
  </si>
  <si>
    <t xml:space="preserve">3F1 - (Railway)</t>
  </si>
  <si>
    <t xml:space="preserve">Railway</t>
  </si>
  <si>
    <t xml:space="preserve">3F2</t>
  </si>
  <si>
    <t xml:space="preserve">3F2 - (Al malaz) ‼24H</t>
  </si>
  <si>
    <t xml:space="preserve">Al Malaz</t>
  </si>
  <si>
    <t xml:space="preserve">3G1</t>
  </si>
  <si>
    <t xml:space="preserve">3G1 - (Jarir District) ‼24H</t>
  </si>
  <si>
    <t xml:space="preserve">Jarir District</t>
  </si>
  <si>
    <t xml:space="preserve">3G2</t>
  </si>
  <si>
    <t xml:space="preserve">3G2 - (Al Rajhi Grand Mosque) ‼24H</t>
  </si>
  <si>
    <t xml:space="preserve">Al Rajhi Mosque</t>
  </si>
  <si>
    <t xml:space="preserve">3H1</t>
  </si>
  <si>
    <t xml:space="preserve">3H1 - (Harun Ar Rashid Rd)</t>
  </si>
  <si>
    <t xml:space="preserve">Harun al-Rashid Road</t>
  </si>
  <si>
    <t xml:space="preserve">3J1</t>
  </si>
  <si>
    <t xml:space="preserve">3J1 - (An Naseem) ‼24H</t>
  </si>
  <si>
    <t xml:space="preserve">An Naseem</t>
  </si>
  <si>
    <t xml:space="preserve">3J2</t>
  </si>
  <si>
    <t xml:space="preserve">3J2 - (Hassan Bin Thabit St) ‼24H</t>
  </si>
  <si>
    <t xml:space="preserve">Hassan Bin Thabit Street</t>
  </si>
  <si>
    <t xml:space="preserve">3K1</t>
  </si>
  <si>
    <t xml:space="preserve">3K1 - (Khashm Al An)</t>
  </si>
  <si>
    <t xml:space="preserve">Khashm Al An</t>
  </si>
  <si>
    <t xml:space="preserve">4A1</t>
  </si>
  <si>
    <t xml:space="preserve">4A1 - (KAFD)</t>
  </si>
  <si>
    <t xml:space="preserve">4B1</t>
  </si>
  <si>
    <t xml:space="preserve">4B1 - (Ar rabi) ‼24H</t>
  </si>
  <si>
    <t xml:space="preserve">Ar Rabi</t>
  </si>
  <si>
    <t xml:space="preserve">4C1</t>
  </si>
  <si>
    <t xml:space="preserve">4C1 - (Uthman bin affan) ‼24H</t>
  </si>
  <si>
    <t xml:space="preserve">Uthman bin Affan Road</t>
  </si>
  <si>
    <t xml:space="preserve">4C2</t>
  </si>
  <si>
    <t xml:space="preserve">4C2 - (Sabic) ‼24H</t>
  </si>
  <si>
    <t xml:space="preserve">Sabic</t>
  </si>
  <si>
    <t xml:space="preserve">4D1</t>
  </si>
  <si>
    <t xml:space="preserve">4D1 - (PNU 1)</t>
  </si>
  <si>
    <t xml:space="preserve">PNU 1</t>
  </si>
  <si>
    <t xml:space="preserve">4E1</t>
  </si>
  <si>
    <t xml:space="preserve">4E1 - (PNU 2) ‼24H</t>
  </si>
  <si>
    <t xml:space="preserve">PNU 2</t>
  </si>
  <si>
    <t xml:space="preserve">4G1</t>
  </si>
  <si>
    <t xml:space="preserve">4G1 - (Terminal 5)</t>
  </si>
  <si>
    <t xml:space="preserve">Airport T 5</t>
  </si>
  <si>
    <t xml:space="preserve">4G2</t>
  </si>
  <si>
    <t xml:space="preserve">4G2 - (Treminal 3-4)</t>
  </si>
  <si>
    <t xml:space="preserve">Airport T 3-4</t>
  </si>
  <si>
    <t xml:space="preserve">4G3</t>
  </si>
  <si>
    <t xml:space="preserve">4G3 - (Terminal 1-2)</t>
  </si>
  <si>
    <t xml:space="preserve">Airport T 1-2</t>
  </si>
  <si>
    <t xml:space="preserve">5C4</t>
  </si>
  <si>
    <t xml:space="preserve">5C4 - (Ministry of Education) ‼24H</t>
  </si>
  <si>
    <t xml:space="preserve">5C2</t>
  </si>
  <si>
    <t xml:space="preserve">5C2 - (King salman park)</t>
  </si>
  <si>
    <t xml:space="preserve">King Salman Park</t>
  </si>
  <si>
    <t xml:space="preserve">5C1</t>
  </si>
  <si>
    <t xml:space="preserve">5C1 - (As Sulimaniyah) ‼24H</t>
  </si>
  <si>
    <t xml:space="preserve">As Sulimaniyah</t>
  </si>
  <si>
    <t xml:space="preserve">5B4</t>
  </si>
  <si>
    <t xml:space="preserve">5B4 - (Ad Dhabab) ‼24H</t>
  </si>
  <si>
    <t xml:space="preserve">Ad Dhabab</t>
  </si>
  <si>
    <t xml:space="preserve">5B3</t>
  </si>
  <si>
    <t xml:space="preserve">5B3 - (Abu Dhabi Square)</t>
  </si>
  <si>
    <t xml:space="preserve">Abu Dhabi Square</t>
  </si>
  <si>
    <t xml:space="preserve">5B2</t>
  </si>
  <si>
    <t xml:space="preserve">5B2 - (Officers Club) ‼24H</t>
  </si>
  <si>
    <t xml:space="preserve">Officers Club</t>
  </si>
  <si>
    <t xml:space="preserve">5B1</t>
  </si>
  <si>
    <t xml:space="preserve">5B1 - (GOSI) ‼24H</t>
  </si>
  <si>
    <t xml:space="preserve">GOSI</t>
  </si>
  <si>
    <t xml:space="preserve">5A3</t>
  </si>
  <si>
    <t xml:space="preserve">5A3 - (Al Wizarat) ‼24H</t>
  </si>
  <si>
    <t xml:space="preserve">Al Wizarat</t>
  </si>
  <si>
    <t xml:space="preserve">5A5</t>
  </si>
  <si>
    <t xml:space="preserve">5A5 - (Ministry of Defense)</t>
  </si>
  <si>
    <t xml:space="preserve">Ministry of Defense</t>
  </si>
  <si>
    <t xml:space="preserve">5A2</t>
  </si>
  <si>
    <t xml:space="preserve">5A2 - (MEW&amp;A) ‼24H</t>
  </si>
  <si>
    <t xml:space="preserve">King Abdulaziz Hospital</t>
  </si>
  <si>
    <t xml:space="preserve">5A6</t>
  </si>
  <si>
    <t xml:space="preserve">5A6 - (Ministry of Finance) ‼24H</t>
  </si>
  <si>
    <t xml:space="preserve">Ministry of Finance</t>
  </si>
  <si>
    <t xml:space="preserve">5A1</t>
  </si>
  <si>
    <t xml:space="preserve">5A1 - (National Museum)</t>
  </si>
  <si>
    <t xml:space="preserve">6A1</t>
  </si>
  <si>
    <t xml:space="preserve">6A1 - (KAFD)</t>
  </si>
  <si>
    <t xml:space="preserve">6D1</t>
  </si>
  <si>
    <t xml:space="preserve">6D1 - (Sabic)</t>
  </si>
  <si>
    <t xml:space="preserve">6D2</t>
  </si>
  <si>
    <t xml:space="preserve">6D2 - (Granadia)</t>
  </si>
  <si>
    <t xml:space="preserve">Granadia</t>
  </si>
  <si>
    <t xml:space="preserve">6E1</t>
  </si>
  <si>
    <t xml:space="preserve">6E1 - (Al-Yarmuk) ‼24H</t>
  </si>
  <si>
    <t xml:space="preserve">Al Yarmuk</t>
  </si>
  <si>
    <t xml:space="preserve">6F1</t>
  </si>
  <si>
    <t xml:space="preserve">6F1 - (Al hamra) ‼24H</t>
  </si>
  <si>
    <t xml:space="preserve">6G1</t>
  </si>
  <si>
    <t xml:space="preserve">6G1 - (Al andalus)</t>
  </si>
  <si>
    <t xml:space="preserve">Al Andalus</t>
  </si>
  <si>
    <t xml:space="preserve">6G2</t>
  </si>
  <si>
    <t xml:space="preserve">6G2 - (Khurais road)</t>
  </si>
  <si>
    <t xml:space="preserve">Khurais Road</t>
  </si>
  <si>
    <t xml:space="preserve">6H1</t>
  </si>
  <si>
    <t xml:space="preserve">6H1 - (As salam)</t>
  </si>
  <si>
    <t xml:space="preserve">As Salam</t>
  </si>
  <si>
    <t xml:space="preserve">6H2</t>
  </si>
  <si>
    <t xml:space="preserve">6H2 - (An naseem)</t>
  </si>
  <si>
    <t xml:space="preserve">Stations file (P&amp;R)</t>
  </si>
  <si>
    <t xml:space="preserve">OMC file (P&amp;R row)</t>
  </si>
  <si>
    <t xml:space="preserve">OMC lists 6-4 @ 6H2/3J1 (shown as 3J1) and 3-6 'Integrated with 3E2'.</t>
  </si>
  <si>
    <t xml:space="preserve">File</t>
  </si>
  <si>
    <t xml:space="preserve">Location</t>
  </si>
  <si>
    <t xml:space="preserve">Issue</t>
  </si>
  <si>
    <t xml:space="preserve">OMC – FLOW</t>
  </si>
  <si>
    <t xml:space="preserve">Line 6 section</t>
  </si>
  <si>
    <t xml:space="preserve">Rows 4B1 and 4C1 (Line 4 stations) repeated with zero staff and 24h = N, while they are 24H stations</t>
  </si>
  <si>
    <t xml:space="preserve">Line 3-6 header</t>
  </si>
  <si>
    <t xml:space="preserve">AFC column labelled 'Ticket Barriers' instead of 'AFC Bank No.' (counts are half of Stations file)</t>
  </si>
  <si>
    <t xml:space="preserve">Both</t>
  </si>
  <si>
    <t xml:space="preserve">Name: 'MEW&amp;A' (Stations) vs 'King Abdulaziz Hospital' (OMC)</t>
  </si>
  <si>
    <t xml:space="preserve">Stations</t>
  </si>
  <si>
    <t xml:space="preserve">3B2, 3J2</t>
  </si>
  <si>
    <t xml:space="preserve">Ticket Office / AFC data missing, available in OMC file</t>
  </si>
  <si>
    <t xml:space="preserve">4A1, 6H2</t>
  </si>
  <si>
    <t xml:space="preserve">Platforms missing (OMC = 2)</t>
  </si>
  <si>
    <t xml:space="preserve">Spelling</t>
  </si>
  <si>
    <t xml:space="preserve">'Wesern Station', 'Treminal 3-4', 'Ministry of inteior'</t>
  </si>
  <si>
    <t xml:space="preserve">Line 5 AFC Total</t>
  </si>
  <si>
    <t xml:space="preserve">5C1/5B3 = 10 vs 8 and 5B1/5A5 = 8 vs 10 – values look swapped</t>
  </si>
  <si>
    <t xml:space="preserve">Guest stations 1B3, 1F7</t>
  </si>
  <si>
    <t xml:space="preserve">Stations file: 0 guards; OMC: 2 guards per shift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</si>
</sst>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15" hidden="false" customHeight="false" outlineLevel="0" collapsed="false">
      <c r="A4" s="4" t="s">
        <v>9</v>
      </c>
      <c r="B4" s="5" t="n">
        <f aca="false">COUNTIFS(Comparison!$B$3:$B$94,"Line 1",Comparison!$H$3:$H$94,"✗")</f>
        <v>0</v>
      </c>
      <c r="C4" s="5" t="n">
        <f aca="false">COUNTIFS(Comparison!$B$3:$B$94,"Line 2",Comparison!$H$3:$H$94,"✗")</f>
        <v>0</v>
      </c>
      <c r="D4" s="5" t="n">
        <f aca="false">COUNTIFS(Comparison!$B$3:$B$94,"Line 3",Comparison!$H$3:$H$94,"✗")</f>
        <v>1</v>
      </c>
      <c r="E4" s="5" t="n">
        <f aca="false">COUNTIFS(Comparison!$B$3:$B$94,"Line 4",Comparison!$H$3:$H$94,"✗")</f>
        <v>4</v>
      </c>
      <c r="F4" s="5" t="n">
        <f aca="false">COUNTIFS(Comparison!$B$3:$B$94,"Line 5",Comparison!$H$3:$H$94,"✗")</f>
        <v>1</v>
      </c>
      <c r="G4" s="5" t="n">
        <f aca="false">COUNTIFS(Comparison!$B$3:$B$94,"Line 6",Comparison!$H$3:$H$94,"✗")</f>
        <v>1</v>
      </c>
      <c r="H4" s="5" t="n">
        <f aca="false">SUM(B4:G4)</f>
        <v>7</v>
      </c>
    </row>
    <row r="5" customFormat="false" ht="15" hidden="false" customHeight="false" outlineLevel="0" collapsed="false">
      <c r="A5" s="4" t="s">
        <v>10</v>
      </c>
      <c r="B5" s="5" t="n">
        <f aca="false">COUNTIFS(Comparison!$B$3:$B$94,"Line 1",Comparison!$K$3:$K$94,"✗")</f>
        <v>0</v>
      </c>
      <c r="C5" s="5" t="n">
        <f aca="false">COUNTIFS(Comparison!$B$3:$B$94,"Line 2",Comparison!$K$3:$K$94,"✗")</f>
        <v>0</v>
      </c>
      <c r="D5" s="5" t="n">
        <f aca="false">COUNTIFS(Comparison!$B$3:$B$94,"Line 3",Comparison!$K$3:$K$94,"✗")</f>
        <v>0</v>
      </c>
      <c r="E5" s="5" t="n">
        <f aca="false">COUNTIFS(Comparison!$B$3:$B$94,"Line 4",Comparison!$K$3:$K$94,"✗")</f>
        <v>0</v>
      </c>
      <c r="F5" s="5" t="n">
        <f aca="false">COUNTIFS(Comparison!$B$3:$B$94,"Line 5",Comparison!$K$3:$K$94,"✗")</f>
        <v>0</v>
      </c>
      <c r="G5" s="5" t="n">
        <f aca="false">COUNTIFS(Comparison!$B$3:$B$94,"Line 6",Comparison!$K$3:$K$94,"✗")</f>
        <v>0</v>
      </c>
      <c r="H5" s="5" t="n">
        <f aca="false">SUM(B5:G5)</f>
        <v>0</v>
      </c>
    </row>
    <row r="6" customFormat="false" ht="15" hidden="false" customHeight="false" outlineLevel="0" collapsed="false">
      <c r="A6" s="4" t="s">
        <v>11</v>
      </c>
      <c r="B6" s="5" t="n">
        <f aca="false">COUNTIFS(Comparison!$B$3:$B$94,"Line 1",Comparison!$N$3:$N$94,"✗")</f>
        <v>0</v>
      </c>
      <c r="C6" s="5" t="n">
        <f aca="false">COUNTIFS(Comparison!$B$3:$B$94,"Line 2",Comparison!$N$3:$N$94,"✗")</f>
        <v>0</v>
      </c>
      <c r="D6" s="5" t="n">
        <f aca="false">COUNTIFS(Comparison!$B$3:$B$94,"Line 3",Comparison!$N$3:$N$94,"✗")</f>
        <v>2</v>
      </c>
      <c r="E6" s="5" t="n">
        <f aca="false">COUNTIFS(Comparison!$B$3:$B$94,"Line 4",Comparison!$N$3:$N$94,"✗")</f>
        <v>1</v>
      </c>
      <c r="F6" s="5" t="n">
        <f aca="false">COUNTIFS(Comparison!$B$3:$B$94,"Line 5",Comparison!$N$3:$N$94,"✗")</f>
        <v>0</v>
      </c>
      <c r="G6" s="5" t="n">
        <f aca="false">COUNTIFS(Comparison!$B$3:$B$94,"Line 6",Comparison!$N$3:$N$94,"✗")</f>
        <v>1</v>
      </c>
      <c r="H6" s="5" t="n">
        <f aca="false">SUM(B6:G6)</f>
        <v>4</v>
      </c>
    </row>
    <row r="7" customFormat="false" ht="15" hidden="false" customHeight="false" outlineLevel="0" collapsed="false">
      <c r="A7" s="4" t="s">
        <v>12</v>
      </c>
      <c r="B7" s="5" t="n">
        <f aca="false">COUNTIFS(Comparison!$B$3:$B$94,"Line 1",Comparison!$Q$3:$Q$94,"✗")</f>
        <v>0</v>
      </c>
      <c r="C7" s="5" t="n">
        <f aca="false">COUNTIFS(Comparison!$B$3:$B$94,"Line 2",Comparison!$Q$3:$Q$94,"✗")</f>
        <v>0</v>
      </c>
      <c r="D7" s="5" t="n">
        <f aca="false">COUNTIFS(Comparison!$B$3:$B$94,"Line 3",Comparison!$Q$3:$Q$94,"✗")</f>
        <v>2</v>
      </c>
      <c r="E7" s="5" t="n">
        <f aca="false">COUNTIFS(Comparison!$B$3:$B$94,"Line 4",Comparison!$Q$3:$Q$94,"✗")</f>
        <v>0</v>
      </c>
      <c r="F7" s="5" t="n">
        <f aca="false">COUNTIFS(Comparison!$B$3:$B$94,"Line 5",Comparison!$Q$3:$Q$94,"✗")</f>
        <v>0</v>
      </c>
      <c r="G7" s="5" t="n">
        <f aca="false">COUNTIFS(Comparison!$B$3:$B$94,"Line 6",Comparison!$Q$3:$Q$94,"✗")</f>
        <v>0</v>
      </c>
      <c r="H7" s="5" t="n">
        <f aca="false">SUM(B7:G7)</f>
        <v>2</v>
      </c>
    </row>
    <row r="8" customFormat="false" ht="15" hidden="false" customHeight="false" outlineLevel="0" collapsed="false">
      <c r="A8" s="4" t="s">
        <v>13</v>
      </c>
      <c r="B8" s="5" t="n">
        <f aca="false">COUNTIFS(Comparison!$B$3:$B$94,"Line 1",Comparison!$T$3:$T$94,"✗")</f>
        <v>0</v>
      </c>
      <c r="C8" s="5" t="n">
        <f aca="false">COUNTIFS(Comparison!$B$3:$B$94,"Line 2",Comparison!$T$3:$T$94,"✗")</f>
        <v>0</v>
      </c>
      <c r="D8" s="5" t="n">
        <f aca="false">COUNTIFS(Comparison!$B$3:$B$94,"Line 3",Comparison!$T$3:$T$94,"✗")</f>
        <v>2</v>
      </c>
      <c r="E8" s="5" t="n">
        <f aca="false">COUNTIFS(Comparison!$B$3:$B$94,"Line 4",Comparison!$T$3:$T$94,"✗")</f>
        <v>0</v>
      </c>
      <c r="F8" s="5" t="n">
        <f aca="false">COUNTIFS(Comparison!$B$3:$B$94,"Line 5",Comparison!$T$3:$T$94,"✗")</f>
        <v>4</v>
      </c>
      <c r="G8" s="5" t="n">
        <f aca="false">COUNTIFS(Comparison!$B$3:$B$94,"Line 6",Comparison!$T$3:$T$94,"✗")</f>
        <v>0</v>
      </c>
      <c r="H8" s="5" t="n">
        <f aca="false">SUM(B8:G8)</f>
        <v>6</v>
      </c>
    </row>
    <row r="9" customFormat="false" ht="15" hidden="false" customHeight="false" outlineLevel="0" collapsed="false">
      <c r="A9" s="4" t="s">
        <v>14</v>
      </c>
      <c r="B9" s="5" t="n">
        <f aca="false">COUNTIFS(Comparison!$B$3:$B$94,"Line 1",Comparison!$W$3:$W$94,"✗")</f>
        <v>0</v>
      </c>
      <c r="C9" s="5" t="n">
        <f aca="false">COUNTIFS(Comparison!$B$3:$B$94,"Line 2",Comparison!$W$3:$W$94,"✗")</f>
        <v>0</v>
      </c>
      <c r="D9" s="5" t="n">
        <f aca="false">COUNTIFS(Comparison!$B$3:$B$94,"Line 3",Comparison!$W$3:$W$94,"✗")</f>
        <v>20</v>
      </c>
      <c r="E9" s="5" t="n">
        <f aca="false">COUNTIFS(Comparison!$B$3:$B$94,"Line 4",Comparison!$W$3:$W$94,"✗")</f>
        <v>4</v>
      </c>
      <c r="F9" s="5" t="n">
        <f aca="false">COUNTIFS(Comparison!$B$3:$B$94,"Line 5",Comparison!$W$3:$W$94,"✗")</f>
        <v>11</v>
      </c>
      <c r="G9" s="5" t="n">
        <f aca="false">COUNTIFS(Comparison!$B$3:$B$94,"Line 6",Comparison!$W$3:$W$94,"✗")</f>
        <v>6</v>
      </c>
      <c r="H9" s="5" t="n">
        <f aca="false">SUM(B9:G9)</f>
        <v>41</v>
      </c>
    </row>
    <row r="10" customFormat="false" ht="15" hidden="false" customHeight="false" outlineLevel="0" collapsed="false">
      <c r="A10" s="4" t="s">
        <v>15</v>
      </c>
      <c r="B10" s="5" t="n">
        <f aca="false">SUMPRODUCT((Comparison!$B$3:$B$94="Line 1")*ISNUMBER(Comparison!$AC$3:$AC$94)*(Comparison!$AC$3:$AC$94&lt;&gt;0))</f>
        <v>12</v>
      </c>
      <c r="C10" s="5" t="n">
        <f aca="false">SUMPRODUCT((Comparison!$B$3:$B$94="Line 2")*ISNUMBER(Comparison!$AC$3:$AC$94)*(Comparison!$AC$3:$AC$94&lt;&gt;0))</f>
        <v>14</v>
      </c>
      <c r="D10" s="5" t="n">
        <f aca="false">SUMPRODUCT((Comparison!$B$3:$B$94="Line 3")*ISNUMBER(Comparison!$AC$3:$AC$94)*(Comparison!$AC$3:$AC$94&lt;&gt;0))</f>
        <v>5</v>
      </c>
      <c r="E10" s="5" t="n">
        <f aca="false">SUMPRODUCT((Comparison!$B$3:$B$94="Line 4")*ISNUMBER(Comparison!$AC$3:$AC$94)*(Comparison!$AC$3:$AC$94&lt;&gt;0))</f>
        <v>5</v>
      </c>
      <c r="F10" s="5" t="n">
        <f aca="false">SUMPRODUCT((Comparison!$B$3:$B$94="Line 5")*ISNUMBER(Comparison!$AC$3:$AC$94)*(Comparison!$AC$3:$AC$94&lt;&gt;0))</f>
        <v>1</v>
      </c>
      <c r="G10" s="5" t="n">
        <f aca="false">SUMPRODUCT((Comparison!$B$3:$B$94="Line 6")*ISNUMBER(Comparison!$AC$3:$AC$94)*(Comparison!$AC$3:$AC$94&lt;&gt;0))</f>
        <v>1</v>
      </c>
      <c r="H10" s="5" t="n">
        <f aca="false">SUM(B10:G10)</f>
        <v>38</v>
      </c>
    </row>
    <row r="11" customFormat="false" ht="15" hidden="false" customHeight="false" outlineLevel="0" collapsed="false">
      <c r="A11" s="4" t="s">
        <v>16</v>
      </c>
      <c r="B11" s="5" t="n">
        <f aca="false">COUNTIF(Comparison!$B$3:$B$94,"Line 1")</f>
        <v>25</v>
      </c>
      <c r="C11" s="5" t="n">
        <f aca="false">COUNTIF(Comparison!$B$3:$B$94,"Line 2")</f>
        <v>15</v>
      </c>
      <c r="D11" s="5" t="n">
        <f aca="false">COUNTIF(Comparison!$B$3:$B$94,"Line 3")</f>
        <v>22</v>
      </c>
      <c r="E11" s="5" t="n">
        <f aca="false">COUNTIF(Comparison!$B$3:$B$94,"Line 4")</f>
        <v>9</v>
      </c>
      <c r="F11" s="5" t="n">
        <f aca="false">COUNTIF(Comparison!$B$3:$B$94,"Line 5")</f>
        <v>12</v>
      </c>
      <c r="G11" s="5" t="n">
        <f aca="false">COUNTIF(Comparison!$B$3:$B$94,"Line 6")</f>
        <v>9</v>
      </c>
      <c r="H11" s="5" t="n">
        <f aca="false">SUM(B11:G11)</f>
        <v>92</v>
      </c>
    </row>
    <row r="13" customFormat="false" ht="15" hidden="false" customHeight="false" outlineLevel="0" collapsed="false">
      <c r="A13" s="6" t="s">
        <v>17</v>
      </c>
    </row>
    <row r="14" customFormat="false" ht="15" hidden="false" customHeight="false" outlineLevel="0" collapsed="false">
      <c r="A14" s="7" t="s">
        <v>18</v>
      </c>
    </row>
    <row r="15" customFormat="false" ht="15" hidden="false" customHeight="false" outlineLevel="0" collapsed="false">
      <c r="A15" s="7" t="s">
        <v>19</v>
      </c>
    </row>
    <row r="16" customFormat="false" ht="15" hidden="false" customHeight="false" outlineLevel="0" collapsed="false">
      <c r="A16" s="7" t="s">
        <v>20</v>
      </c>
    </row>
    <row r="17" customFormat="false" ht="15" hidden="false" customHeight="false" outlineLevel="0" collapsed="false">
      <c r="A17" s="7" t="s">
        <v>21</v>
      </c>
    </row>
    <row r="18" customFormat="false" ht="15" hidden="false" customHeight="false" outlineLevel="0" collapsed="false">
      <c r="A18" s="7" t="s">
        <v>22</v>
      </c>
    </row>
    <row r="19" customFormat="false" ht="15" hidden="false" customHeight="false" outlineLevel="0" collapsed="false">
      <c r="A19" s="7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30" min="6" style="0" width="10"/>
  </cols>
  <sheetData>
    <row r="1" customFormat="false" ht="15" hidden="false" customHeight="true" outlineLevel="0" collapsed="false">
      <c r="A1" s="8" t="s">
        <v>24</v>
      </c>
      <c r="B1" s="8"/>
      <c r="C1" s="8"/>
      <c r="D1" s="8"/>
      <c r="E1" s="8"/>
      <c r="F1" s="8" t="s">
        <v>25</v>
      </c>
      <c r="G1" s="8"/>
      <c r="H1" s="8"/>
      <c r="I1" s="8" t="s">
        <v>26</v>
      </c>
      <c r="J1" s="8"/>
      <c r="K1" s="8"/>
      <c r="L1" s="8" t="s">
        <v>27</v>
      </c>
      <c r="M1" s="8"/>
      <c r="N1" s="8"/>
      <c r="O1" s="8" t="s">
        <v>28</v>
      </c>
      <c r="P1" s="8"/>
      <c r="Q1" s="8"/>
      <c r="R1" s="8" t="s">
        <v>29</v>
      </c>
      <c r="S1" s="8"/>
      <c r="T1" s="8"/>
      <c r="U1" s="8" t="s">
        <v>30</v>
      </c>
      <c r="V1" s="8"/>
      <c r="W1" s="8"/>
      <c r="X1" s="8" t="s">
        <v>31</v>
      </c>
      <c r="Y1" s="8"/>
      <c r="Z1" s="8"/>
      <c r="AA1" s="8"/>
      <c r="AB1" s="8"/>
      <c r="AC1" s="8"/>
      <c r="AD1" s="8"/>
    </row>
    <row r="2" customFormat="false" ht="30" hidden="false" customHeight="true" outlineLevel="0" collapsed="false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37</v>
      </c>
      <c r="J2" s="9" t="s">
        <v>38</v>
      </c>
      <c r="K2" s="9" t="s">
        <v>39</v>
      </c>
      <c r="L2" s="9" t="s">
        <v>37</v>
      </c>
      <c r="M2" s="9" t="s">
        <v>38</v>
      </c>
      <c r="N2" s="9" t="s">
        <v>39</v>
      </c>
      <c r="O2" s="9" t="s">
        <v>37</v>
      </c>
      <c r="P2" s="9" t="s">
        <v>38</v>
      </c>
      <c r="Q2" s="9" t="s">
        <v>39</v>
      </c>
      <c r="R2" s="9" t="s">
        <v>37</v>
      </c>
      <c r="S2" s="9" t="s">
        <v>38</v>
      </c>
      <c r="T2" s="9" t="s">
        <v>39</v>
      </c>
      <c r="U2" s="9" t="s">
        <v>37</v>
      </c>
      <c r="V2" s="9" t="s">
        <v>38</v>
      </c>
      <c r="W2" s="9" t="s">
        <v>39</v>
      </c>
      <c r="X2" s="9" t="s">
        <v>40</v>
      </c>
      <c r="Y2" s="9" t="s">
        <v>41</v>
      </c>
      <c r="Z2" s="9" t="s">
        <v>42</v>
      </c>
      <c r="AA2" s="9" t="s">
        <v>43</v>
      </c>
      <c r="AB2" s="9" t="s">
        <v>44</v>
      </c>
      <c r="AC2" s="9" t="s">
        <v>45</v>
      </c>
      <c r="AD2" s="9" t="s">
        <v>46</v>
      </c>
    </row>
    <row r="3" customFormat="false" ht="15" hidden="false" customHeight="false" outlineLevel="0" collapsed="false">
      <c r="A3" s="10" t="s">
        <v>47</v>
      </c>
      <c r="B3" s="10" t="s">
        <v>2</v>
      </c>
      <c r="C3" s="11" t="s">
        <v>48</v>
      </c>
      <c r="D3" s="11" t="s">
        <v>49</v>
      </c>
      <c r="E3" s="10" t="s">
        <v>50</v>
      </c>
      <c r="F3" s="10" t="s">
        <v>51</v>
      </c>
      <c r="G3" s="10" t="s">
        <v>51</v>
      </c>
      <c r="H3" s="10" t="str">
        <f aca="false">IF(F3&amp;""=G3&amp;"","✓","✗")</f>
        <v>✓</v>
      </c>
      <c r="I3" s="10" t="s">
        <v>52</v>
      </c>
      <c r="J3" s="10" t="s">
        <v>52</v>
      </c>
      <c r="K3" s="10" t="str">
        <f aca="false">IF(I3&amp;""=J3&amp;"","✓","✗")</f>
        <v>✓</v>
      </c>
      <c r="L3" s="10" t="n">
        <v>2</v>
      </c>
      <c r="M3" s="10" t="n">
        <v>2</v>
      </c>
      <c r="N3" s="10" t="str">
        <f aca="false">IF(L3&amp;""=M3&amp;"","✓","✗")</f>
        <v>✓</v>
      </c>
      <c r="O3" s="10" t="n">
        <v>1</v>
      </c>
      <c r="P3" s="10" t="n">
        <v>1</v>
      </c>
      <c r="Q3" s="10" t="str">
        <f aca="false">IF(O3&amp;""=P3&amp;"","✓","✗")</f>
        <v>✓</v>
      </c>
      <c r="R3" s="10" t="n">
        <v>14</v>
      </c>
      <c r="S3" s="10" t="n">
        <v>14</v>
      </c>
      <c r="T3" s="10" t="str">
        <f aca="false">IF(R3&amp;""=S3&amp;"","✓","✗")</f>
        <v>✓</v>
      </c>
      <c r="U3" s="10" t="n">
        <v>2</v>
      </c>
      <c r="V3" s="10" t="n">
        <v>2</v>
      </c>
      <c r="W3" s="10" t="str">
        <f aca="false">IF(U3&amp;""=V3&amp;"","✓","✗")</f>
        <v>✓</v>
      </c>
      <c r="X3" s="10" t="n">
        <v>2</v>
      </c>
      <c r="Y3" s="10" t="n">
        <v>2</v>
      </c>
      <c r="Z3" s="10" t="n">
        <v>1</v>
      </c>
      <c r="AA3" s="10" t="n">
        <v>5</v>
      </c>
      <c r="AB3" s="10" t="n">
        <v>3</v>
      </c>
      <c r="AC3" s="12" t="n">
        <f aca="false">IF(AND(X3="",AB3=0),"",N(AB3)-N(X3))</f>
        <v>1</v>
      </c>
      <c r="AD3" s="10" t="n">
        <f aca="false">COUNTIF(H3:W3,"✗")</f>
        <v>0</v>
      </c>
    </row>
    <row r="4" customFormat="false" ht="15" hidden="false" customHeight="false" outlineLevel="0" collapsed="false">
      <c r="A4" s="10" t="s">
        <v>53</v>
      </c>
      <c r="B4" s="10" t="s">
        <v>2</v>
      </c>
      <c r="C4" s="11" t="s">
        <v>54</v>
      </c>
      <c r="D4" s="11" t="s">
        <v>55</v>
      </c>
      <c r="E4" s="10" t="s">
        <v>50</v>
      </c>
      <c r="F4" s="10" t="s">
        <v>51</v>
      </c>
      <c r="G4" s="10" t="s">
        <v>51</v>
      </c>
      <c r="H4" s="10" t="str">
        <f aca="false">IF(F4&amp;""=G4&amp;"","✓","✗")</f>
        <v>✓</v>
      </c>
      <c r="I4" s="10" t="s">
        <v>52</v>
      </c>
      <c r="J4" s="10" t="s">
        <v>52</v>
      </c>
      <c r="K4" s="10" t="str">
        <f aca="false">IF(I4&amp;""=J4&amp;"","✓","✗")</f>
        <v>✓</v>
      </c>
      <c r="L4" s="10" t="n">
        <v>2</v>
      </c>
      <c r="M4" s="10" t="n">
        <v>2</v>
      </c>
      <c r="N4" s="10" t="str">
        <f aca="false">IF(L4&amp;""=M4&amp;"","✓","✗")</f>
        <v>✓</v>
      </c>
      <c r="O4" s="10" t="n">
        <v>2</v>
      </c>
      <c r="P4" s="10" t="n">
        <v>2</v>
      </c>
      <c r="Q4" s="10" t="str">
        <f aca="false">IF(O4&amp;""=P4&amp;"","✓","✗")</f>
        <v>✓</v>
      </c>
      <c r="R4" s="10" t="n">
        <v>20</v>
      </c>
      <c r="S4" s="10" t="n">
        <v>20</v>
      </c>
      <c r="T4" s="10" t="str">
        <f aca="false">IF(R4&amp;""=S4&amp;"","✓","✗")</f>
        <v>✓</v>
      </c>
      <c r="U4" s="10" t="n">
        <v>4</v>
      </c>
      <c r="V4" s="10" t="n">
        <v>4</v>
      </c>
      <c r="W4" s="10" t="str">
        <f aca="false">IF(U4&amp;""=V4&amp;"","✓","✗")</f>
        <v>✓</v>
      </c>
      <c r="X4" s="10" t="n">
        <v>2</v>
      </c>
      <c r="Y4" s="10" t="n">
        <v>2</v>
      </c>
      <c r="Z4" s="10" t="n">
        <v>0</v>
      </c>
      <c r="AA4" s="10" t="n">
        <v>4</v>
      </c>
      <c r="AB4" s="10" t="n">
        <v>4</v>
      </c>
      <c r="AC4" s="12" t="n">
        <f aca="false">IF(AND(X4="",AB4=0),"",N(AB4)-N(X4))</f>
        <v>2</v>
      </c>
      <c r="AD4" s="10" t="n">
        <f aca="false">COUNTIF(H4:W4,"✗")</f>
        <v>0</v>
      </c>
    </row>
    <row r="5" customFormat="false" ht="15" hidden="false" customHeight="false" outlineLevel="0" collapsed="false">
      <c r="A5" s="10" t="s">
        <v>56</v>
      </c>
      <c r="B5" s="10" t="s">
        <v>2</v>
      </c>
      <c r="C5" s="11" t="s">
        <v>57</v>
      </c>
      <c r="D5" s="11" t="s">
        <v>58</v>
      </c>
      <c r="E5" s="10" t="s">
        <v>50</v>
      </c>
      <c r="F5" s="10" t="s">
        <v>51</v>
      </c>
      <c r="G5" s="10" t="s">
        <v>51</v>
      </c>
      <c r="H5" s="10" t="str">
        <f aca="false">IF(F5&amp;""=G5&amp;"","✓","✗")</f>
        <v>✓</v>
      </c>
      <c r="I5" s="10" t="s">
        <v>52</v>
      </c>
      <c r="J5" s="10" t="s">
        <v>52</v>
      </c>
      <c r="K5" s="10" t="str">
        <f aca="false">IF(I5&amp;""=J5&amp;"","✓","✗")</f>
        <v>✓</v>
      </c>
      <c r="L5" s="10" t="n">
        <v>4</v>
      </c>
      <c r="M5" s="10" t="n">
        <v>4</v>
      </c>
      <c r="N5" s="10" t="str">
        <f aca="false">IF(L5&amp;""=M5&amp;"","✓","✗")</f>
        <v>✓</v>
      </c>
      <c r="O5" s="10" t="n">
        <v>2</v>
      </c>
      <c r="P5" s="10" t="n">
        <v>2</v>
      </c>
      <c r="Q5" s="10" t="str">
        <f aca="false">IF(O5&amp;""=P5&amp;"","✓","✗")</f>
        <v>✓</v>
      </c>
      <c r="R5" s="10" t="n">
        <v>29</v>
      </c>
      <c r="S5" s="10" t="n">
        <v>29</v>
      </c>
      <c r="T5" s="10" t="str">
        <f aca="false">IF(R5&amp;""=S5&amp;"","✓","✗")</f>
        <v>✓</v>
      </c>
      <c r="U5" s="10" t="n">
        <v>3</v>
      </c>
      <c r="V5" s="10" t="n">
        <v>3</v>
      </c>
      <c r="W5" s="10" t="str">
        <f aca="false">IF(U5&amp;""=V5&amp;"","✓","✗")</f>
        <v>✓</v>
      </c>
      <c r="X5" s="10" t="n">
        <v>6</v>
      </c>
      <c r="Y5" s="10" t="n">
        <v>6</v>
      </c>
      <c r="Z5" s="10" t="n">
        <v>0</v>
      </c>
      <c r="AA5" s="10" t="n">
        <v>12</v>
      </c>
      <c r="AB5" s="10" t="n">
        <v>7</v>
      </c>
      <c r="AC5" s="12" t="n">
        <f aca="false">IF(AND(X5="",AB5=0),"",N(AB5)-N(X5))</f>
        <v>1</v>
      </c>
      <c r="AD5" s="10" t="n">
        <f aca="false">COUNTIF(H5:W5,"✗")</f>
        <v>0</v>
      </c>
    </row>
    <row r="6" customFormat="false" ht="15" hidden="false" customHeight="false" outlineLevel="0" collapsed="false">
      <c r="A6" s="10" t="s">
        <v>59</v>
      </c>
      <c r="B6" s="10" t="s">
        <v>2</v>
      </c>
      <c r="C6" s="11" t="s">
        <v>60</v>
      </c>
      <c r="D6" s="11" t="s">
        <v>61</v>
      </c>
      <c r="E6" s="10" t="s">
        <v>50</v>
      </c>
      <c r="F6" s="10" t="s">
        <v>62</v>
      </c>
      <c r="G6" s="10" t="s">
        <v>62</v>
      </c>
      <c r="H6" s="10" t="str">
        <f aca="false">IF(F6&amp;""=G6&amp;"","✓","✗")</f>
        <v>✓</v>
      </c>
      <c r="I6" s="10" t="s">
        <v>52</v>
      </c>
      <c r="J6" s="10" t="s">
        <v>52</v>
      </c>
      <c r="K6" s="10" t="str">
        <f aca="false">IF(I6&amp;""=J6&amp;"","✓","✗")</f>
        <v>✓</v>
      </c>
      <c r="L6" s="10" t="n">
        <v>2</v>
      </c>
      <c r="M6" s="10" t="n">
        <v>2</v>
      </c>
      <c r="N6" s="10" t="str">
        <f aca="false">IF(L6&amp;""=M6&amp;"","✓","✗")</f>
        <v>✓</v>
      </c>
      <c r="O6" s="10" t="n">
        <v>1</v>
      </c>
      <c r="P6" s="10" t="n">
        <v>1</v>
      </c>
      <c r="Q6" s="10" t="str">
        <f aca="false">IF(O6&amp;""=P6&amp;"","✓","✗")</f>
        <v>✓</v>
      </c>
      <c r="R6" s="10" t="n">
        <v>13</v>
      </c>
      <c r="S6" s="10" t="n">
        <v>13</v>
      </c>
      <c r="T6" s="10" t="str">
        <f aca="false">IF(R6&amp;""=S6&amp;"","✓","✗")</f>
        <v>✓</v>
      </c>
      <c r="U6" s="10" t="n">
        <v>1</v>
      </c>
      <c r="V6" s="10" t="n">
        <v>1</v>
      </c>
      <c r="W6" s="10" t="str">
        <f aca="false">IF(U6&amp;""=V6&amp;"","✓","✗")</f>
        <v>✓</v>
      </c>
      <c r="X6" s="10" t="n">
        <v>2</v>
      </c>
      <c r="Y6" s="10" t="n">
        <v>2</v>
      </c>
      <c r="Z6" s="10" t="n">
        <v>0</v>
      </c>
      <c r="AA6" s="10" t="n">
        <v>4</v>
      </c>
      <c r="AB6" s="10" t="n">
        <v>2</v>
      </c>
      <c r="AC6" s="12" t="n">
        <f aca="false">IF(AND(X6="",AB6=0),"",N(AB6)-N(X6))</f>
        <v>0</v>
      </c>
      <c r="AD6" s="10" t="n">
        <f aca="false">COUNTIF(H6:W6,"✗")</f>
        <v>0</v>
      </c>
    </row>
    <row r="7" customFormat="false" ht="15" hidden="false" customHeight="false" outlineLevel="0" collapsed="false">
      <c r="A7" s="10" t="s">
        <v>63</v>
      </c>
      <c r="B7" s="10" t="s">
        <v>2</v>
      </c>
      <c r="C7" s="11" t="s">
        <v>64</v>
      </c>
      <c r="D7" s="11" t="s">
        <v>65</v>
      </c>
      <c r="E7" s="10" t="s">
        <v>50</v>
      </c>
      <c r="F7" s="10" t="s">
        <v>62</v>
      </c>
      <c r="G7" s="10" t="s">
        <v>62</v>
      </c>
      <c r="H7" s="10" t="str">
        <f aca="false">IF(F7&amp;""=G7&amp;"","✓","✗")</f>
        <v>✓</v>
      </c>
      <c r="I7" s="10" t="s">
        <v>52</v>
      </c>
      <c r="J7" s="10" t="s">
        <v>52</v>
      </c>
      <c r="K7" s="10" t="str">
        <f aca="false">IF(I7&amp;""=J7&amp;"","✓","✗")</f>
        <v>✓</v>
      </c>
      <c r="L7" s="10" t="n">
        <v>2</v>
      </c>
      <c r="M7" s="10" t="n">
        <v>2</v>
      </c>
      <c r="N7" s="10" t="str">
        <f aca="false">IF(L7&amp;""=M7&amp;"","✓","✗")</f>
        <v>✓</v>
      </c>
      <c r="O7" s="10" t="n">
        <v>1</v>
      </c>
      <c r="P7" s="10" t="n">
        <v>1</v>
      </c>
      <c r="Q7" s="10" t="str">
        <f aca="false">IF(O7&amp;""=P7&amp;"","✓","✗")</f>
        <v>✓</v>
      </c>
      <c r="R7" s="10" t="n">
        <v>13</v>
      </c>
      <c r="S7" s="10" t="n">
        <v>13</v>
      </c>
      <c r="T7" s="10" t="str">
        <f aca="false">IF(R7&amp;""=S7&amp;"","✓","✗")</f>
        <v>✓</v>
      </c>
      <c r="U7" s="10" t="n">
        <v>1</v>
      </c>
      <c r="V7" s="10" t="n">
        <v>1</v>
      </c>
      <c r="W7" s="10" t="str">
        <f aca="false">IF(U7&amp;""=V7&amp;"","✓","✗")</f>
        <v>✓</v>
      </c>
      <c r="X7" s="10" t="n">
        <v>2</v>
      </c>
      <c r="Y7" s="10" t="n">
        <v>2</v>
      </c>
      <c r="Z7" s="10" t="n">
        <v>0</v>
      </c>
      <c r="AA7" s="10" t="n">
        <v>4</v>
      </c>
      <c r="AB7" s="10" t="n">
        <v>2</v>
      </c>
      <c r="AC7" s="12" t="n">
        <f aca="false">IF(AND(X7="",AB7=0),"",N(AB7)-N(X7))</f>
        <v>0</v>
      </c>
      <c r="AD7" s="10" t="n">
        <f aca="false">COUNTIF(H7:W7,"✗")</f>
        <v>0</v>
      </c>
    </row>
    <row r="8" customFormat="false" ht="15" hidden="false" customHeight="false" outlineLevel="0" collapsed="false">
      <c r="A8" s="10" t="s">
        <v>66</v>
      </c>
      <c r="B8" s="10" t="s">
        <v>2</v>
      </c>
      <c r="C8" s="11" t="s">
        <v>67</v>
      </c>
      <c r="D8" s="11" t="s">
        <v>68</v>
      </c>
      <c r="E8" s="10" t="s">
        <v>50</v>
      </c>
      <c r="F8" s="10" t="s">
        <v>62</v>
      </c>
      <c r="G8" s="10" t="s">
        <v>62</v>
      </c>
      <c r="H8" s="10" t="str">
        <f aca="false">IF(F8&amp;""=G8&amp;"","✓","✗")</f>
        <v>✓</v>
      </c>
      <c r="I8" s="10" t="s">
        <v>52</v>
      </c>
      <c r="J8" s="10" t="s">
        <v>52</v>
      </c>
      <c r="K8" s="10" t="str">
        <f aca="false">IF(I8&amp;""=J8&amp;"","✓","✗")</f>
        <v>✓</v>
      </c>
      <c r="L8" s="10" t="n">
        <v>2</v>
      </c>
      <c r="M8" s="10" t="n">
        <v>2</v>
      </c>
      <c r="N8" s="10" t="str">
        <f aca="false">IF(L8&amp;""=M8&amp;"","✓","✗")</f>
        <v>✓</v>
      </c>
      <c r="O8" s="10" t="n">
        <v>1</v>
      </c>
      <c r="P8" s="10" t="n">
        <v>1</v>
      </c>
      <c r="Q8" s="10" t="str">
        <f aca="false">IF(O8&amp;""=P8&amp;"","✓","✗")</f>
        <v>✓</v>
      </c>
      <c r="R8" s="10" t="n">
        <v>13</v>
      </c>
      <c r="S8" s="10" t="n">
        <v>13</v>
      </c>
      <c r="T8" s="10" t="str">
        <f aca="false">IF(R8&amp;""=S8&amp;"","✓","✗")</f>
        <v>✓</v>
      </c>
      <c r="U8" s="10" t="n">
        <v>1</v>
      </c>
      <c r="V8" s="10" t="n">
        <v>1</v>
      </c>
      <c r="W8" s="10" t="str">
        <f aca="false">IF(U8&amp;""=V8&amp;"","✓","✗")</f>
        <v>✓</v>
      </c>
      <c r="X8" s="10" t="n">
        <v>2</v>
      </c>
      <c r="Y8" s="10" t="n">
        <v>2</v>
      </c>
      <c r="Z8" s="10" t="n">
        <v>0</v>
      </c>
      <c r="AA8" s="10" t="n">
        <v>4</v>
      </c>
      <c r="AB8" s="10" t="n">
        <v>2</v>
      </c>
      <c r="AC8" s="12" t="n">
        <f aca="false">IF(AND(X8="",AB8=0),"",N(AB8)-N(X8))</f>
        <v>0</v>
      </c>
      <c r="AD8" s="10" t="n">
        <f aca="false">COUNTIF(H8:W8,"✗")</f>
        <v>0</v>
      </c>
    </row>
    <row r="9" customFormat="false" ht="15" hidden="false" customHeight="false" outlineLevel="0" collapsed="false">
      <c r="A9" s="10" t="s">
        <v>69</v>
      </c>
      <c r="B9" s="10" t="s">
        <v>2</v>
      </c>
      <c r="C9" s="11" t="s">
        <v>70</v>
      </c>
      <c r="D9" s="11" t="s">
        <v>71</v>
      </c>
      <c r="E9" s="10" t="s">
        <v>50</v>
      </c>
      <c r="F9" s="10" t="s">
        <v>62</v>
      </c>
      <c r="G9" s="10" t="s">
        <v>62</v>
      </c>
      <c r="H9" s="10" t="str">
        <f aca="false">IF(F9&amp;""=G9&amp;"","✓","✗")</f>
        <v>✓</v>
      </c>
      <c r="I9" s="10" t="s">
        <v>52</v>
      </c>
      <c r="J9" s="10" t="s">
        <v>52</v>
      </c>
      <c r="K9" s="10" t="str">
        <f aca="false">IF(I9&amp;""=J9&amp;"","✓","✗")</f>
        <v>✓</v>
      </c>
      <c r="L9" s="10"/>
      <c r="M9" s="10"/>
      <c r="N9" s="10" t="str">
        <f aca="false">IF(L9&amp;""=M9&amp;"","✓","✗")</f>
        <v>✓</v>
      </c>
      <c r="O9" s="10"/>
      <c r="P9" s="10"/>
      <c r="Q9" s="10" t="str">
        <f aca="false">IF(O9&amp;""=P9&amp;"","✓","✗")</f>
        <v>✓</v>
      </c>
      <c r="R9" s="10"/>
      <c r="S9" s="10"/>
      <c r="T9" s="10" t="str">
        <f aca="false">IF(R9&amp;""=S9&amp;"","✓","✗")</f>
        <v>✓</v>
      </c>
      <c r="U9" s="10"/>
      <c r="V9" s="10"/>
      <c r="W9" s="10" t="str">
        <f aca="false">IF(U9&amp;""=V9&amp;"","✓","✗")</f>
        <v>✓</v>
      </c>
      <c r="X9" s="10"/>
      <c r="Y9" s="10"/>
      <c r="Z9" s="10"/>
      <c r="AA9" s="10" t="n">
        <v>0</v>
      </c>
      <c r="AB9" s="10" t="n">
        <v>2</v>
      </c>
      <c r="AC9" s="12" t="n">
        <f aca="false">IF(AND(X9="",AB9=0),"",N(AB9)-N(X9))</f>
        <v>2</v>
      </c>
      <c r="AD9" s="10" t="n">
        <f aca="false">COUNTIF(H9:W9,"✗")</f>
        <v>0</v>
      </c>
    </row>
    <row r="10" customFormat="false" ht="15" hidden="false" customHeight="false" outlineLevel="0" collapsed="false">
      <c r="A10" s="10" t="s">
        <v>72</v>
      </c>
      <c r="B10" s="10" t="s">
        <v>2</v>
      </c>
      <c r="C10" s="11" t="s">
        <v>73</v>
      </c>
      <c r="D10" s="11" t="s">
        <v>74</v>
      </c>
      <c r="E10" s="10" t="s">
        <v>50</v>
      </c>
      <c r="F10" s="10" t="s">
        <v>62</v>
      </c>
      <c r="G10" s="10" t="s">
        <v>62</v>
      </c>
      <c r="H10" s="10" t="str">
        <f aca="false">IF(F10&amp;""=G10&amp;"","✓","✗")</f>
        <v>✓</v>
      </c>
      <c r="I10" s="10" t="s">
        <v>52</v>
      </c>
      <c r="J10" s="10" t="s">
        <v>52</v>
      </c>
      <c r="K10" s="10" t="str">
        <f aca="false">IF(I10&amp;""=J10&amp;"","✓","✗")</f>
        <v>✓</v>
      </c>
      <c r="L10" s="10" t="n">
        <v>2</v>
      </c>
      <c r="M10" s="10" t="n">
        <v>2</v>
      </c>
      <c r="N10" s="10" t="str">
        <f aca="false">IF(L10&amp;""=M10&amp;"","✓","✗")</f>
        <v>✓</v>
      </c>
      <c r="O10" s="10" t="n">
        <v>1</v>
      </c>
      <c r="P10" s="10" t="n">
        <v>1</v>
      </c>
      <c r="Q10" s="10" t="str">
        <f aca="false">IF(O10&amp;""=P10&amp;"","✓","✗")</f>
        <v>✓</v>
      </c>
      <c r="R10" s="10" t="n">
        <v>13</v>
      </c>
      <c r="S10" s="10" t="n">
        <v>13</v>
      </c>
      <c r="T10" s="10" t="str">
        <f aca="false">IF(R10&amp;""=S10&amp;"","✓","✗")</f>
        <v>✓</v>
      </c>
      <c r="U10" s="10" t="n">
        <v>1</v>
      </c>
      <c r="V10" s="10" t="n">
        <v>1</v>
      </c>
      <c r="W10" s="10" t="str">
        <f aca="false">IF(U10&amp;""=V10&amp;"","✓","✗")</f>
        <v>✓</v>
      </c>
      <c r="X10" s="10" t="n">
        <v>2</v>
      </c>
      <c r="Y10" s="10" t="n">
        <v>2</v>
      </c>
      <c r="Z10" s="10" t="n">
        <v>0</v>
      </c>
      <c r="AA10" s="10" t="n">
        <v>4</v>
      </c>
      <c r="AB10" s="10" t="n">
        <v>2</v>
      </c>
      <c r="AC10" s="12" t="n">
        <f aca="false">IF(AND(X10="",AB10=0),"",N(AB10)-N(X10))</f>
        <v>0</v>
      </c>
      <c r="AD10" s="10" t="n">
        <f aca="false">COUNTIF(H10:W10,"✗")</f>
        <v>0</v>
      </c>
    </row>
    <row r="11" customFormat="false" ht="15" hidden="false" customHeight="false" outlineLevel="0" collapsed="false">
      <c r="A11" s="10" t="s">
        <v>75</v>
      </c>
      <c r="B11" s="10" t="s">
        <v>2</v>
      </c>
      <c r="C11" s="11" t="s">
        <v>76</v>
      </c>
      <c r="D11" s="11" t="s">
        <v>77</v>
      </c>
      <c r="E11" s="10" t="s">
        <v>50</v>
      </c>
      <c r="F11" s="10" t="s">
        <v>62</v>
      </c>
      <c r="G11" s="10" t="s">
        <v>62</v>
      </c>
      <c r="H11" s="10" t="str">
        <f aca="false">IF(F11&amp;""=G11&amp;"","✓","✗")</f>
        <v>✓</v>
      </c>
      <c r="I11" s="10" t="s">
        <v>52</v>
      </c>
      <c r="J11" s="10" t="s">
        <v>52</v>
      </c>
      <c r="K11" s="10" t="str">
        <f aca="false">IF(I11&amp;""=J11&amp;"","✓","✗")</f>
        <v>✓</v>
      </c>
      <c r="L11" s="10" t="n">
        <v>2</v>
      </c>
      <c r="M11" s="10" t="n">
        <v>2</v>
      </c>
      <c r="N11" s="10" t="str">
        <f aca="false">IF(L11&amp;""=M11&amp;"","✓","✗")</f>
        <v>✓</v>
      </c>
      <c r="O11" s="10" t="n">
        <v>1</v>
      </c>
      <c r="P11" s="10" t="n">
        <v>1</v>
      </c>
      <c r="Q11" s="10" t="str">
        <f aca="false">IF(O11&amp;""=P11&amp;"","✓","✗")</f>
        <v>✓</v>
      </c>
      <c r="R11" s="10" t="n">
        <v>13</v>
      </c>
      <c r="S11" s="10" t="n">
        <v>13</v>
      </c>
      <c r="T11" s="10" t="str">
        <f aca="false">IF(R11&amp;""=S11&amp;"","✓","✗")</f>
        <v>✓</v>
      </c>
      <c r="U11" s="10" t="n">
        <v>1</v>
      </c>
      <c r="V11" s="10" t="n">
        <v>1</v>
      </c>
      <c r="W11" s="10" t="str">
        <f aca="false">IF(U11&amp;""=V11&amp;"","✓","✗")</f>
        <v>✓</v>
      </c>
      <c r="X11" s="10" t="n">
        <v>2</v>
      </c>
      <c r="Y11" s="10" t="n">
        <v>2</v>
      </c>
      <c r="Z11" s="10" t="n">
        <v>0</v>
      </c>
      <c r="AA11" s="10" t="n">
        <v>4</v>
      </c>
      <c r="AB11" s="10" t="n">
        <v>2</v>
      </c>
      <c r="AC11" s="12" t="n">
        <f aca="false">IF(AND(X11="",AB11=0),"",N(AB11)-N(X11))</f>
        <v>0</v>
      </c>
      <c r="AD11" s="10" t="n">
        <f aca="false">COUNTIF(H11:W11,"✗")</f>
        <v>0</v>
      </c>
    </row>
    <row r="12" customFormat="false" ht="15" hidden="false" customHeight="false" outlineLevel="0" collapsed="false">
      <c r="A12" s="10" t="s">
        <v>78</v>
      </c>
      <c r="B12" s="10" t="s">
        <v>2</v>
      </c>
      <c r="C12" s="11" t="s">
        <v>79</v>
      </c>
      <c r="D12" s="11" t="s">
        <v>80</v>
      </c>
      <c r="E12" s="10" t="s">
        <v>50</v>
      </c>
      <c r="F12" s="10" t="s">
        <v>62</v>
      </c>
      <c r="G12" s="10" t="s">
        <v>62</v>
      </c>
      <c r="H12" s="10" t="str">
        <f aca="false">IF(F12&amp;""=G12&amp;"","✓","✗")</f>
        <v>✓</v>
      </c>
      <c r="I12" s="10" t="s">
        <v>52</v>
      </c>
      <c r="J12" s="10" t="s">
        <v>52</v>
      </c>
      <c r="K12" s="10" t="str">
        <f aca="false">IF(I12&amp;""=J12&amp;"","✓","✗")</f>
        <v>✓</v>
      </c>
      <c r="L12" s="10" t="n">
        <v>2</v>
      </c>
      <c r="M12" s="10" t="n">
        <v>2</v>
      </c>
      <c r="N12" s="10" t="str">
        <f aca="false">IF(L12&amp;""=M12&amp;"","✓","✗")</f>
        <v>✓</v>
      </c>
      <c r="O12" s="10" t="n">
        <v>1</v>
      </c>
      <c r="P12" s="10" t="n">
        <v>1</v>
      </c>
      <c r="Q12" s="10" t="str">
        <f aca="false">IF(O12&amp;""=P12&amp;"","✓","✗")</f>
        <v>✓</v>
      </c>
      <c r="R12" s="10" t="n">
        <v>13</v>
      </c>
      <c r="S12" s="10" t="n">
        <v>13</v>
      </c>
      <c r="T12" s="10" t="str">
        <f aca="false">IF(R12&amp;""=S12&amp;"","✓","✗")</f>
        <v>✓</v>
      </c>
      <c r="U12" s="10" t="n">
        <v>1</v>
      </c>
      <c r="V12" s="10" t="n">
        <v>1</v>
      </c>
      <c r="W12" s="10" t="str">
        <f aca="false">IF(U12&amp;""=V12&amp;"","✓","✗")</f>
        <v>✓</v>
      </c>
      <c r="X12" s="10" t="n">
        <v>2</v>
      </c>
      <c r="Y12" s="10" t="n">
        <v>2</v>
      </c>
      <c r="Z12" s="10" t="n">
        <v>0</v>
      </c>
      <c r="AA12" s="10" t="n">
        <v>4</v>
      </c>
      <c r="AB12" s="10" t="n">
        <v>2</v>
      </c>
      <c r="AC12" s="12" t="n">
        <f aca="false">IF(AND(X12="",AB12=0),"",N(AB12)-N(X12))</f>
        <v>0</v>
      </c>
      <c r="AD12" s="10" t="n">
        <f aca="false">COUNTIF(H12:W12,"✗")</f>
        <v>0</v>
      </c>
    </row>
    <row r="13" customFormat="false" ht="15" hidden="false" customHeight="false" outlineLevel="0" collapsed="false">
      <c r="A13" s="10" t="s">
        <v>81</v>
      </c>
      <c r="B13" s="10" t="s">
        <v>2</v>
      </c>
      <c r="C13" s="11" t="s">
        <v>82</v>
      </c>
      <c r="D13" s="11" t="s">
        <v>83</v>
      </c>
      <c r="E13" s="10" t="s">
        <v>50</v>
      </c>
      <c r="F13" s="10" t="s">
        <v>62</v>
      </c>
      <c r="G13" s="10" t="s">
        <v>62</v>
      </c>
      <c r="H13" s="10" t="str">
        <f aca="false">IF(F13&amp;""=G13&amp;"","✓","✗")</f>
        <v>✓</v>
      </c>
      <c r="I13" s="10" t="s">
        <v>52</v>
      </c>
      <c r="J13" s="10" t="s">
        <v>52</v>
      </c>
      <c r="K13" s="10" t="str">
        <f aca="false">IF(I13&amp;""=J13&amp;"","✓","✗")</f>
        <v>✓</v>
      </c>
      <c r="L13" s="10" t="n">
        <v>2</v>
      </c>
      <c r="M13" s="10" t="n">
        <v>2</v>
      </c>
      <c r="N13" s="10" t="str">
        <f aca="false">IF(L13&amp;""=M13&amp;"","✓","✗")</f>
        <v>✓</v>
      </c>
      <c r="O13" s="10" t="n">
        <v>1</v>
      </c>
      <c r="P13" s="10" t="n">
        <v>1</v>
      </c>
      <c r="Q13" s="10" t="str">
        <f aca="false">IF(O13&amp;""=P13&amp;"","✓","✗")</f>
        <v>✓</v>
      </c>
      <c r="R13" s="10" t="n">
        <v>13</v>
      </c>
      <c r="S13" s="10" t="n">
        <v>13</v>
      </c>
      <c r="T13" s="10" t="str">
        <f aca="false">IF(R13&amp;""=S13&amp;"","✓","✗")</f>
        <v>✓</v>
      </c>
      <c r="U13" s="10" t="n">
        <v>1</v>
      </c>
      <c r="V13" s="10" t="n">
        <v>1</v>
      </c>
      <c r="W13" s="10" t="str">
        <f aca="false">IF(U13&amp;""=V13&amp;"","✓","✗")</f>
        <v>✓</v>
      </c>
      <c r="X13" s="10" t="n">
        <v>2</v>
      </c>
      <c r="Y13" s="10" t="n">
        <v>2</v>
      </c>
      <c r="Z13" s="10" t="n">
        <v>0</v>
      </c>
      <c r="AA13" s="10" t="n">
        <v>4</v>
      </c>
      <c r="AB13" s="10" t="n">
        <v>2</v>
      </c>
      <c r="AC13" s="12" t="n">
        <f aca="false">IF(AND(X13="",AB13=0),"",N(AB13)-N(X13))</f>
        <v>0</v>
      </c>
      <c r="AD13" s="10" t="n">
        <f aca="false">COUNTIF(H13:W13,"✗")</f>
        <v>0</v>
      </c>
    </row>
    <row r="14" customFormat="false" ht="15" hidden="false" customHeight="false" outlineLevel="0" collapsed="false">
      <c r="A14" s="10" t="s">
        <v>84</v>
      </c>
      <c r="B14" s="10" t="s">
        <v>2</v>
      </c>
      <c r="C14" s="11" t="s">
        <v>85</v>
      </c>
      <c r="D14" s="11" t="s">
        <v>86</v>
      </c>
      <c r="E14" s="10" t="s">
        <v>50</v>
      </c>
      <c r="F14" s="10" t="s">
        <v>62</v>
      </c>
      <c r="G14" s="10" t="s">
        <v>62</v>
      </c>
      <c r="H14" s="10" t="str">
        <f aca="false">IF(F14&amp;""=G14&amp;"","✓","✗")</f>
        <v>✓</v>
      </c>
      <c r="I14" s="10" t="s">
        <v>52</v>
      </c>
      <c r="J14" s="10" t="s">
        <v>52</v>
      </c>
      <c r="K14" s="10" t="str">
        <f aca="false">IF(I14&amp;""=J14&amp;"","✓","✗")</f>
        <v>✓</v>
      </c>
      <c r="L14" s="10" t="n">
        <v>2</v>
      </c>
      <c r="M14" s="10" t="n">
        <v>2</v>
      </c>
      <c r="N14" s="10" t="str">
        <f aca="false">IF(L14&amp;""=M14&amp;"","✓","✗")</f>
        <v>✓</v>
      </c>
      <c r="O14" s="10" t="n">
        <v>1</v>
      </c>
      <c r="P14" s="10" t="n">
        <v>1</v>
      </c>
      <c r="Q14" s="10" t="str">
        <f aca="false">IF(O14&amp;""=P14&amp;"","✓","✗")</f>
        <v>✓</v>
      </c>
      <c r="R14" s="10" t="n">
        <v>13</v>
      </c>
      <c r="S14" s="10" t="n">
        <v>13</v>
      </c>
      <c r="T14" s="10" t="str">
        <f aca="false">IF(R14&amp;""=S14&amp;"","✓","✗")</f>
        <v>✓</v>
      </c>
      <c r="U14" s="10" t="n">
        <v>1</v>
      </c>
      <c r="V14" s="10" t="n">
        <v>1</v>
      </c>
      <c r="W14" s="10" t="str">
        <f aca="false">IF(U14&amp;""=V14&amp;"","✓","✗")</f>
        <v>✓</v>
      </c>
      <c r="X14" s="10" t="n">
        <v>2</v>
      </c>
      <c r="Y14" s="10" t="n">
        <v>2</v>
      </c>
      <c r="Z14" s="10" t="n">
        <v>0</v>
      </c>
      <c r="AA14" s="10" t="n">
        <v>4</v>
      </c>
      <c r="AB14" s="10" t="n">
        <v>2</v>
      </c>
      <c r="AC14" s="12" t="n">
        <f aca="false">IF(AND(X14="",AB14=0),"",N(AB14)-N(X14))</f>
        <v>0</v>
      </c>
      <c r="AD14" s="10" t="n">
        <f aca="false">COUNTIF(H14:W14,"✗")</f>
        <v>0</v>
      </c>
    </row>
    <row r="15" customFormat="false" ht="15" hidden="false" customHeight="false" outlineLevel="0" collapsed="false">
      <c r="A15" s="10" t="s">
        <v>87</v>
      </c>
      <c r="B15" s="10" t="s">
        <v>2</v>
      </c>
      <c r="C15" s="11" t="s">
        <v>88</v>
      </c>
      <c r="D15" s="11" t="s">
        <v>89</v>
      </c>
      <c r="E15" s="10" t="s">
        <v>50</v>
      </c>
      <c r="F15" s="10" t="s">
        <v>62</v>
      </c>
      <c r="G15" s="10" t="s">
        <v>62</v>
      </c>
      <c r="H15" s="10" t="str">
        <f aca="false">IF(F15&amp;""=G15&amp;"","✓","✗")</f>
        <v>✓</v>
      </c>
      <c r="I15" s="10" t="s">
        <v>52</v>
      </c>
      <c r="J15" s="10" t="s">
        <v>52</v>
      </c>
      <c r="K15" s="10" t="str">
        <f aca="false">IF(I15&amp;""=J15&amp;"","✓","✗")</f>
        <v>✓</v>
      </c>
      <c r="L15" s="10" t="n">
        <v>2</v>
      </c>
      <c r="M15" s="10" t="n">
        <v>2</v>
      </c>
      <c r="N15" s="10" t="str">
        <f aca="false">IF(L15&amp;""=M15&amp;"","✓","✗")</f>
        <v>✓</v>
      </c>
      <c r="O15" s="10" t="n">
        <v>1</v>
      </c>
      <c r="P15" s="10" t="n">
        <v>1</v>
      </c>
      <c r="Q15" s="10" t="str">
        <f aca="false">IF(O15&amp;""=P15&amp;"","✓","✗")</f>
        <v>✓</v>
      </c>
      <c r="R15" s="10" t="n">
        <v>13</v>
      </c>
      <c r="S15" s="10" t="n">
        <v>13</v>
      </c>
      <c r="T15" s="10" t="str">
        <f aca="false">IF(R15&amp;""=S15&amp;"","✓","✗")</f>
        <v>✓</v>
      </c>
      <c r="U15" s="10" t="n">
        <v>1</v>
      </c>
      <c r="V15" s="10" t="n">
        <v>1</v>
      </c>
      <c r="W15" s="10" t="str">
        <f aca="false">IF(U15&amp;""=V15&amp;"","✓","✗")</f>
        <v>✓</v>
      </c>
      <c r="X15" s="10" t="n">
        <v>2</v>
      </c>
      <c r="Y15" s="10" t="n">
        <v>2</v>
      </c>
      <c r="Z15" s="10" t="n">
        <v>0</v>
      </c>
      <c r="AA15" s="10" t="n">
        <v>4</v>
      </c>
      <c r="AB15" s="10" t="n">
        <v>2</v>
      </c>
      <c r="AC15" s="12" t="n">
        <f aca="false">IF(AND(X15="",AB15=0),"",N(AB15)-N(X15))</f>
        <v>0</v>
      </c>
      <c r="AD15" s="10" t="n">
        <f aca="false">COUNTIF(H15:W15,"✗")</f>
        <v>0</v>
      </c>
    </row>
    <row r="16" customFormat="false" ht="15" hidden="false" customHeight="false" outlineLevel="0" collapsed="false">
      <c r="A16" s="10" t="s">
        <v>90</v>
      </c>
      <c r="B16" s="10" t="s">
        <v>2</v>
      </c>
      <c r="C16" s="11" t="s">
        <v>91</v>
      </c>
      <c r="D16" s="11" t="s">
        <v>92</v>
      </c>
      <c r="E16" s="10" t="s">
        <v>50</v>
      </c>
      <c r="F16" s="10" t="s">
        <v>62</v>
      </c>
      <c r="G16" s="10" t="s">
        <v>62</v>
      </c>
      <c r="H16" s="10" t="str">
        <f aca="false">IF(F16&amp;""=G16&amp;"","✓","✗")</f>
        <v>✓</v>
      </c>
      <c r="I16" s="10" t="s">
        <v>52</v>
      </c>
      <c r="J16" s="10" t="s">
        <v>52</v>
      </c>
      <c r="K16" s="10" t="str">
        <f aca="false">IF(I16&amp;""=J16&amp;"","✓","✗")</f>
        <v>✓</v>
      </c>
      <c r="L16" s="10" t="n">
        <v>2</v>
      </c>
      <c r="M16" s="10" t="n">
        <v>2</v>
      </c>
      <c r="N16" s="10" t="str">
        <f aca="false">IF(L16&amp;""=M16&amp;"","✓","✗")</f>
        <v>✓</v>
      </c>
      <c r="O16" s="10" t="n">
        <v>1</v>
      </c>
      <c r="P16" s="10" t="n">
        <v>1</v>
      </c>
      <c r="Q16" s="10" t="str">
        <f aca="false">IF(O16&amp;""=P16&amp;"","✓","✗")</f>
        <v>✓</v>
      </c>
      <c r="R16" s="10" t="n">
        <v>13</v>
      </c>
      <c r="S16" s="10" t="n">
        <v>13</v>
      </c>
      <c r="T16" s="10" t="str">
        <f aca="false">IF(R16&amp;""=S16&amp;"","✓","✗")</f>
        <v>✓</v>
      </c>
      <c r="U16" s="10" t="n">
        <v>1</v>
      </c>
      <c r="V16" s="10" t="n">
        <v>1</v>
      </c>
      <c r="W16" s="10" t="str">
        <f aca="false">IF(U16&amp;""=V16&amp;"","✓","✗")</f>
        <v>✓</v>
      </c>
      <c r="X16" s="10" t="n">
        <v>2</v>
      </c>
      <c r="Y16" s="10" t="n">
        <v>2</v>
      </c>
      <c r="Z16" s="10" t="n">
        <v>0</v>
      </c>
      <c r="AA16" s="10" t="n">
        <v>4</v>
      </c>
      <c r="AB16" s="10" t="n">
        <v>2</v>
      </c>
      <c r="AC16" s="12" t="n">
        <f aca="false">IF(AND(X16="",AB16=0),"",N(AB16)-N(X16))</f>
        <v>0</v>
      </c>
      <c r="AD16" s="10" t="n">
        <f aca="false">COUNTIF(H16:W16,"✗")</f>
        <v>0</v>
      </c>
    </row>
    <row r="17" customFormat="false" ht="15" hidden="false" customHeight="false" outlineLevel="0" collapsed="false">
      <c r="A17" s="10" t="s">
        <v>93</v>
      </c>
      <c r="B17" s="10" t="s">
        <v>2</v>
      </c>
      <c r="C17" s="11" t="s">
        <v>94</v>
      </c>
      <c r="D17" s="11" t="s">
        <v>95</v>
      </c>
      <c r="E17" s="10" t="s">
        <v>50</v>
      </c>
      <c r="F17" s="10" t="s">
        <v>62</v>
      </c>
      <c r="G17" s="10" t="s">
        <v>62</v>
      </c>
      <c r="H17" s="10" t="str">
        <f aca="false">IF(F17&amp;""=G17&amp;"","✓","✗")</f>
        <v>✓</v>
      </c>
      <c r="I17" s="10" t="s">
        <v>52</v>
      </c>
      <c r="J17" s="10" t="s">
        <v>52</v>
      </c>
      <c r="K17" s="10" t="str">
        <f aca="false">IF(I17&amp;""=J17&amp;"","✓","✗")</f>
        <v>✓</v>
      </c>
      <c r="L17" s="10" t="n">
        <v>2</v>
      </c>
      <c r="M17" s="10" t="n">
        <v>2</v>
      </c>
      <c r="N17" s="10" t="str">
        <f aca="false">IF(L17&amp;""=M17&amp;"","✓","✗")</f>
        <v>✓</v>
      </c>
      <c r="O17" s="10" t="n">
        <v>1</v>
      </c>
      <c r="P17" s="10" t="n">
        <v>1</v>
      </c>
      <c r="Q17" s="10" t="str">
        <f aca="false">IF(O17&amp;""=P17&amp;"","✓","✗")</f>
        <v>✓</v>
      </c>
      <c r="R17" s="10" t="n">
        <v>14</v>
      </c>
      <c r="S17" s="10" t="n">
        <v>14</v>
      </c>
      <c r="T17" s="10" t="str">
        <f aca="false">IF(R17&amp;""=S17&amp;"","✓","✗")</f>
        <v>✓</v>
      </c>
      <c r="U17" s="10" t="n">
        <v>1</v>
      </c>
      <c r="V17" s="10" t="n">
        <v>1</v>
      </c>
      <c r="W17" s="10" t="str">
        <f aca="false">IF(U17&amp;""=V17&amp;"","✓","✗")</f>
        <v>✓</v>
      </c>
      <c r="X17" s="10" t="n">
        <v>2</v>
      </c>
      <c r="Y17" s="10" t="n">
        <v>2</v>
      </c>
      <c r="Z17" s="10" t="n">
        <v>0</v>
      </c>
      <c r="AA17" s="10" t="n">
        <v>4</v>
      </c>
      <c r="AB17" s="10" t="n">
        <v>2</v>
      </c>
      <c r="AC17" s="12" t="n">
        <f aca="false">IF(AND(X17="",AB17=0),"",N(AB17)-N(X17))</f>
        <v>0</v>
      </c>
      <c r="AD17" s="10" t="n">
        <f aca="false">COUNTIF(H17:W17,"✗")</f>
        <v>0</v>
      </c>
    </row>
    <row r="18" customFormat="false" ht="15" hidden="false" customHeight="false" outlineLevel="0" collapsed="false">
      <c r="A18" s="10" t="s">
        <v>96</v>
      </c>
      <c r="B18" s="10" t="s">
        <v>2</v>
      </c>
      <c r="C18" s="11" t="s">
        <v>97</v>
      </c>
      <c r="D18" s="11" t="s">
        <v>98</v>
      </c>
      <c r="E18" s="10" t="s">
        <v>50</v>
      </c>
      <c r="F18" s="10" t="s">
        <v>62</v>
      </c>
      <c r="G18" s="10" t="s">
        <v>62</v>
      </c>
      <c r="H18" s="10" t="str">
        <f aca="false">IF(F18&amp;""=G18&amp;"","✓","✗")</f>
        <v>✓</v>
      </c>
      <c r="I18" s="10" t="s">
        <v>52</v>
      </c>
      <c r="J18" s="10" t="s">
        <v>52</v>
      </c>
      <c r="K18" s="10" t="str">
        <f aca="false">IF(I18&amp;""=J18&amp;"","✓","✗")</f>
        <v>✓</v>
      </c>
      <c r="L18" s="10" t="n">
        <v>4</v>
      </c>
      <c r="M18" s="10" t="n">
        <v>4</v>
      </c>
      <c r="N18" s="10" t="str">
        <f aca="false">IF(L18&amp;""=M18&amp;"","✓","✗")</f>
        <v>✓</v>
      </c>
      <c r="O18" s="10" t="n">
        <v>1</v>
      </c>
      <c r="P18" s="10" t="n">
        <v>1</v>
      </c>
      <c r="Q18" s="10" t="str">
        <f aca="false">IF(O18&amp;""=P18&amp;"","✓","✗")</f>
        <v>✓</v>
      </c>
      <c r="R18" s="10" t="n">
        <v>19</v>
      </c>
      <c r="S18" s="10" t="n">
        <v>19</v>
      </c>
      <c r="T18" s="10" t="str">
        <f aca="false">IF(R18&amp;""=S18&amp;"","✓","✗")</f>
        <v>✓</v>
      </c>
      <c r="U18" s="10" t="n">
        <v>2</v>
      </c>
      <c r="V18" s="10" t="n">
        <v>2</v>
      </c>
      <c r="W18" s="10" t="str">
        <f aca="false">IF(U18&amp;""=V18&amp;"","✓","✗")</f>
        <v>✓</v>
      </c>
      <c r="X18" s="10" t="n">
        <v>5</v>
      </c>
      <c r="Y18" s="10" t="n">
        <v>5</v>
      </c>
      <c r="Z18" s="10" t="n">
        <v>0</v>
      </c>
      <c r="AA18" s="10" t="n">
        <v>10</v>
      </c>
      <c r="AB18" s="10" t="n">
        <v>5</v>
      </c>
      <c r="AC18" s="12" t="n">
        <f aca="false">IF(AND(X18="",AB18=0),"",N(AB18)-N(X18))</f>
        <v>0</v>
      </c>
      <c r="AD18" s="10" t="n">
        <f aca="false">COUNTIF(H18:W18,"✗")</f>
        <v>0</v>
      </c>
    </row>
    <row r="19" customFormat="false" ht="15" hidden="false" customHeight="false" outlineLevel="0" collapsed="false">
      <c r="A19" s="10" t="s">
        <v>99</v>
      </c>
      <c r="B19" s="10" t="s">
        <v>2</v>
      </c>
      <c r="C19" s="11" t="s">
        <v>100</v>
      </c>
      <c r="D19" s="11" t="s">
        <v>101</v>
      </c>
      <c r="E19" s="10" t="s">
        <v>50</v>
      </c>
      <c r="F19" s="10" t="s">
        <v>62</v>
      </c>
      <c r="G19" s="10" t="s">
        <v>62</v>
      </c>
      <c r="H19" s="10" t="str">
        <f aca="false">IF(F19&amp;""=G19&amp;"","✓","✗")</f>
        <v>✓</v>
      </c>
      <c r="I19" s="10" t="s">
        <v>52</v>
      </c>
      <c r="J19" s="10" t="s">
        <v>52</v>
      </c>
      <c r="K19" s="10" t="str">
        <f aca="false">IF(I19&amp;""=J19&amp;"","✓","✗")</f>
        <v>✓</v>
      </c>
      <c r="L19" s="10" t="n">
        <v>2</v>
      </c>
      <c r="M19" s="10" t="n">
        <v>2</v>
      </c>
      <c r="N19" s="10" t="str">
        <f aca="false">IF(L19&amp;""=M19&amp;"","✓","✗")</f>
        <v>✓</v>
      </c>
      <c r="O19" s="10" t="n">
        <v>1</v>
      </c>
      <c r="P19" s="10" t="n">
        <v>1</v>
      </c>
      <c r="Q19" s="10" t="str">
        <f aca="false">IF(O19&amp;""=P19&amp;"","✓","✗")</f>
        <v>✓</v>
      </c>
      <c r="R19" s="10" t="n">
        <v>13</v>
      </c>
      <c r="S19" s="10" t="n">
        <v>13</v>
      </c>
      <c r="T19" s="10" t="str">
        <f aca="false">IF(R19&amp;""=S19&amp;"","✓","✗")</f>
        <v>✓</v>
      </c>
      <c r="U19" s="10" t="n">
        <v>1</v>
      </c>
      <c r="V19" s="10" t="n">
        <v>1</v>
      </c>
      <c r="W19" s="10" t="str">
        <f aca="false">IF(U19&amp;""=V19&amp;"","✓","✗")</f>
        <v>✓</v>
      </c>
      <c r="X19" s="10" t="n">
        <v>2</v>
      </c>
      <c r="Y19" s="10" t="n">
        <v>2</v>
      </c>
      <c r="Z19" s="10" t="n">
        <v>0</v>
      </c>
      <c r="AA19" s="10" t="n">
        <v>4</v>
      </c>
      <c r="AB19" s="10" t="n">
        <v>2</v>
      </c>
      <c r="AC19" s="12" t="n">
        <f aca="false">IF(AND(X19="",AB19=0),"",N(AB19)-N(X19))</f>
        <v>0</v>
      </c>
      <c r="AD19" s="10" t="n">
        <f aca="false">COUNTIF(H19:W19,"✗")</f>
        <v>0</v>
      </c>
    </row>
    <row r="20" customFormat="false" ht="15" hidden="false" customHeight="false" outlineLevel="0" collapsed="false">
      <c r="A20" s="10" t="s">
        <v>102</v>
      </c>
      <c r="B20" s="10" t="s">
        <v>2</v>
      </c>
      <c r="C20" s="11" t="s">
        <v>103</v>
      </c>
      <c r="D20" s="11" t="s">
        <v>104</v>
      </c>
      <c r="E20" s="10" t="s">
        <v>50</v>
      </c>
      <c r="F20" s="10" t="s">
        <v>62</v>
      </c>
      <c r="G20" s="10" t="s">
        <v>62</v>
      </c>
      <c r="H20" s="10" t="str">
        <f aca="false">IF(F20&amp;""=G20&amp;"","✓","✗")</f>
        <v>✓</v>
      </c>
      <c r="I20" s="10" t="s">
        <v>52</v>
      </c>
      <c r="J20" s="10" t="s">
        <v>52</v>
      </c>
      <c r="K20" s="10" t="str">
        <f aca="false">IF(I20&amp;""=J20&amp;"","✓","✗")</f>
        <v>✓</v>
      </c>
      <c r="L20" s="10"/>
      <c r="M20" s="10"/>
      <c r="N20" s="10" t="str">
        <f aca="false">IF(L20&amp;""=M20&amp;"","✓","✗")</f>
        <v>✓</v>
      </c>
      <c r="O20" s="10"/>
      <c r="P20" s="10"/>
      <c r="Q20" s="10" t="str">
        <f aca="false">IF(O20&amp;""=P20&amp;"","✓","✗")</f>
        <v>✓</v>
      </c>
      <c r="R20" s="10"/>
      <c r="S20" s="10"/>
      <c r="T20" s="10" t="str">
        <f aca="false">IF(R20&amp;""=S20&amp;"","✓","✗")</f>
        <v>✓</v>
      </c>
      <c r="U20" s="10"/>
      <c r="V20" s="10"/>
      <c r="W20" s="10" t="str">
        <f aca="false">IF(U20&amp;""=V20&amp;"","✓","✗")</f>
        <v>✓</v>
      </c>
      <c r="X20" s="10"/>
      <c r="Y20" s="10"/>
      <c r="Z20" s="10"/>
      <c r="AA20" s="10" t="n">
        <v>0</v>
      </c>
      <c r="AB20" s="10" t="n">
        <v>2</v>
      </c>
      <c r="AC20" s="12" t="n">
        <f aca="false">IF(AND(X20="",AB20=0),"",N(AB20)-N(X20))</f>
        <v>2</v>
      </c>
      <c r="AD20" s="10" t="n">
        <f aca="false">COUNTIF(H20:W20,"✗")</f>
        <v>0</v>
      </c>
    </row>
    <row r="21" customFormat="false" ht="15" hidden="false" customHeight="false" outlineLevel="0" collapsed="false">
      <c r="A21" s="10" t="s">
        <v>105</v>
      </c>
      <c r="B21" s="10" t="s">
        <v>2</v>
      </c>
      <c r="C21" s="11" t="s">
        <v>106</v>
      </c>
      <c r="D21" s="11" t="s">
        <v>107</v>
      </c>
      <c r="E21" s="10" t="s">
        <v>50</v>
      </c>
      <c r="F21" s="10" t="s">
        <v>62</v>
      </c>
      <c r="G21" s="10" t="s">
        <v>62</v>
      </c>
      <c r="H21" s="10" t="str">
        <f aca="false">IF(F21&amp;""=G21&amp;"","✓","✗")</f>
        <v>✓</v>
      </c>
      <c r="I21" s="10" t="s">
        <v>108</v>
      </c>
      <c r="J21" s="10" t="s">
        <v>108</v>
      </c>
      <c r="K21" s="10" t="str">
        <f aca="false">IF(I21&amp;""=J21&amp;"","✓","✗")</f>
        <v>✓</v>
      </c>
      <c r="L21" s="10" t="n">
        <v>2</v>
      </c>
      <c r="M21" s="10" t="n">
        <v>2</v>
      </c>
      <c r="N21" s="10" t="str">
        <f aca="false">IF(L21&amp;""=M21&amp;"","✓","✗")</f>
        <v>✓</v>
      </c>
      <c r="O21" s="10" t="n">
        <v>1</v>
      </c>
      <c r="P21" s="10" t="n">
        <v>1</v>
      </c>
      <c r="Q21" s="10" t="str">
        <f aca="false">IF(O21&amp;""=P21&amp;"","✓","✗")</f>
        <v>✓</v>
      </c>
      <c r="R21" s="10" t="n">
        <v>11</v>
      </c>
      <c r="S21" s="10" t="n">
        <v>11</v>
      </c>
      <c r="T21" s="10" t="str">
        <f aca="false">IF(R21&amp;""=S21&amp;"","✓","✗")</f>
        <v>✓</v>
      </c>
      <c r="U21" s="10" t="n">
        <v>1</v>
      </c>
      <c r="V21" s="10" t="n">
        <v>1</v>
      </c>
      <c r="W21" s="10" t="str">
        <f aca="false">IF(U21&amp;""=V21&amp;"","✓","✗")</f>
        <v>✓</v>
      </c>
      <c r="X21" s="10" t="n">
        <v>1</v>
      </c>
      <c r="Y21" s="10" t="n">
        <v>1</v>
      </c>
      <c r="Z21" s="10" t="n">
        <v>1</v>
      </c>
      <c r="AA21" s="10" t="n">
        <v>3</v>
      </c>
      <c r="AB21" s="10" t="n">
        <v>3</v>
      </c>
      <c r="AC21" s="12" t="n">
        <f aca="false">IF(AND(X21="",AB21=0),"",N(AB21)-N(X21))</f>
        <v>2</v>
      </c>
      <c r="AD21" s="10" t="n">
        <f aca="false">COUNTIF(H21:W21,"✗")</f>
        <v>0</v>
      </c>
    </row>
    <row r="22" customFormat="false" ht="15" hidden="false" customHeight="false" outlineLevel="0" collapsed="false">
      <c r="A22" s="10" t="s">
        <v>109</v>
      </c>
      <c r="B22" s="10" t="s">
        <v>2</v>
      </c>
      <c r="C22" s="11" t="s">
        <v>110</v>
      </c>
      <c r="D22" s="11" t="s">
        <v>111</v>
      </c>
      <c r="E22" s="10" t="s">
        <v>50</v>
      </c>
      <c r="F22" s="10" t="s">
        <v>51</v>
      </c>
      <c r="G22" s="10" t="s">
        <v>51</v>
      </c>
      <c r="H22" s="10" t="str">
        <f aca="false">IF(F22&amp;""=G22&amp;"","✓","✗")</f>
        <v>✓</v>
      </c>
      <c r="I22" s="10" t="s">
        <v>108</v>
      </c>
      <c r="J22" s="10" t="s">
        <v>108</v>
      </c>
      <c r="K22" s="10" t="str">
        <f aca="false">IF(I22&amp;""=J22&amp;"","✓","✗")</f>
        <v>✓</v>
      </c>
      <c r="L22" s="10" t="n">
        <v>2</v>
      </c>
      <c r="M22" s="10" t="n">
        <v>2</v>
      </c>
      <c r="N22" s="10" t="str">
        <f aca="false">IF(L22&amp;""=M22&amp;"","✓","✗")</f>
        <v>✓</v>
      </c>
      <c r="O22" s="10" t="n">
        <v>1</v>
      </c>
      <c r="P22" s="10" t="n">
        <v>1</v>
      </c>
      <c r="Q22" s="10" t="str">
        <f aca="false">IF(O22&amp;""=P22&amp;"","✓","✗")</f>
        <v>✓</v>
      </c>
      <c r="R22" s="10" t="n">
        <v>14</v>
      </c>
      <c r="S22" s="10" t="n">
        <v>14</v>
      </c>
      <c r="T22" s="10" t="str">
        <f aca="false">IF(R22&amp;""=S22&amp;"","✓","✗")</f>
        <v>✓</v>
      </c>
      <c r="U22" s="10" t="n">
        <v>2</v>
      </c>
      <c r="V22" s="10" t="n">
        <v>2</v>
      </c>
      <c r="W22" s="10" t="str">
        <f aca="false">IF(U22&amp;""=V22&amp;"","✓","✗")</f>
        <v>✓</v>
      </c>
      <c r="X22" s="10" t="n">
        <v>1</v>
      </c>
      <c r="Y22" s="10" t="n">
        <v>1</v>
      </c>
      <c r="Z22" s="10" t="n">
        <v>1</v>
      </c>
      <c r="AA22" s="10" t="n">
        <v>3</v>
      </c>
      <c r="AB22" s="10" t="n">
        <v>3</v>
      </c>
      <c r="AC22" s="12" t="n">
        <f aca="false">IF(AND(X22="",AB22=0),"",N(AB22)-N(X22))</f>
        <v>2</v>
      </c>
      <c r="AD22" s="10" t="n">
        <f aca="false">COUNTIF(H22:W22,"✗")</f>
        <v>0</v>
      </c>
    </row>
    <row r="23" customFormat="false" ht="15" hidden="false" customHeight="false" outlineLevel="0" collapsed="false">
      <c r="A23" s="10" t="s">
        <v>112</v>
      </c>
      <c r="B23" s="10" t="s">
        <v>2</v>
      </c>
      <c r="C23" s="11" t="s">
        <v>113</v>
      </c>
      <c r="D23" s="11" t="s">
        <v>114</v>
      </c>
      <c r="E23" s="10" t="s">
        <v>50</v>
      </c>
      <c r="F23" s="10" t="s">
        <v>51</v>
      </c>
      <c r="G23" s="10" t="s">
        <v>51</v>
      </c>
      <c r="H23" s="10" t="str">
        <f aca="false">IF(F23&amp;""=G23&amp;"","✓","✗")</f>
        <v>✓</v>
      </c>
      <c r="I23" s="10" t="s">
        <v>52</v>
      </c>
      <c r="J23" s="10" t="s">
        <v>52</v>
      </c>
      <c r="K23" s="10" t="str">
        <f aca="false">IF(I23&amp;""=J23&amp;"","✓","✗")</f>
        <v>✓</v>
      </c>
      <c r="L23" s="10" t="n">
        <v>1</v>
      </c>
      <c r="M23" s="10" t="n">
        <v>1</v>
      </c>
      <c r="N23" s="10" t="str">
        <f aca="false">IF(L23&amp;""=M23&amp;"","✓","✗")</f>
        <v>✓</v>
      </c>
      <c r="O23" s="10" t="n">
        <v>2</v>
      </c>
      <c r="P23" s="10" t="n">
        <v>2</v>
      </c>
      <c r="Q23" s="10" t="str">
        <f aca="false">IF(O23&amp;""=P23&amp;"","✓","✗")</f>
        <v>✓</v>
      </c>
      <c r="R23" s="10" t="n">
        <v>24</v>
      </c>
      <c r="S23" s="10" t="n">
        <v>24</v>
      </c>
      <c r="T23" s="10" t="str">
        <f aca="false">IF(R23&amp;""=S23&amp;"","✓","✗")</f>
        <v>✓</v>
      </c>
      <c r="U23" s="10" t="n">
        <v>4</v>
      </c>
      <c r="V23" s="10" t="n">
        <v>4</v>
      </c>
      <c r="W23" s="10" t="str">
        <f aca="false">IF(U23&amp;""=V23&amp;"","✓","✗")</f>
        <v>✓</v>
      </c>
      <c r="X23" s="10" t="n">
        <v>2</v>
      </c>
      <c r="Y23" s="10" t="n">
        <v>2</v>
      </c>
      <c r="Z23" s="10" t="n">
        <v>0</v>
      </c>
      <c r="AA23" s="10" t="n">
        <v>4</v>
      </c>
      <c r="AB23" s="10" t="n">
        <v>4</v>
      </c>
      <c r="AC23" s="12" t="n">
        <f aca="false">IF(AND(X23="",AB23=0),"",N(AB23)-N(X23))</f>
        <v>2</v>
      </c>
      <c r="AD23" s="10" t="n">
        <f aca="false">COUNTIF(H23:W23,"✗")</f>
        <v>0</v>
      </c>
    </row>
    <row r="24" customFormat="false" ht="15" hidden="false" customHeight="false" outlineLevel="0" collapsed="false">
      <c r="A24" s="10" t="s">
        <v>115</v>
      </c>
      <c r="B24" s="10" t="s">
        <v>2</v>
      </c>
      <c r="C24" s="11" t="s">
        <v>116</v>
      </c>
      <c r="D24" s="11" t="s">
        <v>117</v>
      </c>
      <c r="E24" s="10" t="s">
        <v>50</v>
      </c>
      <c r="F24" s="10" t="s">
        <v>51</v>
      </c>
      <c r="G24" s="10" t="s">
        <v>51</v>
      </c>
      <c r="H24" s="10" t="str">
        <f aca="false">IF(F24&amp;""=G24&amp;"","✓","✗")</f>
        <v>✓</v>
      </c>
      <c r="I24" s="10" t="s">
        <v>52</v>
      </c>
      <c r="J24" s="10" t="s">
        <v>52</v>
      </c>
      <c r="K24" s="10" t="str">
        <f aca="false">IF(I24&amp;""=J24&amp;"","✓","✗")</f>
        <v>✓</v>
      </c>
      <c r="L24" s="10" t="n">
        <v>2</v>
      </c>
      <c r="M24" s="10" t="n">
        <v>2</v>
      </c>
      <c r="N24" s="10" t="str">
        <f aca="false">IF(L24&amp;""=M24&amp;"","✓","✗")</f>
        <v>✓</v>
      </c>
      <c r="O24" s="10" t="n">
        <v>2</v>
      </c>
      <c r="P24" s="10" t="n">
        <v>2</v>
      </c>
      <c r="Q24" s="10" t="str">
        <f aca="false">IF(O24&amp;""=P24&amp;"","✓","✗")</f>
        <v>✓</v>
      </c>
      <c r="R24" s="10" t="n">
        <v>20</v>
      </c>
      <c r="S24" s="10" t="n">
        <v>20</v>
      </c>
      <c r="T24" s="10" t="str">
        <f aca="false">IF(R24&amp;""=S24&amp;"","✓","✗")</f>
        <v>✓</v>
      </c>
      <c r="U24" s="10" t="n">
        <v>4</v>
      </c>
      <c r="V24" s="10" t="n">
        <v>4</v>
      </c>
      <c r="W24" s="10" t="str">
        <f aca="false">IF(U24&amp;""=V24&amp;"","✓","✗")</f>
        <v>✓</v>
      </c>
      <c r="X24" s="10" t="n">
        <v>2</v>
      </c>
      <c r="Y24" s="10" t="n">
        <v>2</v>
      </c>
      <c r="Z24" s="10" t="n">
        <v>0</v>
      </c>
      <c r="AA24" s="10" t="n">
        <v>4</v>
      </c>
      <c r="AB24" s="10" t="n">
        <v>4</v>
      </c>
      <c r="AC24" s="12" t="n">
        <f aca="false">IF(AND(X24="",AB24=0),"",N(AB24)-N(X24))</f>
        <v>2</v>
      </c>
      <c r="AD24" s="10" t="n">
        <f aca="false">COUNTIF(H24:W24,"✗")</f>
        <v>0</v>
      </c>
    </row>
    <row r="25" customFormat="false" ht="15" hidden="false" customHeight="false" outlineLevel="0" collapsed="false">
      <c r="A25" s="10" t="s">
        <v>118</v>
      </c>
      <c r="B25" s="10" t="s">
        <v>2</v>
      </c>
      <c r="C25" s="11" t="s">
        <v>119</v>
      </c>
      <c r="D25" s="11" t="s">
        <v>120</v>
      </c>
      <c r="E25" s="10" t="s">
        <v>50</v>
      </c>
      <c r="F25" s="10" t="s">
        <v>51</v>
      </c>
      <c r="G25" s="10" t="s">
        <v>51</v>
      </c>
      <c r="H25" s="10" t="str">
        <f aca="false">IF(F25&amp;""=G25&amp;"","✓","✗")</f>
        <v>✓</v>
      </c>
      <c r="I25" s="10" t="s">
        <v>52</v>
      </c>
      <c r="J25" s="10" t="s">
        <v>52</v>
      </c>
      <c r="K25" s="10" t="str">
        <f aca="false">IF(I25&amp;""=J25&amp;"","✓","✗")</f>
        <v>✓</v>
      </c>
      <c r="L25" s="10" t="n">
        <v>2</v>
      </c>
      <c r="M25" s="10" t="n">
        <v>2</v>
      </c>
      <c r="N25" s="10" t="str">
        <f aca="false">IF(L25&amp;""=M25&amp;"","✓","✗")</f>
        <v>✓</v>
      </c>
      <c r="O25" s="10" t="n">
        <v>2</v>
      </c>
      <c r="P25" s="10" t="n">
        <v>2</v>
      </c>
      <c r="Q25" s="10" t="str">
        <f aca="false">IF(O25&amp;""=P25&amp;"","✓","✗")</f>
        <v>✓</v>
      </c>
      <c r="R25" s="10" t="n">
        <v>20</v>
      </c>
      <c r="S25" s="10" t="n">
        <v>20</v>
      </c>
      <c r="T25" s="10" t="str">
        <f aca="false">IF(R25&amp;""=S25&amp;"","✓","✗")</f>
        <v>✓</v>
      </c>
      <c r="U25" s="10" t="n">
        <v>4</v>
      </c>
      <c r="V25" s="10" t="n">
        <v>4</v>
      </c>
      <c r="W25" s="10" t="str">
        <f aca="false">IF(U25&amp;""=V25&amp;"","✓","✗")</f>
        <v>✓</v>
      </c>
      <c r="X25" s="10" t="n">
        <v>3</v>
      </c>
      <c r="Y25" s="10" t="n">
        <v>3</v>
      </c>
      <c r="Z25" s="10" t="n">
        <v>1</v>
      </c>
      <c r="AA25" s="10" t="n">
        <v>7</v>
      </c>
      <c r="AB25" s="10" t="n">
        <v>5</v>
      </c>
      <c r="AC25" s="12" t="n">
        <f aca="false">IF(AND(X25="",AB25=0),"",N(AB25)-N(X25))</f>
        <v>2</v>
      </c>
      <c r="AD25" s="10" t="n">
        <f aca="false">COUNTIF(H25:W25,"✗")</f>
        <v>0</v>
      </c>
    </row>
    <row r="26" customFormat="false" ht="15" hidden="false" customHeight="false" outlineLevel="0" collapsed="false">
      <c r="A26" s="10" t="s">
        <v>121</v>
      </c>
      <c r="B26" s="10" t="s">
        <v>2</v>
      </c>
      <c r="C26" s="11" t="s">
        <v>122</v>
      </c>
      <c r="D26" s="11" t="s">
        <v>123</v>
      </c>
      <c r="E26" s="10" t="s">
        <v>50</v>
      </c>
      <c r="F26" s="10" t="s">
        <v>51</v>
      </c>
      <c r="G26" s="10" t="s">
        <v>51</v>
      </c>
      <c r="H26" s="10" t="str">
        <f aca="false">IF(F26&amp;""=G26&amp;"","✓","✗")</f>
        <v>✓</v>
      </c>
      <c r="I26" s="10" t="s">
        <v>52</v>
      </c>
      <c r="J26" s="10" t="s">
        <v>52</v>
      </c>
      <c r="K26" s="10" t="str">
        <f aca="false">IF(I26&amp;""=J26&amp;"","✓","✗")</f>
        <v>✓</v>
      </c>
      <c r="L26" s="10" t="n">
        <v>2</v>
      </c>
      <c r="M26" s="10" t="n">
        <v>2</v>
      </c>
      <c r="N26" s="10" t="str">
        <f aca="false">IF(L26&amp;""=M26&amp;"","✓","✗")</f>
        <v>✓</v>
      </c>
      <c r="O26" s="10" t="n">
        <v>2</v>
      </c>
      <c r="P26" s="10" t="n">
        <v>2</v>
      </c>
      <c r="Q26" s="10" t="str">
        <f aca="false">IF(O26&amp;""=P26&amp;"","✓","✗")</f>
        <v>✓</v>
      </c>
      <c r="R26" s="10" t="n">
        <v>20</v>
      </c>
      <c r="S26" s="10" t="n">
        <v>20</v>
      </c>
      <c r="T26" s="10" t="str">
        <f aca="false">IF(R26&amp;""=S26&amp;"","✓","✗")</f>
        <v>✓</v>
      </c>
      <c r="U26" s="10" t="n">
        <v>4</v>
      </c>
      <c r="V26" s="10" t="n">
        <v>4</v>
      </c>
      <c r="W26" s="10" t="str">
        <f aca="false">IF(U26&amp;""=V26&amp;"","✓","✗")</f>
        <v>✓</v>
      </c>
      <c r="X26" s="10" t="n">
        <v>2</v>
      </c>
      <c r="Y26" s="10" t="n">
        <v>2</v>
      </c>
      <c r="Z26" s="10" t="n">
        <v>0</v>
      </c>
      <c r="AA26" s="10" t="n">
        <v>4</v>
      </c>
      <c r="AB26" s="10" t="n">
        <v>4</v>
      </c>
      <c r="AC26" s="12" t="n">
        <f aca="false">IF(AND(X26="",AB26=0),"",N(AB26)-N(X26))</f>
        <v>2</v>
      </c>
      <c r="AD26" s="10" t="n">
        <f aca="false">COUNTIF(H26:W26,"✗")</f>
        <v>0</v>
      </c>
    </row>
    <row r="27" customFormat="false" ht="15" hidden="false" customHeight="false" outlineLevel="0" collapsed="false">
      <c r="A27" s="10" t="s">
        <v>124</v>
      </c>
      <c r="B27" s="10" t="s">
        <v>2</v>
      </c>
      <c r="C27" s="11" t="s">
        <v>125</v>
      </c>
      <c r="D27" s="11" t="s">
        <v>126</v>
      </c>
      <c r="E27" s="10" t="s">
        <v>50</v>
      </c>
      <c r="F27" s="10" t="s">
        <v>51</v>
      </c>
      <c r="G27" s="10" t="s">
        <v>51</v>
      </c>
      <c r="H27" s="10" t="str">
        <f aca="false">IF(F27&amp;""=G27&amp;"","✓","✗")</f>
        <v>✓</v>
      </c>
      <c r="I27" s="10" t="s">
        <v>52</v>
      </c>
      <c r="J27" s="10" t="s">
        <v>52</v>
      </c>
      <c r="K27" s="10" t="str">
        <f aca="false">IF(I27&amp;""=J27&amp;"","✓","✗")</f>
        <v>✓</v>
      </c>
      <c r="L27" s="10" t="n">
        <v>2</v>
      </c>
      <c r="M27" s="10" t="n">
        <v>2</v>
      </c>
      <c r="N27" s="10" t="str">
        <f aca="false">IF(L27&amp;""=M27&amp;"","✓","✗")</f>
        <v>✓</v>
      </c>
      <c r="O27" s="10" t="n">
        <v>2</v>
      </c>
      <c r="P27" s="10" t="n">
        <v>2</v>
      </c>
      <c r="Q27" s="10" t="str">
        <f aca="false">IF(O27&amp;""=P27&amp;"","✓","✗")</f>
        <v>✓</v>
      </c>
      <c r="R27" s="10" t="n">
        <v>20</v>
      </c>
      <c r="S27" s="10" t="n">
        <v>20</v>
      </c>
      <c r="T27" s="10" t="str">
        <f aca="false">IF(R27&amp;""=S27&amp;"","✓","✗")</f>
        <v>✓</v>
      </c>
      <c r="U27" s="10" t="n">
        <v>4</v>
      </c>
      <c r="V27" s="10" t="n">
        <v>4</v>
      </c>
      <c r="W27" s="10" t="str">
        <f aca="false">IF(U27&amp;""=V27&amp;"","✓","✗")</f>
        <v>✓</v>
      </c>
      <c r="X27" s="10" t="n">
        <v>3</v>
      </c>
      <c r="Y27" s="10" t="n">
        <v>3</v>
      </c>
      <c r="Z27" s="10" t="n">
        <v>1</v>
      </c>
      <c r="AA27" s="10" t="n">
        <v>7</v>
      </c>
      <c r="AB27" s="10" t="n">
        <v>5</v>
      </c>
      <c r="AC27" s="12" t="n">
        <f aca="false">IF(AND(X27="",AB27=0),"",N(AB27)-N(X27))</f>
        <v>2</v>
      </c>
      <c r="AD27" s="10" t="n">
        <f aca="false">COUNTIF(H27:W27,"✗")</f>
        <v>0</v>
      </c>
    </row>
    <row r="28" customFormat="false" ht="15" hidden="false" customHeight="false" outlineLevel="0" collapsed="false">
      <c r="A28" s="10" t="s">
        <v>127</v>
      </c>
      <c r="B28" s="10" t="s">
        <v>3</v>
      </c>
      <c r="C28" s="11" t="s">
        <v>128</v>
      </c>
      <c r="D28" s="11" t="s">
        <v>129</v>
      </c>
      <c r="E28" s="10" t="s">
        <v>50</v>
      </c>
      <c r="F28" s="10" t="s">
        <v>51</v>
      </c>
      <c r="G28" s="10" t="s">
        <v>51</v>
      </c>
      <c r="H28" s="10" t="str">
        <f aca="false">IF(F28&amp;""=G28&amp;"","✓","✗")</f>
        <v>✓</v>
      </c>
      <c r="I28" s="10" t="s">
        <v>108</v>
      </c>
      <c r="J28" s="10" t="s">
        <v>108</v>
      </c>
      <c r="K28" s="10" t="str">
        <f aca="false">IF(I28&amp;""=J28&amp;"","✓","✗")</f>
        <v>✓</v>
      </c>
      <c r="L28" s="10" t="n">
        <v>2</v>
      </c>
      <c r="M28" s="10" t="n">
        <v>2</v>
      </c>
      <c r="N28" s="10" t="str">
        <f aca="false">IF(L28&amp;""=M28&amp;"","✓","✗")</f>
        <v>✓</v>
      </c>
      <c r="O28" s="10" t="n">
        <v>2</v>
      </c>
      <c r="P28" s="10" t="n">
        <v>2</v>
      </c>
      <c r="Q28" s="10" t="str">
        <f aca="false">IF(O28&amp;""=P28&amp;"","✓","✗")</f>
        <v>✓</v>
      </c>
      <c r="R28" s="10" t="n">
        <v>20</v>
      </c>
      <c r="S28" s="10" t="n">
        <v>20</v>
      </c>
      <c r="T28" s="10" t="str">
        <f aca="false">IF(R28&amp;""=S28&amp;"","✓","✗")</f>
        <v>✓</v>
      </c>
      <c r="U28" s="10" t="n">
        <v>4</v>
      </c>
      <c r="V28" s="10" t="n">
        <v>4</v>
      </c>
      <c r="W28" s="10" t="str">
        <f aca="false">IF(U28&amp;""=V28&amp;"","✓","✗")</f>
        <v>✓</v>
      </c>
      <c r="X28" s="10" t="n">
        <v>2</v>
      </c>
      <c r="Y28" s="10" t="n">
        <v>2</v>
      </c>
      <c r="Z28" s="10" t="n">
        <v>1</v>
      </c>
      <c r="AA28" s="10" t="n">
        <v>5</v>
      </c>
      <c r="AB28" s="10" t="n">
        <v>5</v>
      </c>
      <c r="AC28" s="12" t="n">
        <f aca="false">IF(AND(X28="",AB28=0),"",N(AB28)-N(X28))</f>
        <v>3</v>
      </c>
      <c r="AD28" s="10" t="n">
        <f aca="false">COUNTIF(H28:W28,"✗")</f>
        <v>0</v>
      </c>
    </row>
    <row r="29" customFormat="false" ht="15" hidden="false" customHeight="false" outlineLevel="0" collapsed="false">
      <c r="A29" s="10" t="s">
        <v>130</v>
      </c>
      <c r="B29" s="10" t="s">
        <v>3</v>
      </c>
      <c r="C29" s="11" t="s">
        <v>131</v>
      </c>
      <c r="D29" s="11" t="s">
        <v>132</v>
      </c>
      <c r="E29" s="10" t="s">
        <v>50</v>
      </c>
      <c r="F29" s="10" t="s">
        <v>51</v>
      </c>
      <c r="G29" s="10" t="s">
        <v>51</v>
      </c>
      <c r="H29" s="10" t="str">
        <f aca="false">IF(F29&amp;""=G29&amp;"","✓","✗")</f>
        <v>✓</v>
      </c>
      <c r="I29" s="10" t="s">
        <v>52</v>
      </c>
      <c r="J29" s="10" t="s">
        <v>52</v>
      </c>
      <c r="K29" s="10" t="str">
        <f aca="false">IF(I29&amp;""=J29&amp;"","✓","✗")</f>
        <v>✓</v>
      </c>
      <c r="L29" s="10" t="n">
        <v>2</v>
      </c>
      <c r="M29" s="10" t="n">
        <v>2</v>
      </c>
      <c r="N29" s="10" t="str">
        <f aca="false">IF(L29&amp;""=M29&amp;"","✓","✗")</f>
        <v>✓</v>
      </c>
      <c r="O29" s="10" t="n">
        <v>1</v>
      </c>
      <c r="P29" s="10" t="n">
        <v>1</v>
      </c>
      <c r="Q29" s="10" t="str">
        <f aca="false">IF(O29&amp;""=P29&amp;"","✓","✗")</f>
        <v>✓</v>
      </c>
      <c r="R29" s="10" t="n">
        <v>14</v>
      </c>
      <c r="S29" s="10" t="n">
        <v>14</v>
      </c>
      <c r="T29" s="10" t="str">
        <f aca="false">IF(R29&amp;""=S29&amp;"","✓","✗")</f>
        <v>✓</v>
      </c>
      <c r="U29" s="10" t="n">
        <v>2</v>
      </c>
      <c r="V29" s="10" t="n">
        <v>2</v>
      </c>
      <c r="W29" s="10" t="str">
        <f aca="false">IF(U29&amp;""=V29&amp;"","✓","✗")</f>
        <v>✓</v>
      </c>
      <c r="X29" s="10" t="n">
        <v>1</v>
      </c>
      <c r="Y29" s="10" t="n">
        <v>1</v>
      </c>
      <c r="Z29" s="10" t="n">
        <v>0</v>
      </c>
      <c r="AA29" s="10" t="n">
        <v>2</v>
      </c>
      <c r="AB29" s="10" t="n">
        <v>2</v>
      </c>
      <c r="AC29" s="12" t="n">
        <f aca="false">IF(AND(X29="",AB29=0),"",N(AB29)-N(X29))</f>
        <v>1</v>
      </c>
      <c r="AD29" s="10" t="n">
        <f aca="false">COUNTIF(H29:W29,"✗")</f>
        <v>0</v>
      </c>
    </row>
    <row r="30" customFormat="false" ht="15" hidden="false" customHeight="false" outlineLevel="0" collapsed="false">
      <c r="A30" s="10" t="s">
        <v>133</v>
      </c>
      <c r="B30" s="10" t="s">
        <v>3</v>
      </c>
      <c r="C30" s="11" t="s">
        <v>134</v>
      </c>
      <c r="D30" s="11" t="s">
        <v>135</v>
      </c>
      <c r="E30" s="10" t="s">
        <v>50</v>
      </c>
      <c r="F30" s="10" t="s">
        <v>136</v>
      </c>
      <c r="G30" s="10" t="s">
        <v>136</v>
      </c>
      <c r="H30" s="10" t="str">
        <f aca="false">IF(F30&amp;""=G30&amp;"","✓","✗")</f>
        <v>✓</v>
      </c>
      <c r="I30" s="10" t="s">
        <v>52</v>
      </c>
      <c r="J30" s="10" t="s">
        <v>52</v>
      </c>
      <c r="K30" s="10" t="str">
        <f aca="false">IF(I30&amp;""=J30&amp;"","✓","✗")</f>
        <v>✓</v>
      </c>
      <c r="L30" s="10" t="n">
        <v>1</v>
      </c>
      <c r="M30" s="10" t="n">
        <v>1</v>
      </c>
      <c r="N30" s="10" t="str">
        <f aca="false">IF(L30&amp;""=M30&amp;"","✓","✗")</f>
        <v>✓</v>
      </c>
      <c r="O30" s="10" t="n">
        <v>2</v>
      </c>
      <c r="P30" s="10" t="n">
        <v>2</v>
      </c>
      <c r="Q30" s="10" t="str">
        <f aca="false">IF(O30&amp;""=P30&amp;"","✓","✗")</f>
        <v>✓</v>
      </c>
      <c r="R30" s="10" t="n">
        <v>16</v>
      </c>
      <c r="S30" s="10" t="n">
        <v>16</v>
      </c>
      <c r="T30" s="10" t="str">
        <f aca="false">IF(R30&amp;""=S30&amp;"","✓","✗")</f>
        <v>✓</v>
      </c>
      <c r="U30" s="10" t="n">
        <v>4</v>
      </c>
      <c r="V30" s="10" t="n">
        <v>4</v>
      </c>
      <c r="W30" s="10" t="str">
        <f aca="false">IF(U30&amp;""=V30&amp;"","✓","✗")</f>
        <v>✓</v>
      </c>
      <c r="X30" s="10" t="n">
        <v>2</v>
      </c>
      <c r="Y30" s="10" t="n">
        <v>2</v>
      </c>
      <c r="Z30" s="10" t="n">
        <v>0</v>
      </c>
      <c r="AA30" s="10" t="n">
        <v>4</v>
      </c>
      <c r="AB30" s="10" t="n">
        <v>4</v>
      </c>
      <c r="AC30" s="12" t="n">
        <f aca="false">IF(AND(X30="",AB30=0),"",N(AB30)-N(X30))</f>
        <v>2</v>
      </c>
      <c r="AD30" s="10" t="n">
        <f aca="false">COUNTIF(H30:W30,"✗")</f>
        <v>0</v>
      </c>
    </row>
    <row r="31" customFormat="false" ht="15" hidden="false" customHeight="false" outlineLevel="0" collapsed="false">
      <c r="A31" s="10" t="s">
        <v>137</v>
      </c>
      <c r="B31" s="10" t="s">
        <v>3</v>
      </c>
      <c r="C31" s="11" t="s">
        <v>138</v>
      </c>
      <c r="D31" s="11" t="s">
        <v>139</v>
      </c>
      <c r="E31" s="10" t="s">
        <v>50</v>
      </c>
      <c r="F31" s="10" t="s">
        <v>136</v>
      </c>
      <c r="G31" s="10" t="s">
        <v>136</v>
      </c>
      <c r="H31" s="10" t="str">
        <f aca="false">IF(F31&amp;""=G31&amp;"","✓","✗")</f>
        <v>✓</v>
      </c>
      <c r="I31" s="10" t="s">
        <v>52</v>
      </c>
      <c r="J31" s="10" t="s">
        <v>52</v>
      </c>
      <c r="K31" s="10" t="str">
        <f aca="false">IF(I31&amp;""=J31&amp;"","✓","✗")</f>
        <v>✓</v>
      </c>
      <c r="L31" s="10" t="n">
        <v>1</v>
      </c>
      <c r="M31" s="10" t="n">
        <v>1</v>
      </c>
      <c r="N31" s="10" t="str">
        <f aca="false">IF(L31&amp;""=M31&amp;"","✓","✗")</f>
        <v>✓</v>
      </c>
      <c r="O31" s="10" t="n">
        <v>2</v>
      </c>
      <c r="P31" s="10" t="n">
        <v>2</v>
      </c>
      <c r="Q31" s="10" t="str">
        <f aca="false">IF(O31&amp;""=P31&amp;"","✓","✗")</f>
        <v>✓</v>
      </c>
      <c r="R31" s="10" t="n">
        <v>16</v>
      </c>
      <c r="S31" s="10" t="n">
        <v>16</v>
      </c>
      <c r="T31" s="10" t="str">
        <f aca="false">IF(R31&amp;""=S31&amp;"","✓","✗")</f>
        <v>✓</v>
      </c>
      <c r="U31" s="10" t="n">
        <v>4</v>
      </c>
      <c r="V31" s="10" t="n">
        <v>4</v>
      </c>
      <c r="W31" s="10" t="str">
        <f aca="false">IF(U31&amp;""=V31&amp;"","✓","✗")</f>
        <v>✓</v>
      </c>
      <c r="X31" s="10" t="n">
        <v>2</v>
      </c>
      <c r="Y31" s="10" t="n">
        <v>2</v>
      </c>
      <c r="Z31" s="10" t="n">
        <v>0</v>
      </c>
      <c r="AA31" s="10" t="n">
        <v>4</v>
      </c>
      <c r="AB31" s="10" t="n">
        <v>4</v>
      </c>
      <c r="AC31" s="12" t="n">
        <f aca="false">IF(AND(X31="",AB31=0),"",N(AB31)-N(X31))</f>
        <v>2</v>
      </c>
      <c r="AD31" s="10" t="n">
        <f aca="false">COUNTIF(H31:W31,"✗")</f>
        <v>0</v>
      </c>
    </row>
    <row r="32" customFormat="false" ht="15" hidden="false" customHeight="false" outlineLevel="0" collapsed="false">
      <c r="A32" s="10" t="s">
        <v>140</v>
      </c>
      <c r="B32" s="10" t="s">
        <v>3</v>
      </c>
      <c r="C32" s="11" t="s">
        <v>141</v>
      </c>
      <c r="D32" s="11" t="s">
        <v>71</v>
      </c>
      <c r="E32" s="10" t="s">
        <v>50</v>
      </c>
      <c r="F32" s="10" t="s">
        <v>62</v>
      </c>
      <c r="G32" s="10" t="s">
        <v>62</v>
      </c>
      <c r="H32" s="10" t="str">
        <f aca="false">IF(F32&amp;""=G32&amp;"","✓","✗")</f>
        <v>✓</v>
      </c>
      <c r="I32" s="10" t="s">
        <v>52</v>
      </c>
      <c r="J32" s="10" t="s">
        <v>52</v>
      </c>
      <c r="K32" s="10" t="str">
        <f aca="false">IF(I32&amp;""=J32&amp;"","✓","✗")</f>
        <v>✓</v>
      </c>
      <c r="L32" s="10" t="n">
        <v>4</v>
      </c>
      <c r="M32" s="10" t="n">
        <v>4</v>
      </c>
      <c r="N32" s="10" t="str">
        <f aca="false">IF(L32&amp;""=M32&amp;"","✓","✗")</f>
        <v>✓</v>
      </c>
      <c r="O32" s="10" t="n">
        <v>2</v>
      </c>
      <c r="P32" s="10" t="n">
        <v>2</v>
      </c>
      <c r="Q32" s="10" t="str">
        <f aca="false">IF(O32&amp;""=P32&amp;"","✓","✗")</f>
        <v>✓</v>
      </c>
      <c r="R32" s="10" t="n">
        <v>22</v>
      </c>
      <c r="S32" s="10" t="n">
        <v>22</v>
      </c>
      <c r="T32" s="10" t="str">
        <f aca="false">IF(R32&amp;""=S32&amp;"","✓","✗")</f>
        <v>✓</v>
      </c>
      <c r="U32" s="10" t="n">
        <v>2</v>
      </c>
      <c r="V32" s="10" t="n">
        <v>2</v>
      </c>
      <c r="W32" s="10" t="str">
        <f aca="false">IF(U32&amp;""=V32&amp;"","✓","✗")</f>
        <v>✓</v>
      </c>
      <c r="X32" s="10" t="n">
        <v>5</v>
      </c>
      <c r="Y32" s="10" t="n">
        <v>5</v>
      </c>
      <c r="Z32" s="10" t="n">
        <v>0</v>
      </c>
      <c r="AA32" s="10" t="n">
        <v>10</v>
      </c>
      <c r="AB32" s="10" t="n">
        <v>6</v>
      </c>
      <c r="AC32" s="12" t="n">
        <f aca="false">IF(AND(X32="",AB32=0),"",N(AB32)-N(X32))</f>
        <v>1</v>
      </c>
      <c r="AD32" s="10" t="n">
        <f aca="false">COUNTIF(H32:W32,"✗")</f>
        <v>0</v>
      </c>
    </row>
    <row r="33" customFormat="false" ht="15" hidden="false" customHeight="false" outlineLevel="0" collapsed="false">
      <c r="A33" s="10" t="s">
        <v>142</v>
      </c>
      <c r="B33" s="10" t="s">
        <v>3</v>
      </c>
      <c r="C33" s="11" t="s">
        <v>143</v>
      </c>
      <c r="D33" s="11" t="s">
        <v>144</v>
      </c>
      <c r="E33" s="10" t="s">
        <v>50</v>
      </c>
      <c r="F33" s="10" t="s">
        <v>62</v>
      </c>
      <c r="G33" s="10" t="s">
        <v>62</v>
      </c>
      <c r="H33" s="10" t="str">
        <f aca="false">IF(F33&amp;""=G33&amp;"","✓","✗")</f>
        <v>✓</v>
      </c>
      <c r="I33" s="10" t="s">
        <v>108</v>
      </c>
      <c r="J33" s="10" t="s">
        <v>108</v>
      </c>
      <c r="K33" s="10" t="str">
        <f aca="false">IF(I33&amp;""=J33&amp;"","✓","✗")</f>
        <v>✓</v>
      </c>
      <c r="L33" s="10" t="n">
        <v>2</v>
      </c>
      <c r="M33" s="10" t="n">
        <v>2</v>
      </c>
      <c r="N33" s="10" t="str">
        <f aca="false">IF(L33&amp;""=M33&amp;"","✓","✗")</f>
        <v>✓</v>
      </c>
      <c r="O33" s="10" t="n">
        <v>1</v>
      </c>
      <c r="P33" s="10" t="n">
        <v>1</v>
      </c>
      <c r="Q33" s="10" t="str">
        <f aca="false">IF(O33&amp;""=P33&amp;"","✓","✗")</f>
        <v>✓</v>
      </c>
      <c r="R33" s="10" t="n">
        <v>14</v>
      </c>
      <c r="S33" s="10" t="n">
        <v>14</v>
      </c>
      <c r="T33" s="10" t="str">
        <f aca="false">IF(R33&amp;""=S33&amp;"","✓","✗")</f>
        <v>✓</v>
      </c>
      <c r="U33" s="10" t="n">
        <v>2</v>
      </c>
      <c r="V33" s="10" t="n">
        <v>2</v>
      </c>
      <c r="W33" s="10" t="str">
        <f aca="false">IF(U33&amp;""=V33&amp;"","✓","✗")</f>
        <v>✓</v>
      </c>
      <c r="X33" s="10" t="n">
        <v>2</v>
      </c>
      <c r="Y33" s="10" t="n">
        <v>2</v>
      </c>
      <c r="Z33" s="10" t="n">
        <v>1</v>
      </c>
      <c r="AA33" s="10" t="n">
        <v>5</v>
      </c>
      <c r="AB33" s="10" t="n">
        <v>4</v>
      </c>
      <c r="AC33" s="12" t="n">
        <f aca="false">IF(AND(X33="",AB33=0),"",N(AB33)-N(X33))</f>
        <v>2</v>
      </c>
      <c r="AD33" s="10" t="n">
        <f aca="false">COUNTIF(H33:W33,"✗")</f>
        <v>0</v>
      </c>
    </row>
    <row r="34" customFormat="false" ht="15" hidden="false" customHeight="false" outlineLevel="0" collapsed="false">
      <c r="A34" s="10" t="s">
        <v>145</v>
      </c>
      <c r="B34" s="10" t="s">
        <v>3</v>
      </c>
      <c r="C34" s="11" t="s">
        <v>146</v>
      </c>
      <c r="D34" s="11" t="s">
        <v>147</v>
      </c>
      <c r="E34" s="10" t="s">
        <v>50</v>
      </c>
      <c r="F34" s="10" t="s">
        <v>136</v>
      </c>
      <c r="G34" s="10" t="s">
        <v>136</v>
      </c>
      <c r="H34" s="10" t="str">
        <f aca="false">IF(F34&amp;""=G34&amp;"","✓","✗")</f>
        <v>✓</v>
      </c>
      <c r="I34" s="10" t="s">
        <v>52</v>
      </c>
      <c r="J34" s="10" t="s">
        <v>52</v>
      </c>
      <c r="K34" s="10" t="str">
        <f aca="false">IF(I34&amp;""=J34&amp;"","✓","✗")</f>
        <v>✓</v>
      </c>
      <c r="L34" s="10" t="n">
        <v>1</v>
      </c>
      <c r="M34" s="10" t="n">
        <v>1</v>
      </c>
      <c r="N34" s="10" t="str">
        <f aca="false">IF(L34&amp;""=M34&amp;"","✓","✗")</f>
        <v>✓</v>
      </c>
      <c r="O34" s="10" t="n">
        <v>2</v>
      </c>
      <c r="P34" s="10" t="n">
        <v>2</v>
      </c>
      <c r="Q34" s="10" t="str">
        <f aca="false">IF(O34&amp;""=P34&amp;"","✓","✗")</f>
        <v>✓</v>
      </c>
      <c r="R34" s="10" t="n">
        <v>16</v>
      </c>
      <c r="S34" s="10" t="n">
        <v>16</v>
      </c>
      <c r="T34" s="10" t="str">
        <f aca="false">IF(R34&amp;""=S34&amp;"","✓","✗")</f>
        <v>✓</v>
      </c>
      <c r="U34" s="10" t="n">
        <v>4</v>
      </c>
      <c r="V34" s="10" t="n">
        <v>4</v>
      </c>
      <c r="W34" s="10" t="str">
        <f aca="false">IF(U34&amp;""=V34&amp;"","✓","✗")</f>
        <v>✓</v>
      </c>
      <c r="X34" s="10" t="n">
        <v>2</v>
      </c>
      <c r="Y34" s="10" t="n">
        <v>2</v>
      </c>
      <c r="Z34" s="10" t="n">
        <v>0</v>
      </c>
      <c r="AA34" s="10" t="n">
        <v>4</v>
      </c>
      <c r="AB34" s="10" t="n">
        <v>4</v>
      </c>
      <c r="AC34" s="12" t="n">
        <f aca="false">IF(AND(X34="",AB34=0),"",N(AB34)-N(X34))</f>
        <v>2</v>
      </c>
      <c r="AD34" s="10" t="n">
        <f aca="false">COUNTIF(H34:W34,"✗")</f>
        <v>0</v>
      </c>
    </row>
    <row r="35" customFormat="false" ht="15" hidden="false" customHeight="false" outlineLevel="0" collapsed="false">
      <c r="A35" s="10" t="s">
        <v>148</v>
      </c>
      <c r="B35" s="10" t="s">
        <v>3</v>
      </c>
      <c r="C35" s="11" t="s">
        <v>149</v>
      </c>
      <c r="D35" s="11" t="s">
        <v>150</v>
      </c>
      <c r="E35" s="10" t="s">
        <v>50</v>
      </c>
      <c r="F35" s="10" t="s">
        <v>151</v>
      </c>
      <c r="G35" s="10" t="s">
        <v>151</v>
      </c>
      <c r="H35" s="10" t="str">
        <f aca="false">IF(F35&amp;""=G35&amp;"","✓","✗")</f>
        <v>✓</v>
      </c>
      <c r="I35" s="10" t="s">
        <v>108</v>
      </c>
      <c r="J35" s="10" t="s">
        <v>108</v>
      </c>
      <c r="K35" s="10" t="str">
        <f aca="false">IF(I35&amp;""=J35&amp;"","✓","✗")</f>
        <v>✓</v>
      </c>
      <c r="L35" s="10" t="n">
        <v>1</v>
      </c>
      <c r="M35" s="10" t="n">
        <v>1</v>
      </c>
      <c r="N35" s="10" t="str">
        <f aca="false">IF(L35&amp;""=M35&amp;"","✓","✗")</f>
        <v>✓</v>
      </c>
      <c r="O35" s="10" t="n">
        <v>1</v>
      </c>
      <c r="P35" s="10" t="n">
        <v>1</v>
      </c>
      <c r="Q35" s="10" t="str">
        <f aca="false">IF(O35&amp;""=P35&amp;"","✓","✗")</f>
        <v>✓</v>
      </c>
      <c r="R35" s="10" t="n">
        <v>7</v>
      </c>
      <c r="S35" s="10" t="n">
        <v>7</v>
      </c>
      <c r="T35" s="10" t="str">
        <f aca="false">IF(R35&amp;""=S35&amp;"","✓","✗")</f>
        <v>✓</v>
      </c>
      <c r="U35" s="10" t="n">
        <v>1</v>
      </c>
      <c r="V35" s="10" t="n">
        <v>1</v>
      </c>
      <c r="W35" s="10" t="str">
        <f aca="false">IF(U35&amp;""=V35&amp;"","✓","✗")</f>
        <v>✓</v>
      </c>
      <c r="X35" s="10" t="n">
        <v>3</v>
      </c>
      <c r="Y35" s="10" t="n">
        <v>3</v>
      </c>
      <c r="Z35" s="10" t="n">
        <v>1</v>
      </c>
      <c r="AA35" s="10" t="n">
        <v>7</v>
      </c>
      <c r="AB35" s="10" t="n">
        <v>5</v>
      </c>
      <c r="AC35" s="12" t="n">
        <f aca="false">IF(AND(X35="",AB35=0),"",N(AB35)-N(X35))</f>
        <v>2</v>
      </c>
      <c r="AD35" s="10" t="n">
        <f aca="false">COUNTIF(H35:W35,"✗")</f>
        <v>0</v>
      </c>
    </row>
    <row r="36" customFormat="false" ht="15" hidden="false" customHeight="false" outlineLevel="0" collapsed="false">
      <c r="A36" s="10" t="s">
        <v>152</v>
      </c>
      <c r="B36" s="10" t="s">
        <v>3</v>
      </c>
      <c r="C36" s="11" t="s">
        <v>153</v>
      </c>
      <c r="D36" s="11" t="s">
        <v>154</v>
      </c>
      <c r="E36" s="10" t="s">
        <v>50</v>
      </c>
      <c r="F36" s="10" t="s">
        <v>151</v>
      </c>
      <c r="G36" s="10" t="s">
        <v>151</v>
      </c>
      <c r="H36" s="10" t="str">
        <f aca="false">IF(F36&amp;""=G36&amp;"","✓","✗")</f>
        <v>✓</v>
      </c>
      <c r="I36" s="10" t="s">
        <v>108</v>
      </c>
      <c r="J36" s="10" t="s">
        <v>108</v>
      </c>
      <c r="K36" s="10" t="str">
        <f aca="false">IF(I36&amp;""=J36&amp;"","✓","✗")</f>
        <v>✓</v>
      </c>
      <c r="L36" s="10" t="n">
        <v>1</v>
      </c>
      <c r="M36" s="10" t="n">
        <v>1</v>
      </c>
      <c r="N36" s="10" t="str">
        <f aca="false">IF(L36&amp;""=M36&amp;"","✓","✗")</f>
        <v>✓</v>
      </c>
      <c r="O36" s="10" t="n">
        <v>1</v>
      </c>
      <c r="P36" s="10" t="n">
        <v>1</v>
      </c>
      <c r="Q36" s="10" t="str">
        <f aca="false">IF(O36&amp;""=P36&amp;"","✓","✗")</f>
        <v>✓</v>
      </c>
      <c r="R36" s="10" t="n">
        <v>10</v>
      </c>
      <c r="S36" s="10" t="n">
        <v>10</v>
      </c>
      <c r="T36" s="10" t="str">
        <f aca="false">IF(R36&amp;""=S36&amp;"","✓","✗")</f>
        <v>✓</v>
      </c>
      <c r="U36" s="10" t="n">
        <v>2</v>
      </c>
      <c r="V36" s="10" t="n">
        <v>2</v>
      </c>
      <c r="W36" s="10" t="str">
        <f aca="false">IF(U36&amp;""=V36&amp;"","✓","✗")</f>
        <v>✓</v>
      </c>
      <c r="X36" s="10" t="n">
        <v>1</v>
      </c>
      <c r="Y36" s="10" t="n">
        <v>1</v>
      </c>
      <c r="Z36" s="10" t="n">
        <v>1</v>
      </c>
      <c r="AA36" s="10" t="n">
        <v>3</v>
      </c>
      <c r="AB36" s="10" t="n">
        <v>3</v>
      </c>
      <c r="AC36" s="12" t="n">
        <f aca="false">IF(AND(X36="",AB36=0),"",N(AB36)-N(X36))</f>
        <v>2</v>
      </c>
      <c r="AD36" s="10" t="n">
        <f aca="false">COUNTIF(H36:W36,"✗")</f>
        <v>0</v>
      </c>
    </row>
    <row r="37" customFormat="false" ht="15" hidden="false" customHeight="false" outlineLevel="0" collapsed="false">
      <c r="A37" s="10" t="s">
        <v>155</v>
      </c>
      <c r="B37" s="10" t="s">
        <v>3</v>
      </c>
      <c r="C37" s="11" t="s">
        <v>156</v>
      </c>
      <c r="D37" s="11" t="s">
        <v>157</v>
      </c>
      <c r="E37" s="10" t="s">
        <v>50</v>
      </c>
      <c r="F37" s="10" t="s">
        <v>51</v>
      </c>
      <c r="G37" s="10" t="s">
        <v>51</v>
      </c>
      <c r="H37" s="10" t="str">
        <f aca="false">IF(F37&amp;""=G37&amp;"","✓","✗")</f>
        <v>✓</v>
      </c>
      <c r="I37" s="10" t="s">
        <v>108</v>
      </c>
      <c r="J37" s="10" t="s">
        <v>108</v>
      </c>
      <c r="K37" s="10" t="str">
        <f aca="false">IF(I37&amp;""=J37&amp;"","✓","✗")</f>
        <v>✓</v>
      </c>
      <c r="L37" s="10" t="n">
        <v>2</v>
      </c>
      <c r="M37" s="10" t="n">
        <v>2</v>
      </c>
      <c r="N37" s="10" t="str">
        <f aca="false">IF(L37&amp;""=M37&amp;"","✓","✗")</f>
        <v>✓</v>
      </c>
      <c r="O37" s="10" t="n">
        <v>1</v>
      </c>
      <c r="P37" s="10" t="n">
        <v>1</v>
      </c>
      <c r="Q37" s="10" t="str">
        <f aca="false">IF(O37&amp;""=P37&amp;"","✓","✗")</f>
        <v>✓</v>
      </c>
      <c r="R37" s="10" t="n">
        <v>14</v>
      </c>
      <c r="S37" s="10" t="n">
        <v>14</v>
      </c>
      <c r="T37" s="10" t="str">
        <f aca="false">IF(R37&amp;""=S37&amp;"","✓","✗")</f>
        <v>✓</v>
      </c>
      <c r="U37" s="10" t="n">
        <v>2</v>
      </c>
      <c r="V37" s="10" t="n">
        <v>2</v>
      </c>
      <c r="W37" s="10" t="str">
        <f aca="false">IF(U37&amp;""=V37&amp;"","✓","✗")</f>
        <v>✓</v>
      </c>
      <c r="X37" s="10" t="n">
        <v>1</v>
      </c>
      <c r="Y37" s="10" t="n">
        <v>1</v>
      </c>
      <c r="Z37" s="10" t="n">
        <v>1</v>
      </c>
      <c r="AA37" s="10" t="n">
        <v>3</v>
      </c>
      <c r="AB37" s="10" t="n">
        <v>3</v>
      </c>
      <c r="AC37" s="12" t="n">
        <f aca="false">IF(AND(X37="",AB37=0),"",N(AB37)-N(X37))</f>
        <v>2</v>
      </c>
      <c r="AD37" s="10" t="n">
        <f aca="false">COUNTIF(H37:W37,"✗")</f>
        <v>0</v>
      </c>
    </row>
    <row r="38" customFormat="false" ht="15" hidden="false" customHeight="false" outlineLevel="0" collapsed="false">
      <c r="A38" s="10" t="s">
        <v>158</v>
      </c>
      <c r="B38" s="10" t="s">
        <v>3</v>
      </c>
      <c r="C38" s="11" t="s">
        <v>159</v>
      </c>
      <c r="D38" s="11" t="s">
        <v>160</v>
      </c>
      <c r="E38" s="10" t="s">
        <v>50</v>
      </c>
      <c r="F38" s="10" t="s">
        <v>136</v>
      </c>
      <c r="G38" s="10" t="s">
        <v>136</v>
      </c>
      <c r="H38" s="10" t="str">
        <f aca="false">IF(F38&amp;""=G38&amp;"","✓","✗")</f>
        <v>✓</v>
      </c>
      <c r="I38" s="10" t="s">
        <v>52</v>
      </c>
      <c r="J38" s="10" t="s">
        <v>52</v>
      </c>
      <c r="K38" s="10" t="str">
        <f aca="false">IF(I38&amp;""=J38&amp;"","✓","✗")</f>
        <v>✓</v>
      </c>
      <c r="L38" s="10" t="n">
        <v>1</v>
      </c>
      <c r="M38" s="10" t="n">
        <v>1</v>
      </c>
      <c r="N38" s="10" t="str">
        <f aca="false">IF(L38&amp;""=M38&amp;"","✓","✗")</f>
        <v>✓</v>
      </c>
      <c r="O38" s="10" t="n">
        <v>2</v>
      </c>
      <c r="P38" s="10" t="n">
        <v>2</v>
      </c>
      <c r="Q38" s="10" t="str">
        <f aca="false">IF(O38&amp;""=P38&amp;"","✓","✗")</f>
        <v>✓</v>
      </c>
      <c r="R38" s="10" t="n">
        <v>16</v>
      </c>
      <c r="S38" s="10" t="n">
        <v>16</v>
      </c>
      <c r="T38" s="10" t="str">
        <f aca="false">IF(R38&amp;""=S38&amp;"","✓","✗")</f>
        <v>✓</v>
      </c>
      <c r="U38" s="10" t="n">
        <v>4</v>
      </c>
      <c r="V38" s="10" t="n">
        <v>4</v>
      </c>
      <c r="W38" s="10" t="str">
        <f aca="false">IF(U38&amp;""=V38&amp;"","✓","✗")</f>
        <v>✓</v>
      </c>
      <c r="X38" s="10" t="n">
        <v>2</v>
      </c>
      <c r="Y38" s="10" t="n">
        <v>2</v>
      </c>
      <c r="Z38" s="10" t="n">
        <v>0</v>
      </c>
      <c r="AA38" s="10" t="n">
        <v>4</v>
      </c>
      <c r="AB38" s="10" t="n">
        <v>4</v>
      </c>
      <c r="AC38" s="12" t="n">
        <f aca="false">IF(AND(X38="",AB38=0),"",N(AB38)-N(X38))</f>
        <v>2</v>
      </c>
      <c r="AD38" s="10" t="n">
        <f aca="false">COUNTIF(H38:W38,"✗")</f>
        <v>0</v>
      </c>
    </row>
    <row r="39" customFormat="false" ht="15" hidden="false" customHeight="false" outlineLevel="0" collapsed="false">
      <c r="A39" s="10" t="s">
        <v>161</v>
      </c>
      <c r="B39" s="10" t="s">
        <v>3</v>
      </c>
      <c r="C39" s="11" t="s">
        <v>162</v>
      </c>
      <c r="D39" s="11" t="s">
        <v>163</v>
      </c>
      <c r="E39" s="10" t="s">
        <v>50</v>
      </c>
      <c r="F39" s="10" t="s">
        <v>136</v>
      </c>
      <c r="G39" s="10" t="s">
        <v>136</v>
      </c>
      <c r="H39" s="10" t="str">
        <f aca="false">IF(F39&amp;""=G39&amp;"","✓","✗")</f>
        <v>✓</v>
      </c>
      <c r="I39" s="10" t="s">
        <v>52</v>
      </c>
      <c r="J39" s="10" t="s">
        <v>52</v>
      </c>
      <c r="K39" s="10" t="str">
        <f aca="false">IF(I39&amp;""=J39&amp;"","✓","✗")</f>
        <v>✓</v>
      </c>
      <c r="L39" s="10" t="n">
        <v>1</v>
      </c>
      <c r="M39" s="10" t="n">
        <v>1</v>
      </c>
      <c r="N39" s="10" t="str">
        <f aca="false">IF(L39&amp;""=M39&amp;"","✓","✗")</f>
        <v>✓</v>
      </c>
      <c r="O39" s="10" t="n">
        <v>2</v>
      </c>
      <c r="P39" s="10" t="n">
        <v>2</v>
      </c>
      <c r="Q39" s="10" t="str">
        <f aca="false">IF(O39&amp;""=P39&amp;"","✓","✗")</f>
        <v>✓</v>
      </c>
      <c r="R39" s="10" t="n">
        <v>15</v>
      </c>
      <c r="S39" s="10" t="n">
        <v>15</v>
      </c>
      <c r="T39" s="10" t="str">
        <f aca="false">IF(R39&amp;""=S39&amp;"","✓","✗")</f>
        <v>✓</v>
      </c>
      <c r="U39" s="10" t="n">
        <v>4</v>
      </c>
      <c r="V39" s="10" t="n">
        <v>4</v>
      </c>
      <c r="W39" s="10" t="str">
        <f aca="false">IF(U39&amp;""=V39&amp;"","✓","✗")</f>
        <v>✓</v>
      </c>
      <c r="X39" s="10" t="n">
        <v>4</v>
      </c>
      <c r="Y39" s="10" t="n">
        <v>4</v>
      </c>
      <c r="Z39" s="10" t="n">
        <v>0</v>
      </c>
      <c r="AA39" s="10" t="n">
        <v>8</v>
      </c>
      <c r="AB39" s="10" t="n">
        <v>8</v>
      </c>
      <c r="AC39" s="12" t="n">
        <f aca="false">IF(AND(X39="",AB39=0),"",N(AB39)-N(X39))</f>
        <v>4</v>
      </c>
      <c r="AD39" s="10" t="n">
        <f aca="false">COUNTIF(H39:W39,"✗")</f>
        <v>0</v>
      </c>
    </row>
    <row r="40" customFormat="false" ht="15" hidden="false" customHeight="false" outlineLevel="0" collapsed="false">
      <c r="A40" s="10" t="s">
        <v>164</v>
      </c>
      <c r="B40" s="10" t="s">
        <v>3</v>
      </c>
      <c r="C40" s="11" t="s">
        <v>165</v>
      </c>
      <c r="D40" s="11" t="s">
        <v>166</v>
      </c>
      <c r="E40" s="10" t="s">
        <v>50</v>
      </c>
      <c r="F40" s="10" t="s">
        <v>136</v>
      </c>
      <c r="G40" s="10" t="s">
        <v>136</v>
      </c>
      <c r="H40" s="10" t="str">
        <f aca="false">IF(F40&amp;""=G40&amp;"","✓","✗")</f>
        <v>✓</v>
      </c>
      <c r="I40" s="10" t="s">
        <v>52</v>
      </c>
      <c r="J40" s="10" t="s">
        <v>52</v>
      </c>
      <c r="K40" s="10" t="str">
        <f aca="false">IF(I40&amp;""=J40&amp;"","✓","✗")</f>
        <v>✓</v>
      </c>
      <c r="L40" s="10" t="n">
        <v>1</v>
      </c>
      <c r="M40" s="10" t="n">
        <v>1</v>
      </c>
      <c r="N40" s="10" t="str">
        <f aca="false">IF(L40&amp;""=M40&amp;"","✓","✗")</f>
        <v>✓</v>
      </c>
      <c r="O40" s="10" t="n">
        <v>2</v>
      </c>
      <c r="P40" s="10" t="n">
        <v>2</v>
      </c>
      <c r="Q40" s="10" t="str">
        <f aca="false">IF(O40&amp;""=P40&amp;"","✓","✗")</f>
        <v>✓</v>
      </c>
      <c r="R40" s="10" t="n">
        <v>16</v>
      </c>
      <c r="S40" s="10" t="n">
        <v>16</v>
      </c>
      <c r="T40" s="10" t="str">
        <f aca="false">IF(R40&amp;""=S40&amp;"","✓","✗")</f>
        <v>✓</v>
      </c>
      <c r="U40" s="10" t="n">
        <v>4</v>
      </c>
      <c r="V40" s="10" t="n">
        <v>4</v>
      </c>
      <c r="W40" s="10" t="str">
        <f aca="false">IF(U40&amp;""=V40&amp;"","✓","✗")</f>
        <v>✓</v>
      </c>
      <c r="X40" s="10" t="n">
        <v>2</v>
      </c>
      <c r="Y40" s="10" t="n">
        <v>2</v>
      </c>
      <c r="Z40" s="10" t="n">
        <v>0</v>
      </c>
      <c r="AA40" s="10" t="n">
        <v>4</v>
      </c>
      <c r="AB40" s="10" t="n">
        <v>4</v>
      </c>
      <c r="AC40" s="12" t="n">
        <f aca="false">IF(AND(X40="",AB40=0),"",N(AB40)-N(X40))</f>
        <v>2</v>
      </c>
      <c r="AD40" s="10" t="n">
        <f aca="false">COUNTIF(H40:W40,"✗")</f>
        <v>0</v>
      </c>
    </row>
    <row r="41" customFormat="false" ht="15" hidden="false" customHeight="false" outlineLevel="0" collapsed="false">
      <c r="A41" s="10" t="s">
        <v>167</v>
      </c>
      <c r="B41" s="10" t="s">
        <v>3</v>
      </c>
      <c r="C41" s="11" t="s">
        <v>168</v>
      </c>
      <c r="D41" s="11" t="s">
        <v>169</v>
      </c>
      <c r="E41" s="10" t="s">
        <v>50</v>
      </c>
      <c r="F41" s="10" t="s">
        <v>151</v>
      </c>
      <c r="G41" s="10" t="s">
        <v>151</v>
      </c>
      <c r="H41" s="10" t="str">
        <f aca="false">IF(F41&amp;""=G41&amp;"","✓","✗")</f>
        <v>✓</v>
      </c>
      <c r="I41" s="10" t="s">
        <v>108</v>
      </c>
      <c r="J41" s="10" t="s">
        <v>108</v>
      </c>
      <c r="K41" s="10" t="str">
        <f aca="false">IF(I41&amp;""=J41&amp;"","✓","✗")</f>
        <v>✓</v>
      </c>
      <c r="L41" s="10" t="n">
        <v>1</v>
      </c>
      <c r="M41" s="10" t="n">
        <v>1</v>
      </c>
      <c r="N41" s="10" t="str">
        <f aca="false">IF(L41&amp;""=M41&amp;"","✓","✗")</f>
        <v>✓</v>
      </c>
      <c r="O41" s="10" t="n">
        <v>1</v>
      </c>
      <c r="P41" s="10" t="n">
        <v>1</v>
      </c>
      <c r="Q41" s="10" t="str">
        <f aca="false">IF(O41&amp;""=P41&amp;"","✓","✗")</f>
        <v>✓</v>
      </c>
      <c r="R41" s="10" t="n">
        <v>10</v>
      </c>
      <c r="S41" s="10" t="n">
        <v>10</v>
      </c>
      <c r="T41" s="10" t="str">
        <f aca="false">IF(R41&amp;""=S41&amp;"","✓","✗")</f>
        <v>✓</v>
      </c>
      <c r="U41" s="10" t="n">
        <v>2</v>
      </c>
      <c r="V41" s="10" t="n">
        <v>2</v>
      </c>
      <c r="W41" s="10" t="str">
        <f aca="false">IF(U41&amp;""=V41&amp;"","✓","✗")</f>
        <v>✓</v>
      </c>
      <c r="X41" s="10" t="n">
        <v>1</v>
      </c>
      <c r="Y41" s="10" t="n">
        <v>1</v>
      </c>
      <c r="Z41" s="10" t="n">
        <v>1</v>
      </c>
      <c r="AA41" s="10" t="n">
        <v>3</v>
      </c>
      <c r="AB41" s="10" t="n">
        <v>3</v>
      </c>
      <c r="AC41" s="12" t="n">
        <f aca="false">IF(AND(X41="",AB41=0),"",N(AB41)-N(X41))</f>
        <v>2</v>
      </c>
      <c r="AD41" s="10" t="n">
        <f aca="false">COUNTIF(H41:W41,"✗")</f>
        <v>0</v>
      </c>
    </row>
    <row r="42" customFormat="false" ht="15" hidden="false" customHeight="false" outlineLevel="0" collapsed="false">
      <c r="A42" s="10" t="s">
        <v>170</v>
      </c>
      <c r="B42" s="10" t="s">
        <v>3</v>
      </c>
      <c r="C42" s="11" t="s">
        <v>171</v>
      </c>
      <c r="D42" s="11" t="s">
        <v>172</v>
      </c>
      <c r="E42" s="10" t="s">
        <v>50</v>
      </c>
      <c r="F42" s="10" t="s">
        <v>151</v>
      </c>
      <c r="G42" s="10" t="s">
        <v>151</v>
      </c>
      <c r="H42" s="10" t="str">
        <f aca="false">IF(F42&amp;""=G42&amp;"","✓","✗")</f>
        <v>✓</v>
      </c>
      <c r="I42" s="10" t="s">
        <v>52</v>
      </c>
      <c r="J42" s="10" t="s">
        <v>52</v>
      </c>
      <c r="K42" s="10" t="str">
        <f aca="false">IF(I42&amp;""=J42&amp;"","✓","✗")</f>
        <v>✓</v>
      </c>
      <c r="L42" s="10" t="n">
        <v>1</v>
      </c>
      <c r="M42" s="10" t="n">
        <v>1</v>
      </c>
      <c r="N42" s="10" t="str">
        <f aca="false">IF(L42&amp;""=M42&amp;"","✓","✗")</f>
        <v>✓</v>
      </c>
      <c r="O42" s="10" t="n">
        <v>2</v>
      </c>
      <c r="P42" s="10" t="n">
        <v>2</v>
      </c>
      <c r="Q42" s="10" t="str">
        <f aca="false">IF(O42&amp;""=P42&amp;"","✓","✗")</f>
        <v>✓</v>
      </c>
      <c r="R42" s="10" t="n">
        <v>24</v>
      </c>
      <c r="S42" s="10" t="n">
        <v>24</v>
      </c>
      <c r="T42" s="10" t="str">
        <f aca="false">IF(R42&amp;""=S42&amp;"","✓","✗")</f>
        <v>✓</v>
      </c>
      <c r="U42" s="10" t="n">
        <v>2</v>
      </c>
      <c r="V42" s="10" t="n">
        <v>2</v>
      </c>
      <c r="W42" s="10" t="str">
        <f aca="false">IF(U42&amp;""=V42&amp;"","✓","✗")</f>
        <v>✓</v>
      </c>
      <c r="X42" s="10" t="n">
        <v>3</v>
      </c>
      <c r="Y42" s="10" t="n">
        <v>3</v>
      </c>
      <c r="Z42" s="10" t="n">
        <v>1</v>
      </c>
      <c r="AA42" s="10" t="n">
        <v>7</v>
      </c>
      <c r="AB42" s="10" t="n">
        <v>3</v>
      </c>
      <c r="AC42" s="12" t="n">
        <f aca="false">IF(AND(X42="",AB42=0),"",N(AB42)-N(X42))</f>
        <v>0</v>
      </c>
      <c r="AD42" s="10" t="n">
        <f aca="false">COUNTIF(H42:W42,"✗")</f>
        <v>0</v>
      </c>
    </row>
    <row r="43" customFormat="false" ht="15" hidden="false" customHeight="false" outlineLevel="0" collapsed="false">
      <c r="A43" s="10" t="s">
        <v>173</v>
      </c>
      <c r="B43" s="10" t="s">
        <v>4</v>
      </c>
      <c r="C43" s="11" t="s">
        <v>174</v>
      </c>
      <c r="D43" s="11" t="s">
        <v>175</v>
      </c>
      <c r="E43" s="10" t="s">
        <v>176</v>
      </c>
      <c r="F43" s="10" t="s">
        <v>51</v>
      </c>
      <c r="G43" s="10" t="s">
        <v>51</v>
      </c>
      <c r="H43" s="10" t="str">
        <f aca="false">IF(F43&amp;""=G43&amp;"","✓","✗")</f>
        <v>✓</v>
      </c>
      <c r="I43" s="10" t="s">
        <v>52</v>
      </c>
      <c r="J43" s="10" t="s">
        <v>52</v>
      </c>
      <c r="K43" s="10" t="str">
        <f aca="false">IF(I43&amp;""=J43&amp;"","✓","✗")</f>
        <v>✓</v>
      </c>
      <c r="L43" s="10" t="n">
        <v>2</v>
      </c>
      <c r="M43" s="10" t="n">
        <v>2</v>
      </c>
      <c r="N43" s="10" t="str">
        <f aca="false">IF(L43&amp;""=M43&amp;"","✓","✗")</f>
        <v>✓</v>
      </c>
      <c r="O43" s="10" t="n">
        <v>2</v>
      </c>
      <c r="P43" s="10" t="n">
        <v>2</v>
      </c>
      <c r="Q43" s="10" t="str">
        <f aca="false">IF(O43&amp;""=P43&amp;"","✓","✗")</f>
        <v>✓</v>
      </c>
      <c r="R43" s="10" t="n">
        <v>20</v>
      </c>
      <c r="S43" s="10" t="n">
        <v>20</v>
      </c>
      <c r="T43" s="10" t="str">
        <f aca="false">IF(R43&amp;""=S43&amp;"","✓","✗")</f>
        <v>✓</v>
      </c>
      <c r="U43" s="10" t="n">
        <v>4</v>
      </c>
      <c r="V43" s="10" t="n">
        <v>2</v>
      </c>
      <c r="W43" s="10" t="str">
        <f aca="false">IF(U43&amp;""=V43&amp;"","✓","✗")</f>
        <v>✗</v>
      </c>
      <c r="X43" s="10" t="n">
        <v>3</v>
      </c>
      <c r="Y43" s="10" t="n">
        <v>3</v>
      </c>
      <c r="Z43" s="10" t="n">
        <v>1</v>
      </c>
      <c r="AA43" s="10" t="n">
        <v>7</v>
      </c>
      <c r="AB43" s="10" t="n">
        <v>3</v>
      </c>
      <c r="AC43" s="12" t="n">
        <f aca="false">IF(AND(X43="",AB43=0),"",N(AB43)-N(X43))</f>
        <v>0</v>
      </c>
      <c r="AD43" s="10" t="n">
        <f aca="false">COUNTIF(H43:W43,"✗")</f>
        <v>1</v>
      </c>
    </row>
    <row r="44" customFormat="false" ht="15" hidden="false" customHeight="false" outlineLevel="0" collapsed="false">
      <c r="A44" s="10" t="s">
        <v>177</v>
      </c>
      <c r="B44" s="10" t="s">
        <v>4</v>
      </c>
      <c r="C44" s="11" t="s">
        <v>178</v>
      </c>
      <c r="D44" s="11" t="s">
        <v>179</v>
      </c>
      <c r="E44" s="10" t="s">
        <v>176</v>
      </c>
      <c r="F44" s="10" t="s">
        <v>51</v>
      </c>
      <c r="G44" s="10" t="s">
        <v>51</v>
      </c>
      <c r="H44" s="10" t="str">
        <f aca="false">IF(F44&amp;""=G44&amp;"","✓","✗")</f>
        <v>✓</v>
      </c>
      <c r="I44" s="10" t="s">
        <v>52</v>
      </c>
      <c r="J44" s="10" t="s">
        <v>52</v>
      </c>
      <c r="K44" s="10" t="str">
        <f aca="false">IF(I44&amp;""=J44&amp;"","✓","✗")</f>
        <v>✓</v>
      </c>
      <c r="L44" s="10" t="n">
        <v>2</v>
      </c>
      <c r="M44" s="10" t="n">
        <v>2</v>
      </c>
      <c r="N44" s="10" t="str">
        <f aca="false">IF(L44&amp;""=M44&amp;"","✓","✗")</f>
        <v>✓</v>
      </c>
      <c r="O44" s="10" t="n">
        <v>2</v>
      </c>
      <c r="P44" s="10" t="n">
        <v>2</v>
      </c>
      <c r="Q44" s="10" t="str">
        <f aca="false">IF(O44&amp;""=P44&amp;"","✓","✗")</f>
        <v>✓</v>
      </c>
      <c r="R44" s="10" t="n">
        <v>20</v>
      </c>
      <c r="S44" s="10" t="n">
        <v>20</v>
      </c>
      <c r="T44" s="10" t="str">
        <f aca="false">IF(R44&amp;""=S44&amp;"","✓","✗")</f>
        <v>✓</v>
      </c>
      <c r="U44" s="10" t="n">
        <v>4</v>
      </c>
      <c r="V44" s="10" t="n">
        <v>2</v>
      </c>
      <c r="W44" s="10" t="str">
        <f aca="false">IF(U44&amp;""=V44&amp;"","✓","✗")</f>
        <v>✗</v>
      </c>
      <c r="X44" s="10" t="n">
        <v>2</v>
      </c>
      <c r="Y44" s="10" t="n">
        <v>2</v>
      </c>
      <c r="Z44" s="10" t="n">
        <v>0</v>
      </c>
      <c r="AA44" s="10" t="n">
        <v>4</v>
      </c>
      <c r="AB44" s="10" t="n">
        <v>2</v>
      </c>
      <c r="AC44" s="12" t="n">
        <f aca="false">IF(AND(X44="",AB44=0),"",N(AB44)-N(X44))</f>
        <v>0</v>
      </c>
      <c r="AD44" s="10" t="n">
        <f aca="false">COUNTIF(H44:W44,"✗")</f>
        <v>1</v>
      </c>
    </row>
    <row r="45" customFormat="false" ht="15" hidden="false" customHeight="false" outlineLevel="0" collapsed="false">
      <c r="A45" s="10" t="s">
        <v>180</v>
      </c>
      <c r="B45" s="10" t="s">
        <v>4</v>
      </c>
      <c r="C45" s="11" t="s">
        <v>181</v>
      </c>
      <c r="D45" s="11" t="s">
        <v>182</v>
      </c>
      <c r="E45" s="10" t="s">
        <v>176</v>
      </c>
      <c r="F45" s="10" t="s">
        <v>51</v>
      </c>
      <c r="G45" s="10" t="s">
        <v>51</v>
      </c>
      <c r="H45" s="10" t="str">
        <f aca="false">IF(F45&amp;""=G45&amp;"","✓","✗")</f>
        <v>✓</v>
      </c>
      <c r="I45" s="10" t="s">
        <v>52</v>
      </c>
      <c r="J45" s="10" t="s">
        <v>52</v>
      </c>
      <c r="K45" s="10" t="str">
        <f aca="false">IF(I45&amp;""=J45&amp;"","✓","✗")</f>
        <v>✓</v>
      </c>
      <c r="L45" s="10" t="n">
        <v>2</v>
      </c>
      <c r="M45" s="10" t="n">
        <v>2</v>
      </c>
      <c r="N45" s="10" t="str">
        <f aca="false">IF(L45&amp;""=M45&amp;"","✓","✗")</f>
        <v>✓</v>
      </c>
      <c r="O45" s="10" t="n">
        <v>2</v>
      </c>
      <c r="P45" s="10" t="n">
        <v>2</v>
      </c>
      <c r="Q45" s="10" t="str">
        <f aca="false">IF(O45&amp;""=P45&amp;"","✓","✗")</f>
        <v>✓</v>
      </c>
      <c r="R45" s="10" t="n">
        <v>20</v>
      </c>
      <c r="S45" s="10" t="n">
        <v>20</v>
      </c>
      <c r="T45" s="10" t="str">
        <f aca="false">IF(R45&amp;""=S45&amp;"","✓","✗")</f>
        <v>✓</v>
      </c>
      <c r="U45" s="10" t="n">
        <v>4</v>
      </c>
      <c r="V45" s="10" t="n">
        <v>2</v>
      </c>
      <c r="W45" s="10" t="str">
        <f aca="false">IF(U45&amp;""=V45&amp;"","✓","✗")</f>
        <v>✗</v>
      </c>
      <c r="X45" s="10" t="n">
        <v>2</v>
      </c>
      <c r="Y45" s="10" t="n">
        <v>2</v>
      </c>
      <c r="Z45" s="10" t="n">
        <v>0</v>
      </c>
      <c r="AA45" s="10" t="n">
        <v>4</v>
      </c>
      <c r="AB45" s="10" t="n">
        <v>2</v>
      </c>
      <c r="AC45" s="12" t="n">
        <f aca="false">IF(AND(X45="",AB45=0),"",N(AB45)-N(X45))</f>
        <v>0</v>
      </c>
      <c r="AD45" s="10" t="n">
        <f aca="false">COUNTIF(H45:W45,"✗")</f>
        <v>1</v>
      </c>
    </row>
    <row r="46" customFormat="false" ht="15" hidden="false" customHeight="false" outlineLevel="0" collapsed="false">
      <c r="A46" s="10" t="s">
        <v>183</v>
      </c>
      <c r="B46" s="10" t="s">
        <v>4</v>
      </c>
      <c r="C46" s="11" t="s">
        <v>184</v>
      </c>
      <c r="D46" s="11" t="s">
        <v>185</v>
      </c>
      <c r="E46" s="10" t="s">
        <v>176</v>
      </c>
      <c r="F46" s="10" t="s">
        <v>51</v>
      </c>
      <c r="G46" s="10" t="s">
        <v>51</v>
      </c>
      <c r="H46" s="10" t="str">
        <f aca="false">IF(F46&amp;""=G46&amp;"","✓","✗")</f>
        <v>✓</v>
      </c>
      <c r="I46" s="10" t="s">
        <v>52</v>
      </c>
      <c r="J46" s="10" t="s">
        <v>52</v>
      </c>
      <c r="K46" s="10" t="str">
        <f aca="false">IF(I46&amp;""=J46&amp;"","✓","✗")</f>
        <v>✓</v>
      </c>
      <c r="L46" s="10" t="n">
        <v>2</v>
      </c>
      <c r="M46" s="10" t="n">
        <v>2</v>
      </c>
      <c r="N46" s="10" t="str">
        <f aca="false">IF(L46&amp;""=M46&amp;"","✓","✗")</f>
        <v>✓</v>
      </c>
      <c r="O46" s="10"/>
      <c r="P46" s="10" t="n">
        <v>2</v>
      </c>
      <c r="Q46" s="10" t="str">
        <f aca="false">IF(O46&amp;""=P46&amp;"","✓","✗")</f>
        <v>✗</v>
      </c>
      <c r="R46" s="10"/>
      <c r="S46" s="10" t="n">
        <v>16</v>
      </c>
      <c r="T46" s="10" t="str">
        <f aca="false">IF(R46&amp;""=S46&amp;"","✓","✗")</f>
        <v>✗</v>
      </c>
      <c r="U46" s="10"/>
      <c r="V46" s="10" t="n">
        <v>1</v>
      </c>
      <c r="W46" s="10" t="str">
        <f aca="false">IF(U46&amp;""=V46&amp;"","✓","✗")</f>
        <v>✗</v>
      </c>
      <c r="X46" s="10" t="n">
        <v>5</v>
      </c>
      <c r="Y46" s="10" t="n">
        <v>5</v>
      </c>
      <c r="Z46" s="10" t="n">
        <v>0</v>
      </c>
      <c r="AA46" s="10" t="n">
        <v>10</v>
      </c>
      <c r="AB46" s="10" t="n">
        <v>4</v>
      </c>
      <c r="AC46" s="12" t="n">
        <f aca="false">IF(AND(X46="",AB46=0),"",N(AB46)-N(X46))</f>
        <v>-1</v>
      </c>
      <c r="AD46" s="10" t="n">
        <f aca="false">COUNTIF(H46:W46,"✗")</f>
        <v>3</v>
      </c>
    </row>
    <row r="47" customFormat="false" ht="15" hidden="false" customHeight="false" outlineLevel="0" collapsed="false">
      <c r="A47" s="10" t="s">
        <v>186</v>
      </c>
      <c r="B47" s="10" t="s">
        <v>4</v>
      </c>
      <c r="C47" s="11" t="s">
        <v>187</v>
      </c>
      <c r="D47" s="11" t="s">
        <v>188</v>
      </c>
      <c r="E47" s="10" t="s">
        <v>176</v>
      </c>
      <c r="F47" s="10" t="s">
        <v>51</v>
      </c>
      <c r="G47" s="10" t="s">
        <v>51</v>
      </c>
      <c r="H47" s="10" t="str">
        <f aca="false">IF(F47&amp;""=G47&amp;"","✓","✗")</f>
        <v>✓</v>
      </c>
      <c r="I47" s="10" t="s">
        <v>52</v>
      </c>
      <c r="J47" s="10" t="s">
        <v>52</v>
      </c>
      <c r="K47" s="10" t="str">
        <f aca="false">IF(I47&amp;""=J47&amp;"","✓","✗")</f>
        <v>✓</v>
      </c>
      <c r="L47" s="10" t="n">
        <v>2</v>
      </c>
      <c r="M47" s="10" t="n">
        <v>2</v>
      </c>
      <c r="N47" s="10" t="str">
        <f aca="false">IF(L47&amp;""=M47&amp;"","✓","✗")</f>
        <v>✓</v>
      </c>
      <c r="O47" s="10" t="n">
        <v>2</v>
      </c>
      <c r="P47" s="10" t="n">
        <v>2</v>
      </c>
      <c r="Q47" s="10" t="str">
        <f aca="false">IF(O47&amp;""=P47&amp;"","✓","✗")</f>
        <v>✓</v>
      </c>
      <c r="R47" s="10" t="n">
        <v>20</v>
      </c>
      <c r="S47" s="10" t="n">
        <v>20</v>
      </c>
      <c r="T47" s="10" t="str">
        <f aca="false">IF(R47&amp;""=S47&amp;"","✓","✗")</f>
        <v>✓</v>
      </c>
      <c r="U47" s="10" t="n">
        <v>4</v>
      </c>
      <c r="V47" s="10" t="n">
        <v>2</v>
      </c>
      <c r="W47" s="10" t="str">
        <f aca="false">IF(U47&amp;""=V47&amp;"","✓","✗")</f>
        <v>✗</v>
      </c>
      <c r="X47" s="10" t="n">
        <v>2</v>
      </c>
      <c r="Y47" s="10" t="n">
        <v>2</v>
      </c>
      <c r="Z47" s="10" t="n">
        <v>0</v>
      </c>
      <c r="AA47" s="10" t="n">
        <v>4</v>
      </c>
      <c r="AB47" s="10" t="n">
        <v>2</v>
      </c>
      <c r="AC47" s="12" t="n">
        <f aca="false">IF(AND(X47="",AB47=0),"",N(AB47)-N(X47))</f>
        <v>0</v>
      </c>
      <c r="AD47" s="10" t="n">
        <f aca="false">COUNTIF(H47:W47,"✗")</f>
        <v>1</v>
      </c>
    </row>
    <row r="48" customFormat="false" ht="15" hidden="false" customHeight="false" outlineLevel="0" collapsed="false">
      <c r="A48" s="10" t="s">
        <v>189</v>
      </c>
      <c r="B48" s="10" t="s">
        <v>4</v>
      </c>
      <c r="C48" s="11" t="s">
        <v>190</v>
      </c>
      <c r="D48" s="11" t="s">
        <v>191</v>
      </c>
      <c r="E48" s="10" t="s">
        <v>176</v>
      </c>
      <c r="F48" s="10" t="s">
        <v>51</v>
      </c>
      <c r="G48" s="10" t="s">
        <v>51</v>
      </c>
      <c r="H48" s="10" t="str">
        <f aca="false">IF(F48&amp;""=G48&amp;"","✓","✗")</f>
        <v>✓</v>
      </c>
      <c r="I48" s="10" t="s">
        <v>52</v>
      </c>
      <c r="J48" s="10" t="s">
        <v>52</v>
      </c>
      <c r="K48" s="10" t="str">
        <f aca="false">IF(I48&amp;""=J48&amp;"","✓","✗")</f>
        <v>✓</v>
      </c>
      <c r="L48" s="10" t="n">
        <v>2</v>
      </c>
      <c r="M48" s="10" t="n">
        <v>2</v>
      </c>
      <c r="N48" s="10" t="str">
        <f aca="false">IF(L48&amp;""=M48&amp;"","✓","✗")</f>
        <v>✓</v>
      </c>
      <c r="O48" s="10" t="n">
        <v>2</v>
      </c>
      <c r="P48" s="10" t="n">
        <v>2</v>
      </c>
      <c r="Q48" s="10" t="str">
        <f aca="false">IF(O48&amp;""=P48&amp;"","✓","✗")</f>
        <v>✓</v>
      </c>
      <c r="R48" s="10" t="n">
        <v>20</v>
      </c>
      <c r="S48" s="10" t="n">
        <v>20</v>
      </c>
      <c r="T48" s="10" t="str">
        <f aca="false">IF(R48&amp;""=S48&amp;"","✓","✗")</f>
        <v>✓</v>
      </c>
      <c r="U48" s="10" t="n">
        <v>4</v>
      </c>
      <c r="V48" s="10" t="n">
        <v>2</v>
      </c>
      <c r="W48" s="10" t="str">
        <f aca="false">IF(U48&amp;""=V48&amp;"","✓","✗")</f>
        <v>✗</v>
      </c>
      <c r="X48" s="10" t="n">
        <v>2</v>
      </c>
      <c r="Y48" s="10" t="n">
        <v>2</v>
      </c>
      <c r="Z48" s="10" t="n">
        <v>0</v>
      </c>
      <c r="AA48" s="10" t="n">
        <v>4</v>
      </c>
      <c r="AB48" s="10" t="n">
        <v>2</v>
      </c>
      <c r="AC48" s="12" t="n">
        <f aca="false">IF(AND(X48="",AB48=0),"",N(AB48)-N(X48))</f>
        <v>0</v>
      </c>
      <c r="AD48" s="10" t="n">
        <f aca="false">COUNTIF(H48:W48,"✗")</f>
        <v>1</v>
      </c>
    </row>
    <row r="49" customFormat="false" ht="15" hidden="false" customHeight="false" outlineLevel="0" collapsed="false">
      <c r="A49" s="10" t="s">
        <v>192</v>
      </c>
      <c r="B49" s="10" t="s">
        <v>4</v>
      </c>
      <c r="C49" s="11" t="s">
        <v>193</v>
      </c>
      <c r="D49" s="11" t="s">
        <v>194</v>
      </c>
      <c r="E49" s="10" t="s">
        <v>176</v>
      </c>
      <c r="F49" s="10" t="s">
        <v>51</v>
      </c>
      <c r="G49" s="10" t="s">
        <v>51</v>
      </c>
      <c r="H49" s="10" t="str">
        <f aca="false">IF(F49&amp;""=G49&amp;"","✓","✗")</f>
        <v>✓</v>
      </c>
      <c r="I49" s="10" t="s">
        <v>52</v>
      </c>
      <c r="J49" s="10" t="s">
        <v>52</v>
      </c>
      <c r="K49" s="10" t="str">
        <f aca="false">IF(I49&amp;""=J49&amp;"","✓","✗")</f>
        <v>✓</v>
      </c>
      <c r="L49" s="10" t="n">
        <v>1</v>
      </c>
      <c r="M49" s="10" t="n">
        <v>1</v>
      </c>
      <c r="N49" s="10" t="str">
        <f aca="false">IF(L49&amp;""=M49&amp;"","✓","✗")</f>
        <v>✓</v>
      </c>
      <c r="O49" s="10" t="n">
        <v>2</v>
      </c>
      <c r="P49" s="10" t="n">
        <v>2</v>
      </c>
      <c r="Q49" s="10" t="str">
        <f aca="false">IF(O49&amp;""=P49&amp;"","✓","✗")</f>
        <v>✓</v>
      </c>
      <c r="R49" s="10" t="n">
        <v>20</v>
      </c>
      <c r="S49" s="10" t="n">
        <v>20</v>
      </c>
      <c r="T49" s="10" t="str">
        <f aca="false">IF(R49&amp;""=S49&amp;"","✓","✗")</f>
        <v>✓</v>
      </c>
      <c r="U49" s="10" t="n">
        <v>4</v>
      </c>
      <c r="V49" s="10" t="n">
        <v>2</v>
      </c>
      <c r="W49" s="10" t="str">
        <f aca="false">IF(U49&amp;""=V49&amp;"","✓","✗")</f>
        <v>✗</v>
      </c>
      <c r="X49" s="10" t="n">
        <v>3</v>
      </c>
      <c r="Y49" s="10" t="n">
        <v>3</v>
      </c>
      <c r="Z49" s="10" t="n">
        <v>1</v>
      </c>
      <c r="AA49" s="10" t="n">
        <v>7</v>
      </c>
      <c r="AB49" s="10" t="n">
        <v>3</v>
      </c>
      <c r="AC49" s="12" t="n">
        <f aca="false">IF(AND(X49="",AB49=0),"",N(AB49)-N(X49))</f>
        <v>0</v>
      </c>
      <c r="AD49" s="10" t="n">
        <f aca="false">COUNTIF(H49:W49,"✗")</f>
        <v>1</v>
      </c>
    </row>
    <row r="50" customFormat="false" ht="15" hidden="false" customHeight="false" outlineLevel="0" collapsed="false">
      <c r="A50" s="10" t="s">
        <v>195</v>
      </c>
      <c r="B50" s="10" t="s">
        <v>4</v>
      </c>
      <c r="C50" s="11" t="s">
        <v>196</v>
      </c>
      <c r="D50" s="11" t="s">
        <v>197</v>
      </c>
      <c r="E50" s="10" t="s">
        <v>176</v>
      </c>
      <c r="F50" s="10" t="s">
        <v>51</v>
      </c>
      <c r="G50" s="10" t="s">
        <v>51</v>
      </c>
      <c r="H50" s="10" t="str">
        <f aca="false">IF(F50&amp;""=G50&amp;"","✓","✗")</f>
        <v>✓</v>
      </c>
      <c r="I50" s="10" t="s">
        <v>52</v>
      </c>
      <c r="J50" s="10" t="s">
        <v>52</v>
      </c>
      <c r="K50" s="10" t="str">
        <f aca="false">IF(I50&amp;""=J50&amp;"","✓","✗")</f>
        <v>✓</v>
      </c>
      <c r="L50" s="10" t="n">
        <v>2</v>
      </c>
      <c r="M50" s="10" t="n">
        <v>2</v>
      </c>
      <c r="N50" s="10" t="str">
        <f aca="false">IF(L50&amp;""=M50&amp;"","✓","✗")</f>
        <v>✓</v>
      </c>
      <c r="O50" s="10" t="n">
        <v>2</v>
      </c>
      <c r="P50" s="10" t="n">
        <v>2</v>
      </c>
      <c r="Q50" s="10" t="str">
        <f aca="false">IF(O50&amp;""=P50&amp;"","✓","✗")</f>
        <v>✓</v>
      </c>
      <c r="R50" s="10" t="n">
        <v>20</v>
      </c>
      <c r="S50" s="10" t="n">
        <v>20</v>
      </c>
      <c r="T50" s="10" t="str">
        <f aca="false">IF(R50&amp;""=S50&amp;"","✓","✗")</f>
        <v>✓</v>
      </c>
      <c r="U50" s="10" t="n">
        <v>4</v>
      </c>
      <c r="V50" s="10" t="n">
        <v>2</v>
      </c>
      <c r="W50" s="10" t="str">
        <f aca="false">IF(U50&amp;""=V50&amp;"","✓","✗")</f>
        <v>✗</v>
      </c>
      <c r="X50" s="10" t="n">
        <v>2</v>
      </c>
      <c r="Y50" s="10" t="n">
        <v>2</v>
      </c>
      <c r="Z50" s="10" t="n">
        <v>0</v>
      </c>
      <c r="AA50" s="10" t="n">
        <v>4</v>
      </c>
      <c r="AB50" s="10" t="n">
        <v>2</v>
      </c>
      <c r="AC50" s="12" t="n">
        <f aca="false">IF(AND(X50="",AB50=0),"",N(AB50)-N(X50))</f>
        <v>0</v>
      </c>
      <c r="AD50" s="10" t="n">
        <f aca="false">COUNTIF(H50:W50,"✗")</f>
        <v>1</v>
      </c>
    </row>
    <row r="51" customFormat="false" ht="15" hidden="false" customHeight="false" outlineLevel="0" collapsed="false">
      <c r="A51" s="10" t="s">
        <v>198</v>
      </c>
      <c r="B51" s="10" t="s">
        <v>4</v>
      </c>
      <c r="C51" s="11" t="s">
        <v>199</v>
      </c>
      <c r="D51" s="11" t="s">
        <v>200</v>
      </c>
      <c r="E51" s="10" t="s">
        <v>176</v>
      </c>
      <c r="F51" s="10" t="s">
        <v>62</v>
      </c>
      <c r="G51" s="10" t="s">
        <v>62</v>
      </c>
      <c r="H51" s="10" t="str">
        <f aca="false">IF(F51&amp;""=G51&amp;"","✓","✗")</f>
        <v>✓</v>
      </c>
      <c r="I51" s="10" t="s">
        <v>52</v>
      </c>
      <c r="J51" s="10" t="s">
        <v>52</v>
      </c>
      <c r="K51" s="10" t="str">
        <f aca="false">IF(I51&amp;""=J51&amp;"","✓","✗")</f>
        <v>✓</v>
      </c>
      <c r="L51" s="10" t="n">
        <v>2</v>
      </c>
      <c r="M51" s="10" t="n">
        <v>2</v>
      </c>
      <c r="N51" s="10" t="str">
        <f aca="false">IF(L51&amp;""=M51&amp;"","✓","✗")</f>
        <v>✓</v>
      </c>
      <c r="O51" s="10" t="n">
        <v>1</v>
      </c>
      <c r="P51" s="10" t="n">
        <v>1</v>
      </c>
      <c r="Q51" s="10" t="str">
        <f aca="false">IF(O51&amp;""=P51&amp;"","✓","✗")</f>
        <v>✓</v>
      </c>
      <c r="R51" s="10" t="n">
        <v>8</v>
      </c>
      <c r="S51" s="10" t="n">
        <v>8</v>
      </c>
      <c r="T51" s="10" t="str">
        <f aca="false">IF(R51&amp;""=S51&amp;"","✓","✗")</f>
        <v>✓</v>
      </c>
      <c r="U51" s="10" t="n">
        <v>2</v>
      </c>
      <c r="V51" s="10" t="n">
        <v>1</v>
      </c>
      <c r="W51" s="10" t="str">
        <f aca="false">IF(U51&amp;""=V51&amp;"","✓","✗")</f>
        <v>✗</v>
      </c>
      <c r="X51" s="10" t="n">
        <v>1</v>
      </c>
      <c r="Y51" s="10" t="n">
        <v>1</v>
      </c>
      <c r="Z51" s="10" t="n">
        <v>0</v>
      </c>
      <c r="AA51" s="10" t="n">
        <v>2</v>
      </c>
      <c r="AB51" s="10" t="n">
        <v>1</v>
      </c>
      <c r="AC51" s="12" t="n">
        <f aca="false">IF(AND(X51="",AB51=0),"",N(AB51)-N(X51))</f>
        <v>0</v>
      </c>
      <c r="AD51" s="10" t="n">
        <f aca="false">COUNTIF(H51:W51,"✗")</f>
        <v>1</v>
      </c>
    </row>
    <row r="52" customFormat="false" ht="15" hidden="false" customHeight="false" outlineLevel="0" collapsed="false">
      <c r="A52" s="10" t="s">
        <v>201</v>
      </c>
      <c r="B52" s="10" t="s">
        <v>4</v>
      </c>
      <c r="C52" s="11" t="s">
        <v>202</v>
      </c>
      <c r="D52" s="11" t="s">
        <v>104</v>
      </c>
      <c r="E52" s="10" t="s">
        <v>176</v>
      </c>
      <c r="F52" s="10" t="s">
        <v>62</v>
      </c>
      <c r="G52" s="10" t="s">
        <v>62</v>
      </c>
      <c r="H52" s="10" t="str">
        <f aca="false">IF(F52&amp;""=G52&amp;"","✓","✗")</f>
        <v>✓</v>
      </c>
      <c r="I52" s="10" t="s">
        <v>52</v>
      </c>
      <c r="J52" s="10" t="s">
        <v>52</v>
      </c>
      <c r="K52" s="10" t="str">
        <f aca="false">IF(I52&amp;""=J52&amp;"","✓","✗")</f>
        <v>✓</v>
      </c>
      <c r="L52" s="10" t="n">
        <v>4</v>
      </c>
      <c r="M52" s="10" t="n">
        <v>2</v>
      </c>
      <c r="N52" s="10" t="str">
        <f aca="false">IF(L52&amp;""=M52&amp;"","✓","✗")</f>
        <v>✗</v>
      </c>
      <c r="O52" s="10" t="n">
        <v>2</v>
      </c>
      <c r="P52" s="10" t="n">
        <v>2</v>
      </c>
      <c r="Q52" s="10" t="str">
        <f aca="false">IF(O52&amp;""=P52&amp;"","✓","✗")</f>
        <v>✓</v>
      </c>
      <c r="R52" s="10" t="n">
        <v>42</v>
      </c>
      <c r="S52" s="10" t="n">
        <v>42</v>
      </c>
      <c r="T52" s="10" t="str">
        <f aca="false">IF(R52&amp;""=S52&amp;"","✓","✗")</f>
        <v>✓</v>
      </c>
      <c r="U52" s="10" t="n">
        <v>2</v>
      </c>
      <c r="V52" s="10" t="n">
        <v>2</v>
      </c>
      <c r="W52" s="10" t="str">
        <f aca="false">IF(U52&amp;""=V52&amp;"","✓","✗")</f>
        <v>✓</v>
      </c>
      <c r="X52" s="10" t="n">
        <v>4</v>
      </c>
      <c r="Y52" s="10" t="n">
        <v>4</v>
      </c>
      <c r="Z52" s="10" t="n">
        <v>0</v>
      </c>
      <c r="AA52" s="10" t="n">
        <v>8</v>
      </c>
      <c r="AB52" s="10" t="n">
        <v>5</v>
      </c>
      <c r="AC52" s="12" t="n">
        <f aca="false">IF(AND(X52="",AB52=0),"",N(AB52)-N(X52))</f>
        <v>1</v>
      </c>
      <c r="AD52" s="10" t="n">
        <f aca="false">COUNTIF(H52:W52,"✗")</f>
        <v>1</v>
      </c>
    </row>
    <row r="53" customFormat="false" ht="15" hidden="false" customHeight="false" outlineLevel="0" collapsed="false">
      <c r="A53" s="10" t="s">
        <v>203</v>
      </c>
      <c r="B53" s="10" t="s">
        <v>4</v>
      </c>
      <c r="C53" s="11" t="s">
        <v>204</v>
      </c>
      <c r="D53" s="11" t="s">
        <v>205</v>
      </c>
      <c r="E53" s="10" t="s">
        <v>176</v>
      </c>
      <c r="F53" s="10" t="s">
        <v>62</v>
      </c>
      <c r="G53" s="10" t="s">
        <v>62</v>
      </c>
      <c r="H53" s="10" t="str">
        <f aca="false">IF(F53&amp;""=G53&amp;"","✓","✗")</f>
        <v>✓</v>
      </c>
      <c r="I53" s="10" t="s">
        <v>52</v>
      </c>
      <c r="J53" s="10" t="s">
        <v>52</v>
      </c>
      <c r="K53" s="10" t="str">
        <f aca="false">IF(I53&amp;""=J53&amp;"","✓","✗")</f>
        <v>✓</v>
      </c>
      <c r="L53" s="10" t="n">
        <v>2</v>
      </c>
      <c r="M53" s="10" t="n">
        <v>2</v>
      </c>
      <c r="N53" s="10" t="str">
        <f aca="false">IF(L53&amp;""=M53&amp;"","✓","✗")</f>
        <v>✓</v>
      </c>
      <c r="O53" s="10" t="n">
        <v>1</v>
      </c>
      <c r="P53" s="10" t="n">
        <v>1</v>
      </c>
      <c r="Q53" s="10" t="str">
        <f aca="false">IF(O53&amp;""=P53&amp;"","✓","✗")</f>
        <v>✓</v>
      </c>
      <c r="R53" s="10" t="n">
        <v>8</v>
      </c>
      <c r="S53" s="10" t="n">
        <v>8</v>
      </c>
      <c r="T53" s="10" t="str">
        <f aca="false">IF(R53&amp;""=S53&amp;"","✓","✗")</f>
        <v>✓</v>
      </c>
      <c r="U53" s="10" t="n">
        <v>2</v>
      </c>
      <c r="V53" s="10" t="n">
        <v>1</v>
      </c>
      <c r="W53" s="10" t="str">
        <f aca="false">IF(U53&amp;""=V53&amp;"","✓","✗")</f>
        <v>✗</v>
      </c>
      <c r="X53" s="10" t="n">
        <v>1</v>
      </c>
      <c r="Y53" s="10" t="n">
        <v>1</v>
      </c>
      <c r="Z53" s="10" t="n">
        <v>0</v>
      </c>
      <c r="AA53" s="10" t="n">
        <v>2</v>
      </c>
      <c r="AB53" s="10" t="n">
        <v>1</v>
      </c>
      <c r="AC53" s="12" t="n">
        <f aca="false">IF(AND(X53="",AB53=0),"",N(AB53)-N(X53))</f>
        <v>0</v>
      </c>
      <c r="AD53" s="10" t="n">
        <f aca="false">COUNTIF(H53:W53,"✗")</f>
        <v>1</v>
      </c>
    </row>
    <row r="54" customFormat="false" ht="15" hidden="false" customHeight="false" outlineLevel="0" collapsed="false">
      <c r="A54" s="10" t="s">
        <v>206</v>
      </c>
      <c r="B54" s="10" t="s">
        <v>4</v>
      </c>
      <c r="C54" s="11" t="s">
        <v>207</v>
      </c>
      <c r="D54" s="11" t="s">
        <v>208</v>
      </c>
      <c r="E54" s="10" t="s">
        <v>176</v>
      </c>
      <c r="F54" s="10" t="s">
        <v>62</v>
      </c>
      <c r="G54" s="10" t="s">
        <v>62</v>
      </c>
      <c r="H54" s="10" t="str">
        <f aca="false">IF(F54&amp;""=G54&amp;"","✓","✗")</f>
        <v>✓</v>
      </c>
      <c r="I54" s="10" t="s">
        <v>52</v>
      </c>
      <c r="J54" s="10" t="s">
        <v>52</v>
      </c>
      <c r="K54" s="10" t="str">
        <f aca="false">IF(I54&amp;""=J54&amp;"","✓","✗")</f>
        <v>✓</v>
      </c>
      <c r="L54" s="10" t="n">
        <v>2</v>
      </c>
      <c r="M54" s="10" t="n">
        <v>2</v>
      </c>
      <c r="N54" s="10" t="str">
        <f aca="false">IF(L54&amp;""=M54&amp;"","✓","✗")</f>
        <v>✓</v>
      </c>
      <c r="O54" s="10" t="n">
        <v>1</v>
      </c>
      <c r="P54" s="10" t="n">
        <v>1</v>
      </c>
      <c r="Q54" s="10" t="str">
        <f aca="false">IF(O54&amp;""=P54&amp;"","✓","✗")</f>
        <v>✓</v>
      </c>
      <c r="R54" s="10" t="n">
        <v>8</v>
      </c>
      <c r="S54" s="10" t="n">
        <v>8</v>
      </c>
      <c r="T54" s="10" t="str">
        <f aca="false">IF(R54&amp;""=S54&amp;"","✓","✗")</f>
        <v>✓</v>
      </c>
      <c r="U54" s="10" t="n">
        <v>2</v>
      </c>
      <c r="V54" s="10" t="n">
        <v>1</v>
      </c>
      <c r="W54" s="10" t="str">
        <f aca="false">IF(U54&amp;""=V54&amp;"","✓","✗")</f>
        <v>✗</v>
      </c>
      <c r="X54" s="10" t="n">
        <v>1</v>
      </c>
      <c r="Y54" s="10" t="n">
        <v>1</v>
      </c>
      <c r="Z54" s="10" t="n">
        <v>0</v>
      </c>
      <c r="AA54" s="10" t="n">
        <v>2</v>
      </c>
      <c r="AB54" s="10" t="n">
        <v>1</v>
      </c>
      <c r="AC54" s="12" t="n">
        <f aca="false">IF(AND(X54="",AB54=0),"",N(AB54)-N(X54))</f>
        <v>0</v>
      </c>
      <c r="AD54" s="10" t="n">
        <f aca="false">COUNTIF(H54:W54,"✗")</f>
        <v>1</v>
      </c>
    </row>
    <row r="55" customFormat="false" ht="15" hidden="false" customHeight="false" outlineLevel="0" collapsed="false">
      <c r="A55" s="10" t="s">
        <v>209</v>
      </c>
      <c r="B55" s="10" t="s">
        <v>4</v>
      </c>
      <c r="C55" s="11" t="s">
        <v>210</v>
      </c>
      <c r="D55" s="11" t="s">
        <v>211</v>
      </c>
      <c r="E55" s="10" t="s">
        <v>176</v>
      </c>
      <c r="F55" s="10" t="s">
        <v>62</v>
      </c>
      <c r="G55" s="10" t="s">
        <v>62</v>
      </c>
      <c r="H55" s="10" t="str">
        <f aca="false">IF(F55&amp;""=G55&amp;"","✓","✗")</f>
        <v>✓</v>
      </c>
      <c r="I55" s="10" t="s">
        <v>52</v>
      </c>
      <c r="J55" s="10" t="s">
        <v>52</v>
      </c>
      <c r="K55" s="10" t="str">
        <f aca="false">IF(I55&amp;""=J55&amp;"","✓","✗")</f>
        <v>✓</v>
      </c>
      <c r="L55" s="10" t="n">
        <v>2</v>
      </c>
      <c r="M55" s="10" t="n">
        <v>2</v>
      </c>
      <c r="N55" s="10" t="str">
        <f aca="false">IF(L55&amp;""=M55&amp;"","✓","✗")</f>
        <v>✓</v>
      </c>
      <c r="O55" s="10" t="n">
        <v>1</v>
      </c>
      <c r="P55" s="10" t="n">
        <v>1</v>
      </c>
      <c r="Q55" s="10" t="str">
        <f aca="false">IF(O55&amp;""=P55&amp;"","✓","✗")</f>
        <v>✓</v>
      </c>
      <c r="R55" s="10" t="n">
        <v>8</v>
      </c>
      <c r="S55" s="10" t="n">
        <v>8</v>
      </c>
      <c r="T55" s="10" t="str">
        <f aca="false">IF(R55&amp;""=S55&amp;"","✓","✗")</f>
        <v>✓</v>
      </c>
      <c r="U55" s="10" t="n">
        <v>2</v>
      </c>
      <c r="V55" s="10" t="n">
        <v>1</v>
      </c>
      <c r="W55" s="10" t="str">
        <f aca="false">IF(U55&amp;""=V55&amp;"","✓","✗")</f>
        <v>✗</v>
      </c>
      <c r="X55" s="10" t="n">
        <v>1</v>
      </c>
      <c r="Y55" s="10" t="n">
        <v>1</v>
      </c>
      <c r="Z55" s="10" t="n">
        <v>0</v>
      </c>
      <c r="AA55" s="10" t="n">
        <v>2</v>
      </c>
      <c r="AB55" s="10" t="n">
        <v>1</v>
      </c>
      <c r="AC55" s="12" t="n">
        <f aca="false">IF(AND(X55="",AB55=0),"",N(AB55)-N(X55))</f>
        <v>0</v>
      </c>
      <c r="AD55" s="10" t="n">
        <f aca="false">COUNTIF(H55:W55,"✗")</f>
        <v>1</v>
      </c>
    </row>
    <row r="56" customFormat="false" ht="15" hidden="false" customHeight="false" outlineLevel="0" collapsed="false">
      <c r="A56" s="10" t="s">
        <v>212</v>
      </c>
      <c r="B56" s="10" t="s">
        <v>4</v>
      </c>
      <c r="C56" s="11" t="s">
        <v>213</v>
      </c>
      <c r="D56" s="11" t="s">
        <v>214</v>
      </c>
      <c r="E56" s="10" t="s">
        <v>176</v>
      </c>
      <c r="F56" s="10" t="s">
        <v>62</v>
      </c>
      <c r="G56" s="10" t="s">
        <v>62</v>
      </c>
      <c r="H56" s="10" t="str">
        <f aca="false">IF(F56&amp;""=G56&amp;"","✓","✗")</f>
        <v>✓</v>
      </c>
      <c r="I56" s="10" t="s">
        <v>52</v>
      </c>
      <c r="J56" s="10" t="s">
        <v>52</v>
      </c>
      <c r="K56" s="10" t="str">
        <f aca="false">IF(I56&amp;""=J56&amp;"","✓","✗")</f>
        <v>✓</v>
      </c>
      <c r="L56" s="10" t="n">
        <v>2</v>
      </c>
      <c r="M56" s="10" t="n">
        <v>2</v>
      </c>
      <c r="N56" s="10" t="str">
        <f aca="false">IF(L56&amp;""=M56&amp;"","✓","✗")</f>
        <v>✓</v>
      </c>
      <c r="O56" s="10" t="n">
        <v>1</v>
      </c>
      <c r="P56" s="10" t="n">
        <v>1</v>
      </c>
      <c r="Q56" s="10" t="str">
        <f aca="false">IF(O56&amp;""=P56&amp;"","✓","✗")</f>
        <v>✓</v>
      </c>
      <c r="R56" s="10" t="n">
        <v>8</v>
      </c>
      <c r="S56" s="10" t="n">
        <v>8</v>
      </c>
      <c r="T56" s="10" t="str">
        <f aca="false">IF(R56&amp;""=S56&amp;"","✓","✗")</f>
        <v>✓</v>
      </c>
      <c r="U56" s="10" t="n">
        <v>2</v>
      </c>
      <c r="V56" s="10" t="n">
        <v>1</v>
      </c>
      <c r="W56" s="10" t="str">
        <f aca="false">IF(U56&amp;""=V56&amp;"","✓","✗")</f>
        <v>✗</v>
      </c>
      <c r="X56" s="10" t="n">
        <v>1</v>
      </c>
      <c r="Y56" s="10" t="n">
        <v>1</v>
      </c>
      <c r="Z56" s="10" t="n">
        <v>0</v>
      </c>
      <c r="AA56" s="10" t="n">
        <v>2</v>
      </c>
      <c r="AB56" s="10" t="n">
        <v>1</v>
      </c>
      <c r="AC56" s="12" t="n">
        <f aca="false">IF(AND(X56="",AB56=0),"",N(AB56)-N(X56))</f>
        <v>0</v>
      </c>
      <c r="AD56" s="10" t="n">
        <f aca="false">COUNTIF(H56:W56,"✗")</f>
        <v>1</v>
      </c>
    </row>
    <row r="57" customFormat="false" ht="15" hidden="false" customHeight="false" outlineLevel="0" collapsed="false">
      <c r="A57" s="10" t="s">
        <v>215</v>
      </c>
      <c r="B57" s="10" t="s">
        <v>4</v>
      </c>
      <c r="C57" s="11" t="s">
        <v>216</v>
      </c>
      <c r="D57" s="11" t="s">
        <v>217</v>
      </c>
      <c r="E57" s="10" t="s">
        <v>176</v>
      </c>
      <c r="F57" s="10" t="s">
        <v>62</v>
      </c>
      <c r="G57" s="10" t="s">
        <v>62</v>
      </c>
      <c r="H57" s="10" t="str">
        <f aca="false">IF(F57&amp;""=G57&amp;"","✓","✗")</f>
        <v>✓</v>
      </c>
      <c r="I57" s="10" t="s">
        <v>52</v>
      </c>
      <c r="J57" s="10" t="s">
        <v>52</v>
      </c>
      <c r="K57" s="10" t="str">
        <f aca="false">IF(I57&amp;""=J57&amp;"","✓","✗")</f>
        <v>✓</v>
      </c>
      <c r="L57" s="10" t="n">
        <v>2</v>
      </c>
      <c r="M57" s="10" t="n">
        <v>2</v>
      </c>
      <c r="N57" s="10" t="str">
        <f aca="false">IF(L57&amp;""=M57&amp;"","✓","✗")</f>
        <v>✓</v>
      </c>
      <c r="O57" s="10" t="n">
        <v>1</v>
      </c>
      <c r="P57" s="10" t="n">
        <v>1</v>
      </c>
      <c r="Q57" s="10" t="str">
        <f aca="false">IF(O57&amp;""=P57&amp;"","✓","✗")</f>
        <v>✓</v>
      </c>
      <c r="R57" s="10" t="n">
        <v>8</v>
      </c>
      <c r="S57" s="10" t="n">
        <v>8</v>
      </c>
      <c r="T57" s="10" t="str">
        <f aca="false">IF(R57&amp;""=S57&amp;"","✓","✗")</f>
        <v>✓</v>
      </c>
      <c r="U57" s="10" t="n">
        <v>2</v>
      </c>
      <c r="V57" s="10" t="n">
        <v>1</v>
      </c>
      <c r="W57" s="10" t="str">
        <f aca="false">IF(U57&amp;""=V57&amp;"","✓","✗")</f>
        <v>✗</v>
      </c>
      <c r="X57" s="10" t="n">
        <v>1</v>
      </c>
      <c r="Y57" s="10" t="n">
        <v>1</v>
      </c>
      <c r="Z57" s="10" t="n">
        <v>0</v>
      </c>
      <c r="AA57" s="10" t="n">
        <v>2</v>
      </c>
      <c r="AB57" s="10" t="n">
        <v>1</v>
      </c>
      <c r="AC57" s="12" t="n">
        <f aca="false">IF(AND(X57="",AB57=0),"",N(AB57)-N(X57))</f>
        <v>0</v>
      </c>
      <c r="AD57" s="10" t="n">
        <f aca="false">COUNTIF(H57:W57,"✗")</f>
        <v>1</v>
      </c>
    </row>
    <row r="58" customFormat="false" ht="15" hidden="false" customHeight="false" outlineLevel="0" collapsed="false">
      <c r="A58" s="10" t="s">
        <v>218</v>
      </c>
      <c r="B58" s="10" t="s">
        <v>4</v>
      </c>
      <c r="C58" s="11" t="s">
        <v>219</v>
      </c>
      <c r="D58" s="11" t="s">
        <v>220</v>
      </c>
      <c r="E58" s="10" t="s">
        <v>176</v>
      </c>
      <c r="F58" s="10" t="s">
        <v>62</v>
      </c>
      <c r="G58" s="10" t="s">
        <v>62</v>
      </c>
      <c r="H58" s="10" t="str">
        <f aca="false">IF(F58&amp;""=G58&amp;"","✓","✗")</f>
        <v>✓</v>
      </c>
      <c r="I58" s="10" t="s">
        <v>108</v>
      </c>
      <c r="J58" s="10" t="s">
        <v>108</v>
      </c>
      <c r="K58" s="10" t="str">
        <f aca="false">IF(I58&amp;""=J58&amp;"","✓","✗")</f>
        <v>✓</v>
      </c>
      <c r="L58" s="10" t="n">
        <v>2</v>
      </c>
      <c r="M58" s="10" t="n">
        <v>2</v>
      </c>
      <c r="N58" s="10" t="str">
        <f aca="false">IF(L58&amp;""=M58&amp;"","✓","✗")</f>
        <v>✓</v>
      </c>
      <c r="O58" s="10" t="n">
        <v>1</v>
      </c>
      <c r="P58" s="10" t="n">
        <v>1</v>
      </c>
      <c r="Q58" s="10" t="str">
        <f aca="false">IF(O58&amp;""=P58&amp;"","✓","✗")</f>
        <v>✓</v>
      </c>
      <c r="R58" s="10" t="n">
        <v>13</v>
      </c>
      <c r="S58" s="10" t="n">
        <v>13</v>
      </c>
      <c r="T58" s="10" t="str">
        <f aca="false">IF(R58&amp;""=S58&amp;"","✓","✗")</f>
        <v>✓</v>
      </c>
      <c r="U58" s="10" t="n">
        <v>1</v>
      </c>
      <c r="V58" s="10" t="n">
        <v>1</v>
      </c>
      <c r="W58" s="10" t="str">
        <f aca="false">IF(U58&amp;""=V58&amp;"","✓","✗")</f>
        <v>✓</v>
      </c>
      <c r="X58" s="10" t="n">
        <v>1</v>
      </c>
      <c r="Y58" s="10" t="n">
        <v>1</v>
      </c>
      <c r="Z58" s="10" t="n">
        <v>1</v>
      </c>
      <c r="AA58" s="10" t="n">
        <v>3</v>
      </c>
      <c r="AB58" s="10" t="n">
        <v>2</v>
      </c>
      <c r="AC58" s="12" t="n">
        <f aca="false">IF(AND(X58="",AB58=0),"",N(AB58)-N(X58))</f>
        <v>1</v>
      </c>
      <c r="AD58" s="10" t="n">
        <f aca="false">COUNTIF(H58:W58,"✗")</f>
        <v>0</v>
      </c>
    </row>
    <row r="59" customFormat="false" ht="15" hidden="false" customHeight="false" outlineLevel="0" collapsed="false">
      <c r="A59" s="10" t="s">
        <v>221</v>
      </c>
      <c r="B59" s="10" t="s">
        <v>4</v>
      </c>
      <c r="C59" s="11" t="s">
        <v>222</v>
      </c>
      <c r="D59" s="11" t="s">
        <v>223</v>
      </c>
      <c r="E59" s="10" t="s">
        <v>176</v>
      </c>
      <c r="F59" s="10" t="s">
        <v>51</v>
      </c>
      <c r="G59" s="10" t="s">
        <v>51</v>
      </c>
      <c r="H59" s="10" t="str">
        <f aca="false">IF(F59&amp;""=G59&amp;"","✓","✗")</f>
        <v>✓</v>
      </c>
      <c r="I59" s="10" t="s">
        <v>108</v>
      </c>
      <c r="J59" s="10" t="s">
        <v>108</v>
      </c>
      <c r="K59" s="10" t="str">
        <f aca="false">IF(I59&amp;""=J59&amp;"","✓","✗")</f>
        <v>✓</v>
      </c>
      <c r="L59" s="10" t="n">
        <v>2</v>
      </c>
      <c r="M59" s="10" t="n">
        <v>2</v>
      </c>
      <c r="N59" s="10" t="str">
        <f aca="false">IF(L59&amp;""=M59&amp;"","✓","✗")</f>
        <v>✓</v>
      </c>
      <c r="O59" s="10" t="n">
        <v>2</v>
      </c>
      <c r="P59" s="10" t="n">
        <v>2</v>
      </c>
      <c r="Q59" s="10" t="str">
        <f aca="false">IF(O59&amp;""=P59&amp;"","✓","✗")</f>
        <v>✓</v>
      </c>
      <c r="R59" s="10" t="n">
        <v>20</v>
      </c>
      <c r="S59" s="10" t="n">
        <v>20</v>
      </c>
      <c r="T59" s="10" t="str">
        <f aca="false">IF(R59&amp;""=S59&amp;"","✓","✗")</f>
        <v>✓</v>
      </c>
      <c r="U59" s="10" t="n">
        <v>4</v>
      </c>
      <c r="V59" s="10" t="n">
        <v>2</v>
      </c>
      <c r="W59" s="10" t="str">
        <f aca="false">IF(U59&amp;""=V59&amp;"","✓","✗")</f>
        <v>✗</v>
      </c>
      <c r="X59" s="10" t="n">
        <v>2</v>
      </c>
      <c r="Y59" s="10" t="n">
        <v>2</v>
      </c>
      <c r="Z59" s="10" t="n">
        <v>2</v>
      </c>
      <c r="AA59" s="10" t="n">
        <v>6</v>
      </c>
      <c r="AB59" s="10" t="n">
        <v>2</v>
      </c>
      <c r="AC59" s="12" t="n">
        <f aca="false">IF(AND(X59="",AB59=0),"",N(AB59)-N(X59))</f>
        <v>0</v>
      </c>
      <c r="AD59" s="10" t="n">
        <f aca="false">COUNTIF(H59:W59,"✗")</f>
        <v>1</v>
      </c>
    </row>
    <row r="60" customFormat="false" ht="15" hidden="false" customHeight="false" outlineLevel="0" collapsed="false">
      <c r="A60" s="10" t="s">
        <v>224</v>
      </c>
      <c r="B60" s="10" t="s">
        <v>4</v>
      </c>
      <c r="C60" s="11" t="s">
        <v>225</v>
      </c>
      <c r="D60" s="11" t="s">
        <v>226</v>
      </c>
      <c r="E60" s="10" t="s">
        <v>176</v>
      </c>
      <c r="F60" s="10" t="s">
        <v>51</v>
      </c>
      <c r="G60" s="10" t="s">
        <v>51</v>
      </c>
      <c r="H60" s="10" t="str">
        <f aca="false">IF(F60&amp;""=G60&amp;"","✓","✗")</f>
        <v>✓</v>
      </c>
      <c r="I60" s="10" t="s">
        <v>108</v>
      </c>
      <c r="J60" s="10" t="s">
        <v>108</v>
      </c>
      <c r="K60" s="10" t="str">
        <f aca="false">IF(I60&amp;""=J60&amp;"","✓","✗")</f>
        <v>✓</v>
      </c>
      <c r="L60" s="10" t="n">
        <v>2</v>
      </c>
      <c r="M60" s="10" t="n">
        <v>2</v>
      </c>
      <c r="N60" s="10" t="str">
        <f aca="false">IF(L60&amp;""=M60&amp;"","✓","✗")</f>
        <v>✓</v>
      </c>
      <c r="O60" s="10" t="n">
        <v>2</v>
      </c>
      <c r="P60" s="10" t="n">
        <v>2</v>
      </c>
      <c r="Q60" s="10" t="str">
        <f aca="false">IF(O60&amp;""=P60&amp;"","✓","✗")</f>
        <v>✓</v>
      </c>
      <c r="R60" s="10" t="n">
        <v>20</v>
      </c>
      <c r="S60" s="10" t="n">
        <v>20</v>
      </c>
      <c r="T60" s="10" t="str">
        <f aca="false">IF(R60&amp;""=S60&amp;"","✓","✗")</f>
        <v>✓</v>
      </c>
      <c r="U60" s="10" t="n">
        <v>4</v>
      </c>
      <c r="V60" s="10" t="n">
        <v>2</v>
      </c>
      <c r="W60" s="10" t="str">
        <f aca="false">IF(U60&amp;""=V60&amp;"","✓","✗")</f>
        <v>✗</v>
      </c>
      <c r="X60" s="10" t="n">
        <v>3</v>
      </c>
      <c r="Y60" s="10" t="n">
        <v>3</v>
      </c>
      <c r="Z60" s="10" t="n">
        <v>3</v>
      </c>
      <c r="AA60" s="10" t="n">
        <v>9</v>
      </c>
      <c r="AB60" s="10" t="n">
        <v>3</v>
      </c>
      <c r="AC60" s="12" t="n">
        <f aca="false">IF(AND(X60="",AB60=0),"",N(AB60)-N(X60))</f>
        <v>0</v>
      </c>
      <c r="AD60" s="10" t="n">
        <f aca="false">COUNTIF(H60:W60,"✗")</f>
        <v>1</v>
      </c>
    </row>
    <row r="61" customFormat="false" ht="15" hidden="false" customHeight="false" outlineLevel="0" collapsed="false">
      <c r="A61" s="10" t="s">
        <v>227</v>
      </c>
      <c r="B61" s="10" t="s">
        <v>4</v>
      </c>
      <c r="C61" s="11" t="s">
        <v>228</v>
      </c>
      <c r="D61" s="11" t="s">
        <v>229</v>
      </c>
      <c r="E61" s="10" t="s">
        <v>176</v>
      </c>
      <c r="F61" s="10" t="s">
        <v>136</v>
      </c>
      <c r="G61" s="10" t="s">
        <v>136</v>
      </c>
      <c r="H61" s="10" t="str">
        <f aca="false">IF(F61&amp;""=G61&amp;"","✓","✗")</f>
        <v>✓</v>
      </c>
      <c r="I61" s="10" t="s">
        <v>52</v>
      </c>
      <c r="J61" s="10" t="s">
        <v>52</v>
      </c>
      <c r="K61" s="10" t="str">
        <f aca="false">IF(I61&amp;""=J61&amp;"","✓","✗")</f>
        <v>✓</v>
      </c>
      <c r="L61" s="10" t="n">
        <v>1</v>
      </c>
      <c r="M61" s="10" t="n">
        <v>1</v>
      </c>
      <c r="N61" s="10" t="str">
        <f aca="false">IF(L61&amp;""=M61&amp;"","✓","✗")</f>
        <v>✓</v>
      </c>
      <c r="O61" s="10" t="n">
        <v>2</v>
      </c>
      <c r="P61" s="10" t="n">
        <v>2</v>
      </c>
      <c r="Q61" s="10" t="str">
        <f aca="false">IF(O61&amp;""=P61&amp;"","✓","✗")</f>
        <v>✓</v>
      </c>
      <c r="R61" s="10" t="n">
        <v>16</v>
      </c>
      <c r="S61" s="10" t="n">
        <v>16</v>
      </c>
      <c r="T61" s="10" t="str">
        <f aca="false">IF(R61&amp;""=S61&amp;"","✓","✗")</f>
        <v>✓</v>
      </c>
      <c r="U61" s="10" t="n">
        <v>4</v>
      </c>
      <c r="V61" s="10" t="n">
        <v>2</v>
      </c>
      <c r="W61" s="10" t="str">
        <f aca="false">IF(U61&amp;""=V61&amp;"","✓","✗")</f>
        <v>✗</v>
      </c>
      <c r="X61" s="10" t="n">
        <v>2</v>
      </c>
      <c r="Y61" s="10" t="n">
        <v>2</v>
      </c>
      <c r="Z61" s="10" t="n">
        <v>0</v>
      </c>
      <c r="AA61" s="10" t="n">
        <v>4</v>
      </c>
      <c r="AB61" s="10" t="n">
        <v>2</v>
      </c>
      <c r="AC61" s="12" t="n">
        <f aca="false">IF(AND(X61="",AB61=0),"",N(AB61)-N(X61))</f>
        <v>0</v>
      </c>
      <c r="AD61" s="10" t="n">
        <f aca="false">COUNTIF(H61:W61,"✗")</f>
        <v>1</v>
      </c>
    </row>
    <row r="62" customFormat="false" ht="15" hidden="false" customHeight="false" outlineLevel="0" collapsed="false">
      <c r="A62" s="10" t="s">
        <v>230</v>
      </c>
      <c r="B62" s="10" t="s">
        <v>4</v>
      </c>
      <c r="C62" s="11" t="s">
        <v>231</v>
      </c>
      <c r="D62" s="11" t="s">
        <v>232</v>
      </c>
      <c r="E62" s="10" t="s">
        <v>176</v>
      </c>
      <c r="F62" s="10" t="s">
        <v>136</v>
      </c>
      <c r="G62" s="10" t="s">
        <v>62</v>
      </c>
      <c r="H62" s="10" t="str">
        <f aca="false">IF(F62&amp;""=G62&amp;"","✓","✗")</f>
        <v>✗</v>
      </c>
      <c r="I62" s="10" t="s">
        <v>108</v>
      </c>
      <c r="J62" s="10" t="s">
        <v>108</v>
      </c>
      <c r="K62" s="10" t="str">
        <f aca="false">IF(I62&amp;""=J62&amp;"","✓","✗")</f>
        <v>✓</v>
      </c>
      <c r="L62" s="10" t="n">
        <v>4</v>
      </c>
      <c r="M62" s="10" t="n">
        <v>2</v>
      </c>
      <c r="N62" s="10" t="str">
        <f aca="false">IF(L62&amp;""=M62&amp;"","✓","✗")</f>
        <v>✗</v>
      </c>
      <c r="O62" s="10" t="n">
        <v>2</v>
      </c>
      <c r="P62" s="10" t="n">
        <v>2</v>
      </c>
      <c r="Q62" s="10" t="str">
        <f aca="false">IF(O62&amp;""=P62&amp;"","✓","✗")</f>
        <v>✓</v>
      </c>
      <c r="R62" s="10" t="n">
        <v>20</v>
      </c>
      <c r="S62" s="10" t="n">
        <v>20</v>
      </c>
      <c r="T62" s="10" t="str">
        <f aca="false">IF(R62&amp;""=S62&amp;"","✓","✗")</f>
        <v>✓</v>
      </c>
      <c r="U62" s="10" t="n">
        <v>4</v>
      </c>
      <c r="V62" s="10" t="n">
        <v>2</v>
      </c>
      <c r="W62" s="10" t="str">
        <f aca="false">IF(U62&amp;""=V62&amp;"","✓","✗")</f>
        <v>✗</v>
      </c>
      <c r="X62" s="10" t="n">
        <v>1</v>
      </c>
      <c r="Y62" s="10" t="n">
        <v>1</v>
      </c>
      <c r="Z62" s="10" t="n">
        <v>1</v>
      </c>
      <c r="AA62" s="10" t="n">
        <v>3</v>
      </c>
      <c r="AB62" s="10" t="n">
        <v>4</v>
      </c>
      <c r="AC62" s="12" t="n">
        <f aca="false">IF(AND(X62="",AB62=0),"",N(AB62)-N(X62))</f>
        <v>3</v>
      </c>
      <c r="AD62" s="10" t="n">
        <f aca="false">COUNTIF(H62:W62,"✗")</f>
        <v>3</v>
      </c>
    </row>
    <row r="63" customFormat="false" ht="15" hidden="false" customHeight="false" outlineLevel="0" collapsed="false">
      <c r="A63" s="10" t="s">
        <v>233</v>
      </c>
      <c r="B63" s="10" t="s">
        <v>4</v>
      </c>
      <c r="C63" s="11" t="s">
        <v>234</v>
      </c>
      <c r="D63" s="11" t="s">
        <v>235</v>
      </c>
      <c r="E63" s="10" t="s">
        <v>176</v>
      </c>
      <c r="F63" s="10" t="s">
        <v>136</v>
      </c>
      <c r="G63" s="10" t="s">
        <v>136</v>
      </c>
      <c r="H63" s="10" t="str">
        <f aca="false">IF(F63&amp;""=G63&amp;"","✓","✗")</f>
        <v>✓</v>
      </c>
      <c r="I63" s="10" t="s">
        <v>108</v>
      </c>
      <c r="J63" s="10" t="s">
        <v>108</v>
      </c>
      <c r="K63" s="10" t="str">
        <f aca="false">IF(I63&amp;""=J63&amp;"","✓","✗")</f>
        <v>✓</v>
      </c>
      <c r="L63" s="10" t="n">
        <v>1</v>
      </c>
      <c r="M63" s="10" t="n">
        <v>1</v>
      </c>
      <c r="N63" s="10" t="str">
        <f aca="false">IF(L63&amp;""=M63&amp;"","✓","✗")</f>
        <v>✓</v>
      </c>
      <c r="O63" s="10"/>
      <c r="P63" s="10" t="n">
        <v>1</v>
      </c>
      <c r="Q63" s="10" t="str">
        <f aca="false">IF(O63&amp;""=P63&amp;"","✓","✗")</f>
        <v>✗</v>
      </c>
      <c r="R63" s="10"/>
      <c r="S63" s="10" t="n">
        <v>8</v>
      </c>
      <c r="T63" s="10" t="str">
        <f aca="false">IF(R63&amp;""=S63&amp;"","✓","✗")</f>
        <v>✗</v>
      </c>
      <c r="U63" s="10"/>
      <c r="V63" s="10" t="n">
        <v>2</v>
      </c>
      <c r="W63" s="10" t="str">
        <f aca="false">IF(U63&amp;""=V63&amp;"","✓","✗")</f>
        <v>✗</v>
      </c>
      <c r="X63" s="10" t="n">
        <v>2</v>
      </c>
      <c r="Y63" s="10" t="n">
        <v>2</v>
      </c>
      <c r="Z63" s="10" t="n">
        <v>2</v>
      </c>
      <c r="AA63" s="10" t="n">
        <v>6</v>
      </c>
      <c r="AB63" s="10" t="n">
        <v>2</v>
      </c>
      <c r="AC63" s="12" t="n">
        <f aca="false">IF(AND(X63="",AB63=0),"",N(AB63)-N(X63))</f>
        <v>0</v>
      </c>
      <c r="AD63" s="10" t="n">
        <f aca="false">COUNTIF(H63:W63,"✗")</f>
        <v>3</v>
      </c>
    </row>
    <row r="64" customFormat="false" ht="15" hidden="false" customHeight="false" outlineLevel="0" collapsed="false">
      <c r="A64" s="10" t="s">
        <v>236</v>
      </c>
      <c r="B64" s="10" t="s">
        <v>4</v>
      </c>
      <c r="C64" s="11" t="s">
        <v>237</v>
      </c>
      <c r="D64" s="11" t="s">
        <v>238</v>
      </c>
      <c r="E64" s="10" t="s">
        <v>176</v>
      </c>
      <c r="F64" s="10" t="s">
        <v>136</v>
      </c>
      <c r="G64" s="10" t="s">
        <v>136</v>
      </c>
      <c r="H64" s="10" t="str">
        <f aca="false">IF(F64&amp;""=G64&amp;"","✓","✗")</f>
        <v>✓</v>
      </c>
      <c r="I64" s="10" t="s">
        <v>52</v>
      </c>
      <c r="J64" s="10" t="s">
        <v>52</v>
      </c>
      <c r="K64" s="10" t="str">
        <f aca="false">IF(I64&amp;""=J64&amp;"","✓","✗")</f>
        <v>✓</v>
      </c>
      <c r="L64" s="10" t="n">
        <v>2</v>
      </c>
      <c r="M64" s="10" t="n">
        <v>2</v>
      </c>
      <c r="N64" s="10" t="str">
        <f aca="false">IF(L64&amp;""=M64&amp;"","✓","✗")</f>
        <v>✓</v>
      </c>
      <c r="O64" s="10" t="n">
        <v>1</v>
      </c>
      <c r="P64" s="10" t="n">
        <v>1</v>
      </c>
      <c r="Q64" s="10" t="str">
        <f aca="false">IF(O64&amp;""=P64&amp;"","✓","✗")</f>
        <v>✓</v>
      </c>
      <c r="R64" s="10" t="n">
        <v>12</v>
      </c>
      <c r="S64" s="10" t="n">
        <v>12</v>
      </c>
      <c r="T64" s="10" t="str">
        <f aca="false">IF(R64&amp;""=S64&amp;"","✓","✗")</f>
        <v>✓</v>
      </c>
      <c r="U64" s="10" t="n">
        <v>2</v>
      </c>
      <c r="V64" s="10" t="n">
        <v>1</v>
      </c>
      <c r="W64" s="10" t="str">
        <f aca="false">IF(U64&amp;""=V64&amp;"","✓","✗")</f>
        <v>✗</v>
      </c>
      <c r="X64" s="10" t="n">
        <v>3</v>
      </c>
      <c r="Y64" s="10" t="n">
        <v>3</v>
      </c>
      <c r="Z64" s="10" t="n">
        <v>1</v>
      </c>
      <c r="AA64" s="10" t="n">
        <v>7</v>
      </c>
      <c r="AB64" s="10" t="n">
        <v>2</v>
      </c>
      <c r="AC64" s="12" t="n">
        <f aca="false">IF(AND(X64="",AB64=0),"",N(AB64)-N(X64))</f>
        <v>-1</v>
      </c>
      <c r="AD64" s="10" t="n">
        <f aca="false">COUNTIF(H64:W64,"✗")</f>
        <v>1</v>
      </c>
    </row>
    <row r="65" customFormat="false" ht="15" hidden="false" customHeight="false" outlineLevel="0" collapsed="false">
      <c r="A65" s="10" t="s">
        <v>239</v>
      </c>
      <c r="B65" s="10" t="s">
        <v>5</v>
      </c>
      <c r="C65" s="11" t="s">
        <v>240</v>
      </c>
      <c r="D65" s="11" t="s">
        <v>58</v>
      </c>
      <c r="E65" s="10" t="s">
        <v>176</v>
      </c>
      <c r="F65" s="10" t="s">
        <v>51</v>
      </c>
      <c r="G65" s="10" t="s">
        <v>51</v>
      </c>
      <c r="H65" s="10" t="str">
        <f aca="false">IF(F65&amp;""=G65&amp;"","✓","✗")</f>
        <v>✓</v>
      </c>
      <c r="I65" s="10" t="s">
        <v>52</v>
      </c>
      <c r="J65" s="10" t="s">
        <v>52</v>
      </c>
      <c r="K65" s="10" t="str">
        <f aca="false">IF(I65&amp;""=J65&amp;"","✓","✗")</f>
        <v>✓</v>
      </c>
      <c r="L65" s="10"/>
      <c r="M65" s="10" t="n">
        <v>2</v>
      </c>
      <c r="N65" s="10" t="str">
        <f aca="false">IF(L65&amp;""=M65&amp;"","✓","✗")</f>
        <v>✗</v>
      </c>
      <c r="O65" s="10"/>
      <c r="P65" s="10"/>
      <c r="Q65" s="10" t="str">
        <f aca="false">IF(O65&amp;""=P65&amp;"","✓","✗")</f>
        <v>✓</v>
      </c>
      <c r="R65" s="10"/>
      <c r="S65" s="10"/>
      <c r="T65" s="10" t="str">
        <f aca="false">IF(R65&amp;""=S65&amp;"","✓","✗")</f>
        <v>✓</v>
      </c>
      <c r="U65" s="10"/>
      <c r="V65" s="10"/>
      <c r="W65" s="10" t="str">
        <f aca="false">IF(U65&amp;""=V65&amp;"","✓","✗")</f>
        <v>✓</v>
      </c>
      <c r="X65" s="10"/>
      <c r="Y65" s="10"/>
      <c r="Z65" s="10"/>
      <c r="AA65" s="10" t="n">
        <v>0</v>
      </c>
      <c r="AB65" s="10" t="n">
        <v>0</v>
      </c>
      <c r="AC65" s="12" t="str">
        <f aca="false">IF(AND(X65="",AB65=0),"",N(AB65)-N(X65))</f>
        <v/>
      </c>
      <c r="AD65" s="10" t="n">
        <f aca="false">COUNTIF(H65:W65,"✗")</f>
        <v>1</v>
      </c>
    </row>
    <row r="66" customFormat="false" ht="15" hidden="false" customHeight="false" outlineLevel="0" collapsed="false">
      <c r="A66" s="10" t="s">
        <v>241</v>
      </c>
      <c r="B66" s="10" t="s">
        <v>5</v>
      </c>
      <c r="C66" s="11" t="s">
        <v>242</v>
      </c>
      <c r="D66" s="11" t="s">
        <v>243</v>
      </c>
      <c r="E66" s="10" t="s">
        <v>176</v>
      </c>
      <c r="F66" s="10" t="s">
        <v>51</v>
      </c>
      <c r="G66" s="10" t="s">
        <v>51</v>
      </c>
      <c r="H66" s="10" t="str">
        <f aca="false">IF(F66&amp;""=G66&amp;"","✓","✗")</f>
        <v>✓</v>
      </c>
      <c r="I66" s="10" t="s">
        <v>108</v>
      </c>
      <c r="J66" s="10" t="s">
        <v>108</v>
      </c>
      <c r="K66" s="10" t="str">
        <f aca="false">IF(I66&amp;""=J66&amp;"","✓","✗")</f>
        <v>✓</v>
      </c>
      <c r="L66" s="10" t="n">
        <v>2</v>
      </c>
      <c r="M66" s="10" t="n">
        <v>2</v>
      </c>
      <c r="N66" s="10" t="str">
        <f aca="false">IF(L66&amp;""=M66&amp;"","✓","✗")</f>
        <v>✓</v>
      </c>
      <c r="O66" s="10" t="n">
        <v>2</v>
      </c>
      <c r="P66" s="10" t="n">
        <v>2</v>
      </c>
      <c r="Q66" s="10" t="str">
        <f aca="false">IF(O66&amp;""=P66&amp;"","✓","✗")</f>
        <v>✓</v>
      </c>
      <c r="R66" s="10" t="n">
        <v>12</v>
      </c>
      <c r="S66" s="10" t="n">
        <v>12</v>
      </c>
      <c r="T66" s="10" t="str">
        <f aca="false">IF(R66&amp;""=S66&amp;"","✓","✗")</f>
        <v>✓</v>
      </c>
      <c r="U66" s="10" t="n">
        <v>4</v>
      </c>
      <c r="V66" s="10" t="n">
        <v>2</v>
      </c>
      <c r="W66" s="10" t="str">
        <f aca="false">IF(U66&amp;""=V66&amp;"","✓","✗")</f>
        <v>✗</v>
      </c>
      <c r="X66" s="10" t="n">
        <v>2</v>
      </c>
      <c r="Y66" s="10" t="n">
        <v>2</v>
      </c>
      <c r="Z66" s="10" t="n">
        <v>2</v>
      </c>
      <c r="AA66" s="10" t="n">
        <v>6</v>
      </c>
      <c r="AB66" s="10" t="n">
        <v>3</v>
      </c>
      <c r="AC66" s="12" t="n">
        <f aca="false">IF(AND(X66="",AB66=0),"",N(AB66)-N(X66))</f>
        <v>1</v>
      </c>
      <c r="AD66" s="10" t="n">
        <f aca="false">COUNTIF(H66:W66,"✗")</f>
        <v>1</v>
      </c>
    </row>
    <row r="67" customFormat="false" ht="15" hidden="false" customHeight="false" outlineLevel="0" collapsed="false">
      <c r="A67" s="10" t="s">
        <v>244</v>
      </c>
      <c r="B67" s="10" t="s">
        <v>5</v>
      </c>
      <c r="C67" s="11" t="s">
        <v>245</v>
      </c>
      <c r="D67" s="11" t="s">
        <v>246</v>
      </c>
      <c r="E67" s="10" t="s">
        <v>176</v>
      </c>
      <c r="F67" s="10" t="s">
        <v>51</v>
      </c>
      <c r="G67" s="10" t="s">
        <v>51</v>
      </c>
      <c r="H67" s="10" t="str">
        <f aca="false">IF(F67&amp;""=G67&amp;"","✓","✗")</f>
        <v>✓</v>
      </c>
      <c r="I67" s="10" t="s">
        <v>108</v>
      </c>
      <c r="J67" s="10" t="s">
        <v>108</v>
      </c>
      <c r="K67" s="10" t="str">
        <f aca="false">IF(I67&amp;""=J67&amp;"","✓","✗")</f>
        <v>✓</v>
      </c>
      <c r="L67" s="10" t="n">
        <v>2</v>
      </c>
      <c r="M67" s="10" t="n">
        <v>2</v>
      </c>
      <c r="N67" s="10" t="str">
        <f aca="false">IF(L67&amp;""=M67&amp;"","✓","✗")</f>
        <v>✓</v>
      </c>
      <c r="O67" s="10" t="n">
        <v>2</v>
      </c>
      <c r="P67" s="10" t="n">
        <v>2</v>
      </c>
      <c r="Q67" s="10" t="str">
        <f aca="false">IF(O67&amp;""=P67&amp;"","✓","✗")</f>
        <v>✓</v>
      </c>
      <c r="R67" s="10" t="n">
        <v>12</v>
      </c>
      <c r="S67" s="10" t="n">
        <v>12</v>
      </c>
      <c r="T67" s="10" t="str">
        <f aca="false">IF(R67&amp;""=S67&amp;"","✓","✗")</f>
        <v>✓</v>
      </c>
      <c r="U67" s="10" t="n">
        <v>4</v>
      </c>
      <c r="V67" s="10" t="n">
        <v>2</v>
      </c>
      <c r="W67" s="10" t="str">
        <f aca="false">IF(U67&amp;""=V67&amp;"","✓","✗")</f>
        <v>✗</v>
      </c>
      <c r="X67" s="10" t="n">
        <v>2</v>
      </c>
      <c r="Y67" s="10" t="n">
        <v>2</v>
      </c>
      <c r="Z67" s="10" t="n">
        <v>2</v>
      </c>
      <c r="AA67" s="10" t="n">
        <v>6</v>
      </c>
      <c r="AB67" s="10" t="n">
        <v>2</v>
      </c>
      <c r="AC67" s="12" t="n">
        <f aca="false">IF(AND(X67="",AB67=0),"",N(AB67)-N(X67))</f>
        <v>0</v>
      </c>
      <c r="AD67" s="10" t="n">
        <f aca="false">COUNTIF(H67:W67,"✗")</f>
        <v>1</v>
      </c>
    </row>
    <row r="68" customFormat="false" ht="15" hidden="false" customHeight="false" outlineLevel="0" collapsed="false">
      <c r="A68" s="10" t="s">
        <v>247</v>
      </c>
      <c r="B68" s="10" t="s">
        <v>5</v>
      </c>
      <c r="C68" s="11" t="s">
        <v>248</v>
      </c>
      <c r="D68" s="11" t="s">
        <v>249</v>
      </c>
      <c r="E68" s="10" t="s">
        <v>176</v>
      </c>
      <c r="F68" s="10" t="s">
        <v>136</v>
      </c>
      <c r="G68" s="10" t="s">
        <v>62</v>
      </c>
      <c r="H68" s="10" t="str">
        <f aca="false">IF(F68&amp;""=G68&amp;"","✓","✗")</f>
        <v>✗</v>
      </c>
      <c r="I68" s="10" t="s">
        <v>108</v>
      </c>
      <c r="J68" s="10" t="s">
        <v>108</v>
      </c>
      <c r="K68" s="10" t="str">
        <f aca="false">IF(I68&amp;""=J68&amp;"","✓","✗")</f>
        <v>✓</v>
      </c>
      <c r="L68" s="10" t="n">
        <v>1</v>
      </c>
      <c r="M68" s="10" t="n">
        <v>1</v>
      </c>
      <c r="N68" s="10" t="str">
        <f aca="false">IF(L68&amp;""=M68&amp;"","✓","✗")</f>
        <v>✓</v>
      </c>
      <c r="O68" s="10" t="n">
        <v>1</v>
      </c>
      <c r="P68" s="10" t="n">
        <v>1</v>
      </c>
      <c r="Q68" s="10" t="str">
        <f aca="false">IF(O68&amp;""=P68&amp;"","✓","✗")</f>
        <v>✓</v>
      </c>
      <c r="R68" s="10" t="n">
        <v>14</v>
      </c>
      <c r="S68" s="10" t="n">
        <v>14</v>
      </c>
      <c r="T68" s="10" t="str">
        <f aca="false">IF(R68&amp;""=S68&amp;"","✓","✗")</f>
        <v>✓</v>
      </c>
      <c r="U68" s="10" t="n">
        <v>1</v>
      </c>
      <c r="V68" s="10" t="n">
        <v>1</v>
      </c>
      <c r="W68" s="10" t="str">
        <f aca="false">IF(U68&amp;""=V68&amp;"","✓","✗")</f>
        <v>✓</v>
      </c>
      <c r="X68" s="10" t="n">
        <v>2</v>
      </c>
      <c r="Y68" s="10" t="n">
        <v>2</v>
      </c>
      <c r="Z68" s="10" t="n">
        <v>2</v>
      </c>
      <c r="AA68" s="10" t="n">
        <v>6</v>
      </c>
      <c r="AB68" s="10" t="n">
        <v>3</v>
      </c>
      <c r="AC68" s="12" t="n">
        <f aca="false">IF(AND(X68="",AB68=0),"",N(AB68)-N(X68))</f>
        <v>1</v>
      </c>
      <c r="AD68" s="10" t="n">
        <f aca="false">COUNTIF(H68:W68,"✗")</f>
        <v>1</v>
      </c>
    </row>
    <row r="69" customFormat="false" ht="15" hidden="false" customHeight="false" outlineLevel="0" collapsed="false">
      <c r="A69" s="10" t="s">
        <v>250</v>
      </c>
      <c r="B69" s="10" t="s">
        <v>5</v>
      </c>
      <c r="C69" s="11" t="s">
        <v>251</v>
      </c>
      <c r="D69" s="11" t="s">
        <v>252</v>
      </c>
      <c r="E69" s="10" t="s">
        <v>176</v>
      </c>
      <c r="F69" s="10" t="s">
        <v>51</v>
      </c>
      <c r="G69" s="10" t="s">
        <v>51</v>
      </c>
      <c r="H69" s="10" t="str">
        <f aca="false">IF(F69&amp;""=G69&amp;"","✓","✗")</f>
        <v>✓</v>
      </c>
      <c r="I69" s="10" t="s">
        <v>52</v>
      </c>
      <c r="J69" s="10" t="s">
        <v>52</v>
      </c>
      <c r="K69" s="10" t="str">
        <f aca="false">IF(I69&amp;""=J69&amp;"","✓","✗")</f>
        <v>✓</v>
      </c>
      <c r="L69" s="10" t="n">
        <v>2</v>
      </c>
      <c r="M69" s="10" t="n">
        <v>2</v>
      </c>
      <c r="N69" s="10" t="str">
        <f aca="false">IF(L69&amp;""=M69&amp;"","✓","✗")</f>
        <v>✓</v>
      </c>
      <c r="O69" s="10" t="n">
        <v>2</v>
      </c>
      <c r="P69" s="10" t="n">
        <v>2</v>
      </c>
      <c r="Q69" s="10" t="str">
        <f aca="false">IF(O69&amp;""=P69&amp;"","✓","✗")</f>
        <v>✓</v>
      </c>
      <c r="R69" s="10" t="n">
        <v>20</v>
      </c>
      <c r="S69" s="10" t="n">
        <v>20</v>
      </c>
      <c r="T69" s="10" t="str">
        <f aca="false">IF(R69&amp;""=S69&amp;"","✓","✗")</f>
        <v>✓</v>
      </c>
      <c r="U69" s="10" t="n">
        <v>4</v>
      </c>
      <c r="V69" s="10" t="n">
        <v>2</v>
      </c>
      <c r="W69" s="10" t="str">
        <f aca="false">IF(U69&amp;""=V69&amp;"","✓","✗")</f>
        <v>✗</v>
      </c>
      <c r="X69" s="10" t="n">
        <v>2</v>
      </c>
      <c r="Y69" s="10" t="n">
        <v>2</v>
      </c>
      <c r="Z69" s="10" t="n">
        <v>0</v>
      </c>
      <c r="AA69" s="10" t="n">
        <v>4</v>
      </c>
      <c r="AB69" s="10" t="n">
        <v>2</v>
      </c>
      <c r="AC69" s="12" t="n">
        <f aca="false">IF(AND(X69="",AB69=0),"",N(AB69)-N(X69))</f>
        <v>0</v>
      </c>
      <c r="AD69" s="10" t="n">
        <f aca="false">COUNTIF(H69:W69,"✗")</f>
        <v>1</v>
      </c>
    </row>
    <row r="70" customFormat="false" ht="15" hidden="false" customHeight="false" outlineLevel="0" collapsed="false">
      <c r="A70" s="10" t="s">
        <v>253</v>
      </c>
      <c r="B70" s="10" t="s">
        <v>5</v>
      </c>
      <c r="C70" s="11" t="s">
        <v>254</v>
      </c>
      <c r="D70" s="11" t="s">
        <v>255</v>
      </c>
      <c r="E70" s="10" t="s">
        <v>176</v>
      </c>
      <c r="F70" s="10" t="s">
        <v>51</v>
      </c>
      <c r="G70" s="10" t="s">
        <v>51</v>
      </c>
      <c r="H70" s="10" t="str">
        <f aca="false">IF(F70&amp;""=G70&amp;"","✓","✗")</f>
        <v>✓</v>
      </c>
      <c r="I70" s="10" t="s">
        <v>108</v>
      </c>
      <c r="J70" s="10" t="s">
        <v>108</v>
      </c>
      <c r="K70" s="10" t="str">
        <f aca="false">IF(I70&amp;""=J70&amp;"","✓","✗")</f>
        <v>✓</v>
      </c>
      <c r="L70" s="10" t="n">
        <v>2</v>
      </c>
      <c r="M70" s="10" t="n">
        <v>2</v>
      </c>
      <c r="N70" s="10" t="str">
        <f aca="false">IF(L70&amp;""=M70&amp;"","✓","✗")</f>
        <v>✓</v>
      </c>
      <c r="O70" s="10" t="n">
        <v>2</v>
      </c>
      <c r="P70" s="10" t="n">
        <v>2</v>
      </c>
      <c r="Q70" s="10" t="str">
        <f aca="false">IF(O70&amp;""=P70&amp;"","✓","✗")</f>
        <v>✓</v>
      </c>
      <c r="R70" s="10" t="n">
        <v>12</v>
      </c>
      <c r="S70" s="10" t="n">
        <v>12</v>
      </c>
      <c r="T70" s="10" t="str">
        <f aca="false">IF(R70&amp;""=S70&amp;"","✓","✗")</f>
        <v>✓</v>
      </c>
      <c r="U70" s="10" t="n">
        <v>4</v>
      </c>
      <c r="V70" s="10" t="n">
        <v>2</v>
      </c>
      <c r="W70" s="10" t="str">
        <f aca="false">IF(U70&amp;""=V70&amp;"","✓","✗")</f>
        <v>✗</v>
      </c>
      <c r="X70" s="10" t="n">
        <v>3</v>
      </c>
      <c r="Y70" s="10" t="n">
        <v>3</v>
      </c>
      <c r="Z70" s="10" t="n">
        <v>3</v>
      </c>
      <c r="AA70" s="10" t="n">
        <v>9</v>
      </c>
      <c r="AB70" s="10" t="n">
        <v>3</v>
      </c>
      <c r="AC70" s="12" t="n">
        <f aca="false">IF(AND(X70="",AB70=0),"",N(AB70)-N(X70))</f>
        <v>0</v>
      </c>
      <c r="AD70" s="10" t="n">
        <f aca="false">COUNTIF(H70:W70,"✗")</f>
        <v>1</v>
      </c>
    </row>
    <row r="71" customFormat="false" ht="15" hidden="false" customHeight="false" outlineLevel="0" collapsed="false">
      <c r="A71" s="10" t="s">
        <v>256</v>
      </c>
      <c r="B71" s="10" t="s">
        <v>5</v>
      </c>
      <c r="C71" s="11" t="s">
        <v>257</v>
      </c>
      <c r="D71" s="11" t="s">
        <v>258</v>
      </c>
      <c r="E71" s="10" t="s">
        <v>176</v>
      </c>
      <c r="F71" s="10" t="s">
        <v>136</v>
      </c>
      <c r="G71" s="10" t="s">
        <v>62</v>
      </c>
      <c r="H71" s="10" t="str">
        <f aca="false">IF(F71&amp;""=G71&amp;"","✓","✗")</f>
        <v>✗</v>
      </c>
      <c r="I71" s="10" t="s">
        <v>52</v>
      </c>
      <c r="J71" s="10" t="s">
        <v>52</v>
      </c>
      <c r="K71" s="10" t="str">
        <f aca="false">IF(I71&amp;""=J71&amp;"","✓","✗")</f>
        <v>✓</v>
      </c>
      <c r="L71" s="10" t="n">
        <v>2</v>
      </c>
      <c r="M71" s="10" t="n">
        <v>2</v>
      </c>
      <c r="N71" s="10" t="str">
        <f aca="false">IF(L71&amp;""=M71&amp;"","✓","✗")</f>
        <v>✓</v>
      </c>
      <c r="O71" s="10" t="n">
        <v>1</v>
      </c>
      <c r="P71" s="10" t="n">
        <v>1</v>
      </c>
      <c r="Q71" s="10" t="str">
        <f aca="false">IF(O71&amp;""=P71&amp;"","✓","✗")</f>
        <v>✓</v>
      </c>
      <c r="R71" s="10" t="n">
        <v>11</v>
      </c>
      <c r="S71" s="10" t="n">
        <v>11</v>
      </c>
      <c r="T71" s="10" t="str">
        <f aca="false">IF(R71&amp;""=S71&amp;"","✓","✗")</f>
        <v>✓</v>
      </c>
      <c r="U71" s="10" t="n">
        <v>1</v>
      </c>
      <c r="V71" s="10" t="n">
        <v>1</v>
      </c>
      <c r="W71" s="10" t="str">
        <f aca="false">IF(U71&amp;""=V71&amp;"","✓","✗")</f>
        <v>✓</v>
      </c>
      <c r="X71" s="10" t="n">
        <v>2</v>
      </c>
      <c r="Y71" s="10" t="n">
        <v>2</v>
      </c>
      <c r="Z71" s="10" t="n">
        <v>0</v>
      </c>
      <c r="AA71" s="10" t="n">
        <v>4</v>
      </c>
      <c r="AB71" s="10" t="n">
        <v>1</v>
      </c>
      <c r="AC71" s="12" t="n">
        <f aca="false">IF(AND(X71="",AB71=0),"",N(AB71)-N(X71))</f>
        <v>-1</v>
      </c>
      <c r="AD71" s="10" t="n">
        <f aca="false">COUNTIF(H71:W71,"✗")</f>
        <v>1</v>
      </c>
    </row>
    <row r="72" customFormat="false" ht="15" hidden="false" customHeight="false" outlineLevel="0" collapsed="false">
      <c r="A72" s="10" t="s">
        <v>259</v>
      </c>
      <c r="B72" s="10" t="s">
        <v>5</v>
      </c>
      <c r="C72" s="11" t="s">
        <v>260</v>
      </c>
      <c r="D72" s="11" t="s">
        <v>261</v>
      </c>
      <c r="E72" s="10" t="s">
        <v>176</v>
      </c>
      <c r="F72" s="10" t="s">
        <v>136</v>
      </c>
      <c r="G72" s="10" t="s">
        <v>51</v>
      </c>
      <c r="H72" s="10" t="str">
        <f aca="false">IF(F72&amp;""=G72&amp;"","✓","✗")</f>
        <v>✗</v>
      </c>
      <c r="I72" s="10" t="s">
        <v>52</v>
      </c>
      <c r="J72" s="10" t="s">
        <v>52</v>
      </c>
      <c r="K72" s="10" t="str">
        <f aca="false">IF(I72&amp;""=J72&amp;"","✓","✗")</f>
        <v>✓</v>
      </c>
      <c r="L72" s="10" t="n">
        <v>2</v>
      </c>
      <c r="M72" s="10" t="n">
        <v>2</v>
      </c>
      <c r="N72" s="10" t="str">
        <f aca="false">IF(L72&amp;""=M72&amp;"","✓","✗")</f>
        <v>✓</v>
      </c>
      <c r="O72" s="10" t="n">
        <v>1</v>
      </c>
      <c r="P72" s="10" t="n">
        <v>1</v>
      </c>
      <c r="Q72" s="10" t="str">
        <f aca="false">IF(O72&amp;""=P72&amp;"","✓","✗")</f>
        <v>✓</v>
      </c>
      <c r="R72" s="10" t="n">
        <v>8</v>
      </c>
      <c r="S72" s="10" t="n">
        <v>8</v>
      </c>
      <c r="T72" s="10" t="str">
        <f aca="false">IF(R72&amp;""=S72&amp;"","✓","✗")</f>
        <v>✓</v>
      </c>
      <c r="U72" s="10" t="n">
        <v>1</v>
      </c>
      <c r="V72" s="10" t="n">
        <v>1</v>
      </c>
      <c r="W72" s="10" t="str">
        <f aca="false">IF(U72&amp;""=V72&amp;"","✓","✗")</f>
        <v>✓</v>
      </c>
      <c r="X72" s="10" t="n">
        <v>2</v>
      </c>
      <c r="Y72" s="10" t="n">
        <v>2</v>
      </c>
      <c r="Z72" s="10" t="n">
        <v>0</v>
      </c>
      <c r="AA72" s="10" t="n">
        <v>4</v>
      </c>
      <c r="AB72" s="10" t="n">
        <v>1</v>
      </c>
      <c r="AC72" s="12" t="n">
        <f aca="false">IF(AND(X72="",AB72=0),"",N(AB72)-N(X72))</f>
        <v>-1</v>
      </c>
      <c r="AD72" s="10" t="n">
        <f aca="false">COUNTIF(H72:W72,"✗")</f>
        <v>1</v>
      </c>
    </row>
    <row r="73" customFormat="false" ht="15" hidden="false" customHeight="false" outlineLevel="0" collapsed="false">
      <c r="A73" s="10" t="s">
        <v>262</v>
      </c>
      <c r="B73" s="10" t="s">
        <v>5</v>
      </c>
      <c r="C73" s="11" t="s">
        <v>263</v>
      </c>
      <c r="D73" s="11" t="s">
        <v>264</v>
      </c>
      <c r="E73" s="10" t="s">
        <v>176</v>
      </c>
      <c r="F73" s="10" t="s">
        <v>136</v>
      </c>
      <c r="G73" s="10" t="s">
        <v>51</v>
      </c>
      <c r="H73" s="10" t="str">
        <f aca="false">IF(F73&amp;""=G73&amp;"","✓","✗")</f>
        <v>✗</v>
      </c>
      <c r="I73" s="10" t="s">
        <v>52</v>
      </c>
      <c r="J73" s="10" t="s">
        <v>52</v>
      </c>
      <c r="K73" s="10" t="str">
        <f aca="false">IF(I73&amp;""=J73&amp;"","✓","✗")</f>
        <v>✓</v>
      </c>
      <c r="L73" s="10" t="n">
        <v>2</v>
      </c>
      <c r="M73" s="10" t="n">
        <v>2</v>
      </c>
      <c r="N73" s="10" t="str">
        <f aca="false">IF(L73&amp;""=M73&amp;"","✓","✗")</f>
        <v>✓</v>
      </c>
      <c r="O73" s="10" t="n">
        <v>1</v>
      </c>
      <c r="P73" s="10" t="n">
        <v>1</v>
      </c>
      <c r="Q73" s="10" t="str">
        <f aca="false">IF(O73&amp;""=P73&amp;"","✓","✗")</f>
        <v>✓</v>
      </c>
      <c r="R73" s="10" t="n">
        <v>8</v>
      </c>
      <c r="S73" s="10" t="n">
        <v>8</v>
      </c>
      <c r="T73" s="10" t="str">
        <f aca="false">IF(R73&amp;""=S73&amp;"","✓","✗")</f>
        <v>✓</v>
      </c>
      <c r="U73" s="10" t="n">
        <v>1</v>
      </c>
      <c r="V73" s="10" t="n">
        <v>1</v>
      </c>
      <c r="W73" s="10" t="str">
        <f aca="false">IF(U73&amp;""=V73&amp;"","✓","✗")</f>
        <v>✓</v>
      </c>
      <c r="X73" s="10" t="n">
        <v>2</v>
      </c>
      <c r="Y73" s="10" t="n">
        <v>2</v>
      </c>
      <c r="Z73" s="10" t="n">
        <v>0</v>
      </c>
      <c r="AA73" s="10" t="n">
        <v>4</v>
      </c>
      <c r="AB73" s="10" t="n">
        <v>1</v>
      </c>
      <c r="AC73" s="12" t="n">
        <f aca="false">IF(AND(X73="",AB73=0),"",N(AB73)-N(X73))</f>
        <v>-1</v>
      </c>
      <c r="AD73" s="10" t="n">
        <f aca="false">COUNTIF(H73:W73,"✗")</f>
        <v>1</v>
      </c>
    </row>
    <row r="74" customFormat="false" ht="15" hidden="false" customHeight="false" outlineLevel="0" collapsed="false">
      <c r="A74" s="10" t="s">
        <v>265</v>
      </c>
      <c r="B74" s="10" t="s">
        <v>6</v>
      </c>
      <c r="C74" s="11" t="s">
        <v>266</v>
      </c>
      <c r="D74" s="11" t="s">
        <v>150</v>
      </c>
      <c r="E74" s="10" t="s">
        <v>176</v>
      </c>
      <c r="F74" s="10" t="s">
        <v>136</v>
      </c>
      <c r="G74" s="10" t="s">
        <v>62</v>
      </c>
      <c r="H74" s="10" t="str">
        <f aca="false">IF(F74&amp;""=G74&amp;"","✓","✗")</f>
        <v>✗</v>
      </c>
      <c r="I74" s="10" t="s">
        <v>108</v>
      </c>
      <c r="J74" s="10" t="s">
        <v>108</v>
      </c>
      <c r="K74" s="10" t="str">
        <f aca="false">IF(I74&amp;""=J74&amp;"","✓","✗")</f>
        <v>✓</v>
      </c>
      <c r="L74" s="10" t="n">
        <v>2</v>
      </c>
      <c r="M74" s="10" t="n">
        <v>2</v>
      </c>
      <c r="N74" s="10" t="str">
        <f aca="false">IF(L74&amp;""=M74&amp;"","✓","✗")</f>
        <v>✓</v>
      </c>
      <c r="O74" s="10" t="n">
        <v>1</v>
      </c>
      <c r="P74" s="10" t="n">
        <v>1</v>
      </c>
      <c r="Q74" s="10" t="str">
        <f aca="false">IF(O74&amp;""=P74&amp;"","✓","✗")</f>
        <v>✓</v>
      </c>
      <c r="R74" s="10" t="n">
        <v>8</v>
      </c>
      <c r="S74" s="10" t="n">
        <v>8</v>
      </c>
      <c r="T74" s="10" t="str">
        <f aca="false">IF(R74&amp;""=S74&amp;"","✓","✗")</f>
        <v>✓</v>
      </c>
      <c r="U74" s="10" t="n">
        <v>2</v>
      </c>
      <c r="V74" s="10" t="n">
        <v>1</v>
      </c>
      <c r="W74" s="10" t="str">
        <f aca="false">IF(U74&amp;""=V74&amp;"","✓","✗")</f>
        <v>✗</v>
      </c>
      <c r="X74" s="10" t="n">
        <v>2</v>
      </c>
      <c r="Y74" s="10" t="n">
        <v>2</v>
      </c>
      <c r="Z74" s="10" t="n">
        <v>2</v>
      </c>
      <c r="AA74" s="10" t="n">
        <v>6</v>
      </c>
      <c r="AB74" s="10" t="n">
        <v>3</v>
      </c>
      <c r="AC74" s="12" t="n">
        <f aca="false">IF(AND(X74="",AB74=0),"",N(AB74)-N(X74))</f>
        <v>1</v>
      </c>
      <c r="AD74" s="10" t="n">
        <f aca="false">COUNTIF(H74:W74,"✗")</f>
        <v>2</v>
      </c>
    </row>
    <row r="75" customFormat="false" ht="15" hidden="false" customHeight="false" outlineLevel="0" collapsed="false">
      <c r="A75" s="10" t="s">
        <v>267</v>
      </c>
      <c r="B75" s="10" t="s">
        <v>6</v>
      </c>
      <c r="C75" s="11" t="s">
        <v>268</v>
      </c>
      <c r="D75" s="11" t="s">
        <v>269</v>
      </c>
      <c r="E75" s="10" t="s">
        <v>176</v>
      </c>
      <c r="F75" s="10" t="s">
        <v>62</v>
      </c>
      <c r="G75" s="10" t="s">
        <v>62</v>
      </c>
      <c r="H75" s="10" t="str">
        <f aca="false">IF(F75&amp;""=G75&amp;"","✓","✗")</f>
        <v>✓</v>
      </c>
      <c r="I75" s="10" t="s">
        <v>52</v>
      </c>
      <c r="J75" s="10" t="s">
        <v>52</v>
      </c>
      <c r="K75" s="10" t="str">
        <f aca="false">IF(I75&amp;""=J75&amp;"","✓","✗")</f>
        <v>✓</v>
      </c>
      <c r="L75" s="10" t="n">
        <v>2</v>
      </c>
      <c r="M75" s="10" t="n">
        <v>2</v>
      </c>
      <c r="N75" s="10" t="str">
        <f aca="false">IF(L75&amp;""=M75&amp;"","✓","✗")</f>
        <v>✓</v>
      </c>
      <c r="O75" s="10" t="n">
        <v>2</v>
      </c>
      <c r="P75" s="10" t="n">
        <v>2</v>
      </c>
      <c r="Q75" s="10" t="str">
        <f aca="false">IF(O75&amp;""=P75&amp;"","✓","✗")</f>
        <v>✓</v>
      </c>
      <c r="R75" s="10" t="n">
        <v>8</v>
      </c>
      <c r="S75" s="10" t="n">
        <v>8</v>
      </c>
      <c r="T75" s="10" t="str">
        <f aca="false">IF(R75&amp;""=S75&amp;"","✓","✗")</f>
        <v>✓</v>
      </c>
      <c r="U75" s="10" t="n">
        <v>2</v>
      </c>
      <c r="V75" s="10" t="n">
        <v>1</v>
      </c>
      <c r="W75" s="10" t="str">
        <f aca="false">IF(U75&amp;""=V75&amp;"","✓","✗")</f>
        <v>✗</v>
      </c>
      <c r="X75" s="10" t="n">
        <v>1</v>
      </c>
      <c r="Y75" s="10" t="n">
        <v>1</v>
      </c>
      <c r="Z75" s="10" t="n">
        <v>0</v>
      </c>
      <c r="AA75" s="10" t="n">
        <v>2</v>
      </c>
      <c r="AB75" s="10" t="n">
        <v>1</v>
      </c>
      <c r="AC75" s="12" t="n">
        <f aca="false">IF(AND(X75="",AB75=0),"",N(AB75)-N(X75))</f>
        <v>0</v>
      </c>
      <c r="AD75" s="10" t="n">
        <f aca="false">COUNTIF(H75:W75,"✗")</f>
        <v>1</v>
      </c>
    </row>
    <row r="76" customFormat="false" ht="15" hidden="false" customHeight="false" outlineLevel="0" collapsed="false">
      <c r="A76" s="10" t="s">
        <v>270</v>
      </c>
      <c r="B76" s="10" t="s">
        <v>6</v>
      </c>
      <c r="C76" s="11" t="s">
        <v>271</v>
      </c>
      <c r="D76" s="11" t="s">
        <v>272</v>
      </c>
      <c r="E76" s="10" t="s">
        <v>176</v>
      </c>
      <c r="F76" s="10" t="s">
        <v>62</v>
      </c>
      <c r="G76" s="10" t="s">
        <v>62</v>
      </c>
      <c r="H76" s="10" t="str">
        <f aca="false">IF(F76&amp;""=G76&amp;"","✓","✗")</f>
        <v>✓</v>
      </c>
      <c r="I76" s="10" t="s">
        <v>108</v>
      </c>
      <c r="J76" s="10" t="s">
        <v>108</v>
      </c>
      <c r="K76" s="10" t="str">
        <f aca="false">IF(I76&amp;""=J76&amp;"","✓","✗")</f>
        <v>✓</v>
      </c>
      <c r="L76" s="10" t="n">
        <v>2</v>
      </c>
      <c r="M76" s="10" t="n">
        <v>2</v>
      </c>
      <c r="N76" s="10" t="str">
        <f aca="false">IF(L76&amp;""=M76&amp;"","✓","✗")</f>
        <v>✓</v>
      </c>
      <c r="O76" s="10" t="n">
        <v>1</v>
      </c>
      <c r="P76" s="10" t="n">
        <v>1</v>
      </c>
      <c r="Q76" s="10" t="str">
        <f aca="false">IF(O76&amp;""=P76&amp;"","✓","✗")</f>
        <v>✓</v>
      </c>
      <c r="R76" s="10" t="n">
        <v>10</v>
      </c>
      <c r="S76" s="10" t="n">
        <v>8</v>
      </c>
      <c r="T76" s="10" t="str">
        <f aca="false">IF(R76&amp;""=S76&amp;"","✓","✗")</f>
        <v>✗</v>
      </c>
      <c r="U76" s="10" t="n">
        <v>2</v>
      </c>
      <c r="V76" s="10" t="n">
        <v>1</v>
      </c>
      <c r="W76" s="10" t="str">
        <f aca="false">IF(U76&amp;""=V76&amp;"","✓","✗")</f>
        <v>✗</v>
      </c>
      <c r="X76" s="10" t="n">
        <v>1</v>
      </c>
      <c r="Y76" s="10" t="n">
        <v>1</v>
      </c>
      <c r="Z76" s="10" t="n">
        <v>1</v>
      </c>
      <c r="AA76" s="10" t="n">
        <v>3</v>
      </c>
      <c r="AB76" s="10" t="n">
        <v>1</v>
      </c>
      <c r="AC76" s="12" t="n">
        <f aca="false">IF(AND(X76="",AB76=0),"",N(AB76)-N(X76))</f>
        <v>0</v>
      </c>
      <c r="AD76" s="10" t="n">
        <f aca="false">COUNTIF(H76:W76,"✗")</f>
        <v>2</v>
      </c>
    </row>
    <row r="77" customFormat="false" ht="15" hidden="false" customHeight="false" outlineLevel="0" collapsed="false">
      <c r="A77" s="10" t="s">
        <v>273</v>
      </c>
      <c r="B77" s="10" t="s">
        <v>6</v>
      </c>
      <c r="C77" s="11" t="s">
        <v>274</v>
      </c>
      <c r="D77" s="11" t="s">
        <v>275</v>
      </c>
      <c r="E77" s="10" t="s">
        <v>176</v>
      </c>
      <c r="F77" s="10" t="s">
        <v>62</v>
      </c>
      <c r="G77" s="10" t="s">
        <v>62</v>
      </c>
      <c r="H77" s="10" t="str">
        <f aca="false">IF(F77&amp;""=G77&amp;"","✓","✗")</f>
        <v>✓</v>
      </c>
      <c r="I77" s="10" t="s">
        <v>108</v>
      </c>
      <c r="J77" s="10" t="s">
        <v>108</v>
      </c>
      <c r="K77" s="10" t="str">
        <f aca="false">IF(I77&amp;""=J77&amp;"","✓","✗")</f>
        <v>✓</v>
      </c>
      <c r="L77" s="10" t="n">
        <v>2</v>
      </c>
      <c r="M77" s="10" t="n">
        <v>2</v>
      </c>
      <c r="N77" s="10" t="str">
        <f aca="false">IF(L77&amp;""=M77&amp;"","✓","✗")</f>
        <v>✓</v>
      </c>
      <c r="O77" s="10" t="n">
        <v>1</v>
      </c>
      <c r="P77" s="10" t="n">
        <v>1</v>
      </c>
      <c r="Q77" s="10" t="str">
        <f aca="false">IF(O77&amp;""=P77&amp;"","✓","✗")</f>
        <v>✓</v>
      </c>
      <c r="R77" s="10" t="n">
        <v>8</v>
      </c>
      <c r="S77" s="10" t="n">
        <v>8</v>
      </c>
      <c r="T77" s="10" t="str">
        <f aca="false">IF(R77&amp;""=S77&amp;"","✓","✗")</f>
        <v>✓</v>
      </c>
      <c r="U77" s="10" t="n">
        <v>2</v>
      </c>
      <c r="V77" s="10" t="n">
        <v>1</v>
      </c>
      <c r="W77" s="10" t="str">
        <f aca="false">IF(U77&amp;""=V77&amp;"","✓","✗")</f>
        <v>✗</v>
      </c>
      <c r="X77" s="10" t="n">
        <v>1</v>
      </c>
      <c r="Y77" s="10" t="n">
        <v>1</v>
      </c>
      <c r="Z77" s="10" t="n">
        <v>1</v>
      </c>
      <c r="AA77" s="10" t="n">
        <v>3</v>
      </c>
      <c r="AB77" s="10" t="n">
        <v>1</v>
      </c>
      <c r="AC77" s="12" t="n">
        <f aca="false">IF(AND(X77="",AB77=0),"",N(AB77)-N(X77))</f>
        <v>0</v>
      </c>
      <c r="AD77" s="10" t="n">
        <f aca="false">COUNTIF(H77:W77,"✗")</f>
        <v>1</v>
      </c>
    </row>
    <row r="78" customFormat="false" ht="15" hidden="false" customHeight="false" outlineLevel="0" collapsed="false">
      <c r="A78" s="10" t="s">
        <v>276</v>
      </c>
      <c r="B78" s="10" t="s">
        <v>6</v>
      </c>
      <c r="C78" s="11" t="s">
        <v>277</v>
      </c>
      <c r="D78" s="11" t="s">
        <v>278</v>
      </c>
      <c r="E78" s="10" t="s">
        <v>176</v>
      </c>
      <c r="F78" s="10" t="s">
        <v>62</v>
      </c>
      <c r="G78" s="10" t="s">
        <v>62</v>
      </c>
      <c r="H78" s="10" t="str">
        <f aca="false">IF(F78&amp;""=G78&amp;"","✓","✗")</f>
        <v>✓</v>
      </c>
      <c r="I78" s="10" t="s">
        <v>52</v>
      </c>
      <c r="J78" s="10" t="s">
        <v>52</v>
      </c>
      <c r="K78" s="10" t="str">
        <f aca="false">IF(I78&amp;""=J78&amp;"","✓","✗")</f>
        <v>✓</v>
      </c>
      <c r="L78" s="10" t="n">
        <v>2</v>
      </c>
      <c r="M78" s="10" t="n">
        <v>2</v>
      </c>
      <c r="N78" s="10" t="str">
        <f aca="false">IF(L78&amp;""=M78&amp;"","✓","✗")</f>
        <v>✓</v>
      </c>
      <c r="O78" s="10" t="n">
        <v>1</v>
      </c>
      <c r="P78" s="10" t="n">
        <v>1</v>
      </c>
      <c r="Q78" s="10" t="str">
        <f aca="false">IF(O78&amp;""=P78&amp;"","✓","✗")</f>
        <v>✓</v>
      </c>
      <c r="R78" s="10" t="n">
        <v>10</v>
      </c>
      <c r="S78" s="10" t="n">
        <v>8</v>
      </c>
      <c r="T78" s="10" t="str">
        <f aca="false">IF(R78&amp;""=S78&amp;"","✓","✗")</f>
        <v>✗</v>
      </c>
      <c r="U78" s="10" t="n">
        <v>2</v>
      </c>
      <c r="V78" s="10" t="n">
        <v>1</v>
      </c>
      <c r="W78" s="10" t="str">
        <f aca="false">IF(U78&amp;""=V78&amp;"","✓","✗")</f>
        <v>✗</v>
      </c>
      <c r="X78" s="10" t="n">
        <v>1</v>
      </c>
      <c r="Y78" s="10" t="n">
        <v>1</v>
      </c>
      <c r="Z78" s="10" t="n">
        <v>0</v>
      </c>
      <c r="AA78" s="10" t="n">
        <v>2</v>
      </c>
      <c r="AB78" s="10" t="n">
        <v>1</v>
      </c>
      <c r="AC78" s="12" t="n">
        <f aca="false">IF(AND(X78="",AB78=0),"",N(AB78)-N(X78))</f>
        <v>0</v>
      </c>
      <c r="AD78" s="10" t="n">
        <f aca="false">COUNTIF(H78:W78,"✗")</f>
        <v>2</v>
      </c>
    </row>
    <row r="79" customFormat="false" ht="15" hidden="false" customHeight="false" outlineLevel="0" collapsed="false">
      <c r="A79" s="10" t="s">
        <v>279</v>
      </c>
      <c r="B79" s="10" t="s">
        <v>6</v>
      </c>
      <c r="C79" s="11" t="s">
        <v>280</v>
      </c>
      <c r="D79" s="11" t="s">
        <v>281</v>
      </c>
      <c r="E79" s="10" t="s">
        <v>176</v>
      </c>
      <c r="F79" s="10" t="s">
        <v>62</v>
      </c>
      <c r="G79" s="10" t="s">
        <v>62</v>
      </c>
      <c r="H79" s="10" t="str">
        <f aca="false">IF(F79&amp;""=G79&amp;"","✓","✗")</f>
        <v>✓</v>
      </c>
      <c r="I79" s="10" t="s">
        <v>108</v>
      </c>
      <c r="J79" s="10" t="s">
        <v>108</v>
      </c>
      <c r="K79" s="10" t="str">
        <f aca="false">IF(I79&amp;""=J79&amp;"","✓","✗")</f>
        <v>✓</v>
      </c>
      <c r="L79" s="10" t="n">
        <v>2</v>
      </c>
      <c r="M79" s="10" t="n">
        <v>2</v>
      </c>
      <c r="N79" s="10" t="str">
        <f aca="false">IF(L79&amp;""=M79&amp;"","✓","✗")</f>
        <v>✓</v>
      </c>
      <c r="O79" s="10" t="n">
        <v>1</v>
      </c>
      <c r="P79" s="10" t="n">
        <v>1</v>
      </c>
      <c r="Q79" s="10" t="str">
        <f aca="false">IF(O79&amp;""=P79&amp;"","✓","✗")</f>
        <v>✓</v>
      </c>
      <c r="R79" s="10" t="n">
        <v>10</v>
      </c>
      <c r="S79" s="10" t="n">
        <v>10</v>
      </c>
      <c r="T79" s="10" t="str">
        <f aca="false">IF(R79&amp;""=S79&amp;"","✓","✗")</f>
        <v>✓</v>
      </c>
      <c r="U79" s="10" t="n">
        <v>2</v>
      </c>
      <c r="V79" s="10" t="n">
        <v>1</v>
      </c>
      <c r="W79" s="10" t="str">
        <f aca="false">IF(U79&amp;""=V79&amp;"","✓","✗")</f>
        <v>✗</v>
      </c>
      <c r="X79" s="10" t="n">
        <v>1</v>
      </c>
      <c r="Y79" s="10" t="n">
        <v>1</v>
      </c>
      <c r="Z79" s="10" t="n">
        <v>1</v>
      </c>
      <c r="AA79" s="10" t="n">
        <v>3</v>
      </c>
      <c r="AB79" s="10" t="n">
        <v>1</v>
      </c>
      <c r="AC79" s="12" t="n">
        <f aca="false">IF(AND(X79="",AB79=0),"",N(AB79)-N(X79))</f>
        <v>0</v>
      </c>
      <c r="AD79" s="10" t="n">
        <f aca="false">COUNTIF(H79:W79,"✗")</f>
        <v>1</v>
      </c>
    </row>
    <row r="80" customFormat="false" ht="15" hidden="false" customHeight="false" outlineLevel="0" collapsed="false">
      <c r="A80" s="10" t="s">
        <v>282</v>
      </c>
      <c r="B80" s="10" t="s">
        <v>6</v>
      </c>
      <c r="C80" s="11" t="s">
        <v>283</v>
      </c>
      <c r="D80" s="11" t="s">
        <v>284</v>
      </c>
      <c r="E80" s="10" t="s">
        <v>176</v>
      </c>
      <c r="F80" s="10" t="s">
        <v>62</v>
      </c>
      <c r="G80" s="10" t="s">
        <v>62</v>
      </c>
      <c r="H80" s="10" t="str">
        <f aca="false">IF(F80&amp;""=G80&amp;"","✓","✗")</f>
        <v>✓</v>
      </c>
      <c r="I80" s="10" t="s">
        <v>108</v>
      </c>
      <c r="J80" s="10" t="s">
        <v>108</v>
      </c>
      <c r="K80" s="10" t="str">
        <f aca="false">IF(I80&amp;""=J80&amp;"","✓","✗")</f>
        <v>✓</v>
      </c>
      <c r="L80" s="10" t="n">
        <v>2</v>
      </c>
      <c r="M80" s="10" t="n">
        <v>2</v>
      </c>
      <c r="N80" s="10" t="str">
        <f aca="false">IF(L80&amp;""=M80&amp;"","✓","✗")</f>
        <v>✓</v>
      </c>
      <c r="O80" s="10" t="n">
        <v>1</v>
      </c>
      <c r="P80" s="10" t="n">
        <v>1</v>
      </c>
      <c r="Q80" s="10" t="str">
        <f aca="false">IF(O80&amp;""=P80&amp;"","✓","✗")</f>
        <v>✓</v>
      </c>
      <c r="R80" s="10" t="n">
        <v>8</v>
      </c>
      <c r="S80" s="10" t="n">
        <v>10</v>
      </c>
      <c r="T80" s="10" t="str">
        <f aca="false">IF(R80&amp;""=S80&amp;"","✓","✗")</f>
        <v>✗</v>
      </c>
      <c r="U80" s="10" t="n">
        <v>2</v>
      </c>
      <c r="V80" s="10" t="n">
        <v>1</v>
      </c>
      <c r="W80" s="10" t="str">
        <f aca="false">IF(U80&amp;""=V80&amp;"","✓","✗")</f>
        <v>✗</v>
      </c>
      <c r="X80" s="10" t="n">
        <v>1</v>
      </c>
      <c r="Y80" s="10" t="n">
        <v>1</v>
      </c>
      <c r="Z80" s="10" t="n">
        <v>1</v>
      </c>
      <c r="AA80" s="10" t="n">
        <v>3</v>
      </c>
      <c r="AB80" s="10" t="n">
        <v>1</v>
      </c>
      <c r="AC80" s="12" t="n">
        <f aca="false">IF(AND(X80="",AB80=0),"",N(AB80)-N(X80))</f>
        <v>0</v>
      </c>
      <c r="AD80" s="10" t="n">
        <f aca="false">COUNTIF(H80:W80,"✗")</f>
        <v>2</v>
      </c>
    </row>
    <row r="81" customFormat="false" ht="15" hidden="false" customHeight="false" outlineLevel="0" collapsed="false">
      <c r="A81" s="10" t="s">
        <v>285</v>
      </c>
      <c r="B81" s="10" t="s">
        <v>6</v>
      </c>
      <c r="C81" s="11" t="s">
        <v>286</v>
      </c>
      <c r="D81" s="11" t="s">
        <v>287</v>
      </c>
      <c r="E81" s="10" t="s">
        <v>176</v>
      </c>
      <c r="F81" s="10" t="s">
        <v>62</v>
      </c>
      <c r="G81" s="10" t="s">
        <v>62</v>
      </c>
      <c r="H81" s="10" t="str">
        <f aca="false">IF(F81&amp;""=G81&amp;"","✓","✗")</f>
        <v>✓</v>
      </c>
      <c r="I81" s="10" t="s">
        <v>108</v>
      </c>
      <c r="J81" s="10" t="s">
        <v>108</v>
      </c>
      <c r="K81" s="10" t="str">
        <f aca="false">IF(I81&amp;""=J81&amp;"","✓","✗")</f>
        <v>✓</v>
      </c>
      <c r="L81" s="10" t="n">
        <v>2</v>
      </c>
      <c r="M81" s="10" t="n">
        <v>2</v>
      </c>
      <c r="N81" s="10" t="str">
        <f aca="false">IF(L81&amp;""=M81&amp;"","✓","✗")</f>
        <v>✓</v>
      </c>
      <c r="O81" s="10" t="n">
        <v>1</v>
      </c>
      <c r="P81" s="10" t="n">
        <v>1</v>
      </c>
      <c r="Q81" s="10" t="str">
        <f aca="false">IF(O81&amp;""=P81&amp;"","✓","✗")</f>
        <v>✓</v>
      </c>
      <c r="R81" s="10" t="n">
        <v>8</v>
      </c>
      <c r="S81" s="10" t="n">
        <v>8</v>
      </c>
      <c r="T81" s="10" t="str">
        <f aca="false">IF(R81&amp;""=S81&amp;"","✓","✗")</f>
        <v>✓</v>
      </c>
      <c r="U81" s="10" t="n">
        <v>2</v>
      </c>
      <c r="V81" s="10" t="n">
        <v>1</v>
      </c>
      <c r="W81" s="10" t="str">
        <f aca="false">IF(U81&amp;""=V81&amp;"","✓","✗")</f>
        <v>✗</v>
      </c>
      <c r="X81" s="10" t="n">
        <v>1</v>
      </c>
      <c r="Y81" s="10" t="n">
        <v>1</v>
      </c>
      <c r="Z81" s="10" t="n">
        <v>1</v>
      </c>
      <c r="AA81" s="10" t="n">
        <v>3</v>
      </c>
      <c r="AB81" s="10" t="n">
        <v>1</v>
      </c>
      <c r="AC81" s="12" t="n">
        <f aca="false">IF(AND(X81="",AB81=0),"",N(AB81)-N(X81))</f>
        <v>0</v>
      </c>
      <c r="AD81" s="10" t="n">
        <f aca="false">COUNTIF(H81:W81,"✗")</f>
        <v>1</v>
      </c>
    </row>
    <row r="82" customFormat="false" ht="15" hidden="false" customHeight="false" outlineLevel="0" collapsed="false">
      <c r="A82" s="10" t="s">
        <v>288</v>
      </c>
      <c r="B82" s="10" t="s">
        <v>6</v>
      </c>
      <c r="C82" s="11" t="s">
        <v>289</v>
      </c>
      <c r="D82" s="11" t="s">
        <v>290</v>
      </c>
      <c r="E82" s="10" t="s">
        <v>176</v>
      </c>
      <c r="F82" s="10" t="s">
        <v>62</v>
      </c>
      <c r="G82" s="10" t="s">
        <v>62</v>
      </c>
      <c r="H82" s="10" t="str">
        <f aca="false">IF(F82&amp;""=G82&amp;"","✓","✗")</f>
        <v>✓</v>
      </c>
      <c r="I82" s="10" t="s">
        <v>52</v>
      </c>
      <c r="J82" s="10" t="s">
        <v>52</v>
      </c>
      <c r="K82" s="10" t="str">
        <f aca="false">IF(I82&amp;""=J82&amp;"","✓","✗")</f>
        <v>✓</v>
      </c>
      <c r="L82" s="10" t="n">
        <v>2</v>
      </c>
      <c r="M82" s="10" t="n">
        <v>2</v>
      </c>
      <c r="N82" s="10" t="str">
        <f aca="false">IF(L82&amp;""=M82&amp;"","✓","✗")</f>
        <v>✓</v>
      </c>
      <c r="O82" s="10" t="n">
        <v>1</v>
      </c>
      <c r="P82" s="10" t="n">
        <v>1</v>
      </c>
      <c r="Q82" s="10" t="str">
        <f aca="false">IF(O82&amp;""=P82&amp;"","✓","✗")</f>
        <v>✓</v>
      </c>
      <c r="R82" s="10" t="n">
        <v>8</v>
      </c>
      <c r="S82" s="10" t="n">
        <v>10</v>
      </c>
      <c r="T82" s="10" t="str">
        <f aca="false">IF(R82&amp;""=S82&amp;"","✓","✗")</f>
        <v>✗</v>
      </c>
      <c r="U82" s="10" t="n">
        <v>2</v>
      </c>
      <c r="V82" s="10" t="n">
        <v>1</v>
      </c>
      <c r="W82" s="10" t="str">
        <f aca="false">IF(U82&amp;""=V82&amp;"","✓","✗")</f>
        <v>✗</v>
      </c>
      <c r="X82" s="10" t="n">
        <v>1</v>
      </c>
      <c r="Y82" s="10" t="n">
        <v>1</v>
      </c>
      <c r="Z82" s="10" t="n">
        <v>0</v>
      </c>
      <c r="AA82" s="10" t="n">
        <v>2</v>
      </c>
      <c r="AB82" s="10" t="n">
        <v>1</v>
      </c>
      <c r="AC82" s="12" t="n">
        <f aca="false">IF(AND(X82="",AB82=0),"",N(AB82)-N(X82))</f>
        <v>0</v>
      </c>
      <c r="AD82" s="10" t="n">
        <f aca="false">COUNTIF(H82:W82,"✗")</f>
        <v>2</v>
      </c>
    </row>
    <row r="83" customFormat="false" ht="15" hidden="false" customHeight="false" outlineLevel="0" collapsed="false">
      <c r="A83" s="10" t="s">
        <v>291</v>
      </c>
      <c r="B83" s="10" t="s">
        <v>6</v>
      </c>
      <c r="C83" s="11" t="s">
        <v>292</v>
      </c>
      <c r="D83" s="11" t="s">
        <v>293</v>
      </c>
      <c r="E83" s="10" t="s">
        <v>176</v>
      </c>
      <c r="F83" s="10" t="s">
        <v>62</v>
      </c>
      <c r="G83" s="10" t="s">
        <v>62</v>
      </c>
      <c r="H83" s="10" t="str">
        <f aca="false">IF(F83&amp;""=G83&amp;"","✓","✗")</f>
        <v>✓</v>
      </c>
      <c r="I83" s="10" t="s">
        <v>108</v>
      </c>
      <c r="J83" s="10" t="s">
        <v>108</v>
      </c>
      <c r="K83" s="10" t="str">
        <f aca="false">IF(I83&amp;""=J83&amp;"","✓","✗")</f>
        <v>✓</v>
      </c>
      <c r="L83" s="10" t="n">
        <v>2</v>
      </c>
      <c r="M83" s="10" t="n">
        <v>2</v>
      </c>
      <c r="N83" s="10" t="str">
        <f aca="false">IF(L83&amp;""=M83&amp;"","✓","✗")</f>
        <v>✓</v>
      </c>
      <c r="O83" s="10" t="n">
        <v>1</v>
      </c>
      <c r="P83" s="10" t="n">
        <v>1</v>
      </c>
      <c r="Q83" s="10" t="str">
        <f aca="false">IF(O83&amp;""=P83&amp;"","✓","✗")</f>
        <v>✓</v>
      </c>
      <c r="R83" s="10" t="n">
        <v>8</v>
      </c>
      <c r="S83" s="10" t="n">
        <v>8</v>
      </c>
      <c r="T83" s="10" t="str">
        <f aca="false">IF(R83&amp;""=S83&amp;"","✓","✗")</f>
        <v>✓</v>
      </c>
      <c r="U83" s="10" t="n">
        <v>2</v>
      </c>
      <c r="V83" s="10" t="n">
        <v>1</v>
      </c>
      <c r="W83" s="10" t="str">
        <f aca="false">IF(U83&amp;""=V83&amp;"","✓","✗")</f>
        <v>✗</v>
      </c>
      <c r="X83" s="10" t="n">
        <v>1</v>
      </c>
      <c r="Y83" s="10" t="n">
        <v>1</v>
      </c>
      <c r="Z83" s="10" t="n">
        <v>1</v>
      </c>
      <c r="AA83" s="10" t="n">
        <v>3</v>
      </c>
      <c r="AB83" s="10" t="n">
        <v>1</v>
      </c>
      <c r="AC83" s="12" t="n">
        <f aca="false">IF(AND(X83="",AB83=0),"",N(AB83)-N(X83))</f>
        <v>0</v>
      </c>
      <c r="AD83" s="10" t="n">
        <f aca="false">COUNTIF(H83:W83,"✗")</f>
        <v>1</v>
      </c>
    </row>
    <row r="84" customFormat="false" ht="15" hidden="false" customHeight="false" outlineLevel="0" collapsed="false">
      <c r="A84" s="10" t="s">
        <v>294</v>
      </c>
      <c r="B84" s="10" t="s">
        <v>6</v>
      </c>
      <c r="C84" s="11" t="s">
        <v>295</v>
      </c>
      <c r="D84" s="11" t="s">
        <v>296</v>
      </c>
      <c r="E84" s="10" t="s">
        <v>176</v>
      </c>
      <c r="F84" s="10" t="s">
        <v>62</v>
      </c>
      <c r="G84" s="10" t="s">
        <v>62</v>
      </c>
      <c r="H84" s="10" t="str">
        <f aca="false">IF(F84&amp;""=G84&amp;"","✓","✗")</f>
        <v>✓</v>
      </c>
      <c r="I84" s="10" t="s">
        <v>108</v>
      </c>
      <c r="J84" s="10" t="s">
        <v>108</v>
      </c>
      <c r="K84" s="10" t="str">
        <f aca="false">IF(I84&amp;""=J84&amp;"","✓","✗")</f>
        <v>✓</v>
      </c>
      <c r="L84" s="10" t="n">
        <v>2</v>
      </c>
      <c r="M84" s="10" t="n">
        <v>2</v>
      </c>
      <c r="N84" s="10" t="str">
        <f aca="false">IF(L84&amp;""=M84&amp;"","✓","✗")</f>
        <v>✓</v>
      </c>
      <c r="O84" s="10" t="n">
        <v>1</v>
      </c>
      <c r="P84" s="10" t="n">
        <v>1</v>
      </c>
      <c r="Q84" s="10" t="str">
        <f aca="false">IF(O84&amp;""=P84&amp;"","✓","✗")</f>
        <v>✓</v>
      </c>
      <c r="R84" s="10" t="n">
        <v>8</v>
      </c>
      <c r="S84" s="10" t="n">
        <v>8</v>
      </c>
      <c r="T84" s="10" t="str">
        <f aca="false">IF(R84&amp;""=S84&amp;"","✓","✗")</f>
        <v>✓</v>
      </c>
      <c r="U84" s="10" t="n">
        <v>2</v>
      </c>
      <c r="V84" s="10" t="n">
        <v>1</v>
      </c>
      <c r="W84" s="10" t="str">
        <f aca="false">IF(U84&amp;""=V84&amp;"","✓","✗")</f>
        <v>✗</v>
      </c>
      <c r="X84" s="10" t="n">
        <v>1</v>
      </c>
      <c r="Y84" s="10" t="n">
        <v>1</v>
      </c>
      <c r="Z84" s="10" t="n">
        <v>1</v>
      </c>
      <c r="AA84" s="10" t="n">
        <v>3</v>
      </c>
      <c r="AB84" s="10" t="n">
        <v>1</v>
      </c>
      <c r="AC84" s="12" t="n">
        <f aca="false">IF(AND(X84="",AB84=0),"",N(AB84)-N(X84))</f>
        <v>0</v>
      </c>
      <c r="AD84" s="10" t="n">
        <f aca="false">COUNTIF(H84:W84,"✗")</f>
        <v>1</v>
      </c>
    </row>
    <row r="85" customFormat="false" ht="15" hidden="false" customHeight="false" outlineLevel="0" collapsed="false">
      <c r="A85" s="10" t="s">
        <v>297</v>
      </c>
      <c r="B85" s="10" t="s">
        <v>6</v>
      </c>
      <c r="C85" s="11" t="s">
        <v>298</v>
      </c>
      <c r="D85" s="11" t="s">
        <v>98</v>
      </c>
      <c r="E85" s="10" t="s">
        <v>176</v>
      </c>
      <c r="F85" s="10" t="s">
        <v>62</v>
      </c>
      <c r="G85" s="10" t="s">
        <v>62</v>
      </c>
      <c r="H85" s="10" t="str">
        <f aca="false">IF(F85&amp;""=G85&amp;"","✓","✗")</f>
        <v>✓</v>
      </c>
      <c r="I85" s="10" t="s">
        <v>52</v>
      </c>
      <c r="J85" s="10" t="s">
        <v>52</v>
      </c>
      <c r="K85" s="10" t="str">
        <f aca="false">IF(I85&amp;""=J85&amp;"","✓","✗")</f>
        <v>✓</v>
      </c>
      <c r="L85" s="10"/>
      <c r="M85" s="10"/>
      <c r="N85" s="10" t="str">
        <f aca="false">IF(L85&amp;""=M85&amp;"","✓","✗")</f>
        <v>✓</v>
      </c>
      <c r="O85" s="10"/>
      <c r="P85" s="10"/>
      <c r="Q85" s="10" t="str">
        <f aca="false">IF(O85&amp;""=P85&amp;"","✓","✗")</f>
        <v>✓</v>
      </c>
      <c r="R85" s="10"/>
      <c r="S85" s="10"/>
      <c r="T85" s="10" t="str">
        <f aca="false">IF(R85&amp;""=S85&amp;"","✓","✗")</f>
        <v>✓</v>
      </c>
      <c r="U85" s="10"/>
      <c r="V85" s="10"/>
      <c r="W85" s="10" t="str">
        <f aca="false">IF(U85&amp;""=V85&amp;"","✓","✗")</f>
        <v>✓</v>
      </c>
      <c r="X85" s="10"/>
      <c r="Y85" s="10"/>
      <c r="Z85" s="10"/>
      <c r="AA85" s="10" t="n">
        <v>0</v>
      </c>
      <c r="AB85" s="10" t="n">
        <v>0</v>
      </c>
      <c r="AC85" s="12" t="str">
        <f aca="false">IF(AND(X85="",AB85=0),"",N(AB85)-N(X85))</f>
        <v/>
      </c>
      <c r="AD85" s="10" t="n">
        <f aca="false">COUNTIF(H85:W85,"✗")</f>
        <v>0</v>
      </c>
    </row>
    <row r="86" customFormat="false" ht="15" hidden="false" customHeight="false" outlineLevel="0" collapsed="false">
      <c r="A86" s="10" t="s">
        <v>299</v>
      </c>
      <c r="B86" s="10" t="s">
        <v>7</v>
      </c>
      <c r="C86" s="11" t="s">
        <v>300</v>
      </c>
      <c r="D86" s="11" t="s">
        <v>58</v>
      </c>
      <c r="E86" s="10" t="s">
        <v>176</v>
      </c>
      <c r="F86" s="10" t="s">
        <v>51</v>
      </c>
      <c r="G86" s="10" t="s">
        <v>51</v>
      </c>
      <c r="H86" s="10" t="str">
        <f aca="false">IF(F86&amp;""=G86&amp;"","✓","✗")</f>
        <v>✓</v>
      </c>
      <c r="I86" s="10" t="s">
        <v>52</v>
      </c>
      <c r="J86" s="10" t="s">
        <v>52</v>
      </c>
      <c r="K86" s="10" t="str">
        <f aca="false">IF(I86&amp;""=J86&amp;"","✓","✗")</f>
        <v>✓</v>
      </c>
      <c r="L86" s="10"/>
      <c r="M86" s="10"/>
      <c r="N86" s="10" t="str">
        <f aca="false">IF(L86&amp;""=M86&amp;"","✓","✗")</f>
        <v>✓</v>
      </c>
      <c r="O86" s="10"/>
      <c r="P86" s="10"/>
      <c r="Q86" s="10" t="str">
        <f aca="false">IF(O86&amp;""=P86&amp;"","✓","✗")</f>
        <v>✓</v>
      </c>
      <c r="R86" s="10"/>
      <c r="S86" s="10"/>
      <c r="T86" s="10" t="str">
        <f aca="false">IF(R86&amp;""=S86&amp;"","✓","✗")</f>
        <v>✓</v>
      </c>
      <c r="U86" s="10"/>
      <c r="V86" s="10"/>
      <c r="W86" s="10" t="str">
        <f aca="false">IF(U86&amp;""=V86&amp;"","✓","✗")</f>
        <v>✓</v>
      </c>
      <c r="X86" s="10"/>
      <c r="Y86" s="10"/>
      <c r="Z86" s="10"/>
      <c r="AA86" s="10" t="n">
        <v>0</v>
      </c>
      <c r="AB86" s="10" t="n">
        <v>0</v>
      </c>
      <c r="AC86" s="12" t="str">
        <f aca="false">IF(AND(X86="",AB86=0),"",N(AB86)-N(X86))</f>
        <v/>
      </c>
      <c r="AD86" s="10" t="n">
        <f aca="false">COUNTIF(H86:W86,"✗")</f>
        <v>0</v>
      </c>
    </row>
    <row r="87" customFormat="false" ht="15" hidden="false" customHeight="false" outlineLevel="0" collapsed="false">
      <c r="A87" s="10" t="s">
        <v>301</v>
      </c>
      <c r="B87" s="10" t="s">
        <v>7</v>
      </c>
      <c r="C87" s="11" t="s">
        <v>302</v>
      </c>
      <c r="D87" s="11" t="s">
        <v>249</v>
      </c>
      <c r="E87" s="10" t="s">
        <v>176</v>
      </c>
      <c r="F87" s="10" t="s">
        <v>136</v>
      </c>
      <c r="G87" s="10" t="s">
        <v>62</v>
      </c>
      <c r="H87" s="10" t="str">
        <f aca="false">IF(F87&amp;""=G87&amp;"","✓","✗")</f>
        <v>✗</v>
      </c>
      <c r="I87" s="10" t="s">
        <v>52</v>
      </c>
      <c r="J87" s="10" t="s">
        <v>52</v>
      </c>
      <c r="K87" s="10" t="str">
        <f aca="false">IF(I87&amp;""=J87&amp;"","✓","✗")</f>
        <v>✓</v>
      </c>
      <c r="L87" s="10"/>
      <c r="M87" s="10"/>
      <c r="N87" s="10" t="str">
        <f aca="false">IF(L87&amp;""=M87&amp;"","✓","✗")</f>
        <v>✓</v>
      </c>
      <c r="O87" s="10"/>
      <c r="P87" s="10"/>
      <c r="Q87" s="10" t="str">
        <f aca="false">IF(O87&amp;""=P87&amp;"","✓","✗")</f>
        <v>✓</v>
      </c>
      <c r="R87" s="10"/>
      <c r="S87" s="10"/>
      <c r="T87" s="10" t="str">
        <f aca="false">IF(R87&amp;""=S87&amp;"","✓","✗")</f>
        <v>✓</v>
      </c>
      <c r="U87" s="10"/>
      <c r="V87" s="10"/>
      <c r="W87" s="10" t="str">
        <f aca="false">IF(U87&amp;""=V87&amp;"","✓","✗")</f>
        <v>✓</v>
      </c>
      <c r="X87" s="10"/>
      <c r="Y87" s="10"/>
      <c r="Z87" s="10"/>
      <c r="AA87" s="10" t="n">
        <v>0</v>
      </c>
      <c r="AB87" s="10" t="n">
        <v>0</v>
      </c>
      <c r="AC87" s="12" t="str">
        <f aca="false">IF(AND(X87="",AB87=0),"",N(AB87)-N(X87))</f>
        <v/>
      </c>
      <c r="AD87" s="10" t="n">
        <f aca="false">COUNTIF(H87:W87,"✗")</f>
        <v>1</v>
      </c>
    </row>
    <row r="88" customFormat="false" ht="15" hidden="false" customHeight="false" outlineLevel="0" collapsed="false">
      <c r="A88" s="10" t="s">
        <v>303</v>
      </c>
      <c r="B88" s="10" t="s">
        <v>7</v>
      </c>
      <c r="C88" s="11" t="s">
        <v>304</v>
      </c>
      <c r="D88" s="11" t="s">
        <v>305</v>
      </c>
      <c r="E88" s="10" t="s">
        <v>176</v>
      </c>
      <c r="F88" s="10" t="s">
        <v>51</v>
      </c>
      <c r="G88" s="10" t="s">
        <v>51</v>
      </c>
      <c r="H88" s="10" t="str">
        <f aca="false">IF(F88&amp;""=G88&amp;"","✓","✗")</f>
        <v>✓</v>
      </c>
      <c r="I88" s="10" t="s">
        <v>52</v>
      </c>
      <c r="J88" s="10" t="s">
        <v>52</v>
      </c>
      <c r="K88" s="10" t="str">
        <f aca="false">IF(I88&amp;""=J88&amp;"","✓","✗")</f>
        <v>✓</v>
      </c>
      <c r="L88" s="10" t="n">
        <v>2</v>
      </c>
      <c r="M88" s="10" t="n">
        <v>2</v>
      </c>
      <c r="N88" s="10" t="str">
        <f aca="false">IF(L88&amp;""=M88&amp;"","✓","✗")</f>
        <v>✓</v>
      </c>
      <c r="O88" s="10" t="n">
        <v>2</v>
      </c>
      <c r="P88" s="10" t="n">
        <v>2</v>
      </c>
      <c r="Q88" s="10" t="str">
        <f aca="false">IF(O88&amp;""=P88&amp;"","✓","✗")</f>
        <v>✓</v>
      </c>
      <c r="R88" s="10" t="n">
        <v>20</v>
      </c>
      <c r="S88" s="10" t="n">
        <v>20</v>
      </c>
      <c r="T88" s="10" t="str">
        <f aca="false">IF(R88&amp;""=S88&amp;"","✓","✗")</f>
        <v>✓</v>
      </c>
      <c r="U88" s="10" t="n">
        <v>4</v>
      </c>
      <c r="V88" s="10" t="n">
        <v>2</v>
      </c>
      <c r="W88" s="10" t="str">
        <f aca="false">IF(U88&amp;""=V88&amp;"","✓","✗")</f>
        <v>✗</v>
      </c>
      <c r="X88" s="10" t="n">
        <v>2</v>
      </c>
      <c r="Y88" s="10" t="n">
        <v>2</v>
      </c>
      <c r="Z88" s="10" t="n">
        <v>0</v>
      </c>
      <c r="AA88" s="10" t="n">
        <v>4</v>
      </c>
      <c r="AB88" s="10" t="n">
        <v>2</v>
      </c>
      <c r="AC88" s="12" t="n">
        <f aca="false">IF(AND(X88="",AB88=0),"",N(AB88)-N(X88))</f>
        <v>0</v>
      </c>
      <c r="AD88" s="10" t="n">
        <f aca="false">COUNTIF(H88:W88,"✗")</f>
        <v>1</v>
      </c>
    </row>
    <row r="89" customFormat="false" ht="15" hidden="false" customHeight="false" outlineLevel="0" collapsed="false">
      <c r="A89" s="10" t="s">
        <v>306</v>
      </c>
      <c r="B89" s="10" t="s">
        <v>7</v>
      </c>
      <c r="C89" s="11" t="s">
        <v>307</v>
      </c>
      <c r="D89" s="11" t="s">
        <v>308</v>
      </c>
      <c r="E89" s="10" t="s">
        <v>176</v>
      </c>
      <c r="F89" s="10" t="s">
        <v>51</v>
      </c>
      <c r="G89" s="10" t="s">
        <v>51</v>
      </c>
      <c r="H89" s="10" t="str">
        <f aca="false">IF(F89&amp;""=G89&amp;"","✓","✗")</f>
        <v>✓</v>
      </c>
      <c r="I89" s="10" t="s">
        <v>108</v>
      </c>
      <c r="J89" s="10" t="s">
        <v>108</v>
      </c>
      <c r="K89" s="10" t="str">
        <f aca="false">IF(I89&amp;""=J89&amp;"","✓","✗")</f>
        <v>✓</v>
      </c>
      <c r="L89" s="10" t="n">
        <v>2</v>
      </c>
      <c r="M89" s="10" t="n">
        <v>2</v>
      </c>
      <c r="N89" s="10" t="str">
        <f aca="false">IF(L89&amp;""=M89&amp;"","✓","✗")</f>
        <v>✓</v>
      </c>
      <c r="O89" s="10" t="n">
        <v>2</v>
      </c>
      <c r="P89" s="10" t="n">
        <v>2</v>
      </c>
      <c r="Q89" s="10" t="str">
        <f aca="false">IF(O89&amp;""=P89&amp;"","✓","✗")</f>
        <v>✓</v>
      </c>
      <c r="R89" s="10" t="n">
        <v>12</v>
      </c>
      <c r="S89" s="10" t="n">
        <v>12</v>
      </c>
      <c r="T89" s="10" t="str">
        <f aca="false">IF(R89&amp;""=S89&amp;"","✓","✗")</f>
        <v>✓</v>
      </c>
      <c r="U89" s="10" t="n">
        <v>4</v>
      </c>
      <c r="V89" s="10" t="n">
        <v>2</v>
      </c>
      <c r="W89" s="10" t="str">
        <f aca="false">IF(U89&amp;""=V89&amp;"","✓","✗")</f>
        <v>✗</v>
      </c>
      <c r="X89" s="10" t="n">
        <v>2</v>
      </c>
      <c r="Y89" s="10" t="n">
        <v>2</v>
      </c>
      <c r="Z89" s="10" t="n">
        <v>2</v>
      </c>
      <c r="AA89" s="10" t="n">
        <v>6</v>
      </c>
      <c r="AB89" s="10" t="n">
        <v>2</v>
      </c>
      <c r="AC89" s="12" t="n">
        <f aca="false">IF(AND(X89="",AB89=0),"",N(AB89)-N(X89))</f>
        <v>0</v>
      </c>
      <c r="AD89" s="10" t="n">
        <f aca="false">COUNTIF(H89:W89,"✗")</f>
        <v>1</v>
      </c>
    </row>
    <row r="90" customFormat="false" ht="15" hidden="false" customHeight="false" outlineLevel="0" collapsed="false">
      <c r="A90" s="10" t="s">
        <v>309</v>
      </c>
      <c r="B90" s="10" t="s">
        <v>7</v>
      </c>
      <c r="C90" s="11" t="s">
        <v>310</v>
      </c>
      <c r="D90" s="11" t="s">
        <v>163</v>
      </c>
      <c r="E90" s="10" t="s">
        <v>176</v>
      </c>
      <c r="F90" s="10" t="s">
        <v>51</v>
      </c>
      <c r="G90" s="10" t="s">
        <v>51</v>
      </c>
      <c r="H90" s="10" t="str">
        <f aca="false">IF(F90&amp;""=G90&amp;"","✓","✗")</f>
        <v>✓</v>
      </c>
      <c r="I90" s="10" t="s">
        <v>108</v>
      </c>
      <c r="J90" s="10" t="s">
        <v>108</v>
      </c>
      <c r="K90" s="10" t="str">
        <f aca="false">IF(I90&amp;""=J90&amp;"","✓","✗")</f>
        <v>✓</v>
      </c>
      <c r="L90" s="10" t="n">
        <v>2</v>
      </c>
      <c r="M90" s="10" t="n">
        <v>2</v>
      </c>
      <c r="N90" s="10" t="str">
        <f aca="false">IF(L90&amp;""=M90&amp;"","✓","✗")</f>
        <v>✓</v>
      </c>
      <c r="O90" s="10" t="n">
        <v>2</v>
      </c>
      <c r="P90" s="10" t="n">
        <v>2</v>
      </c>
      <c r="Q90" s="10" t="str">
        <f aca="false">IF(O90&amp;""=P90&amp;"","✓","✗")</f>
        <v>✓</v>
      </c>
      <c r="R90" s="10" t="n">
        <v>16</v>
      </c>
      <c r="S90" s="10" t="n">
        <v>16</v>
      </c>
      <c r="T90" s="10" t="str">
        <f aca="false">IF(R90&amp;""=S90&amp;"","✓","✗")</f>
        <v>✓</v>
      </c>
      <c r="U90" s="10" t="n">
        <v>4</v>
      </c>
      <c r="V90" s="10" t="n">
        <v>2</v>
      </c>
      <c r="W90" s="10" t="str">
        <f aca="false">IF(U90&amp;""=V90&amp;"","✓","✗")</f>
        <v>✗</v>
      </c>
      <c r="X90" s="10" t="n">
        <v>5</v>
      </c>
      <c r="Y90" s="10" t="n">
        <v>5</v>
      </c>
      <c r="Z90" s="10" t="n">
        <v>3</v>
      </c>
      <c r="AA90" s="10" t="n">
        <v>13</v>
      </c>
      <c r="AB90" s="10" t="n">
        <v>5</v>
      </c>
      <c r="AC90" s="12" t="n">
        <f aca="false">IF(AND(X90="",AB90=0),"",N(AB90)-N(X90))</f>
        <v>0</v>
      </c>
      <c r="AD90" s="10" t="n">
        <f aca="false">COUNTIF(H90:W90,"✗")</f>
        <v>1</v>
      </c>
    </row>
    <row r="91" customFormat="false" ht="15" hidden="false" customHeight="false" outlineLevel="0" collapsed="false">
      <c r="A91" s="10" t="s">
        <v>311</v>
      </c>
      <c r="B91" s="10" t="s">
        <v>7</v>
      </c>
      <c r="C91" s="11" t="s">
        <v>312</v>
      </c>
      <c r="D91" s="11" t="s">
        <v>313</v>
      </c>
      <c r="E91" s="10" t="s">
        <v>176</v>
      </c>
      <c r="F91" s="10" t="s">
        <v>51</v>
      </c>
      <c r="G91" s="10" t="s">
        <v>51</v>
      </c>
      <c r="H91" s="10" t="str">
        <f aca="false">IF(F91&amp;""=G91&amp;"","✓","✗")</f>
        <v>✓</v>
      </c>
      <c r="I91" s="10" t="s">
        <v>52</v>
      </c>
      <c r="J91" s="10" t="s">
        <v>52</v>
      </c>
      <c r="K91" s="10" t="str">
        <f aca="false">IF(I91&amp;""=J91&amp;"","✓","✗")</f>
        <v>✓</v>
      </c>
      <c r="L91" s="10" t="n">
        <v>2</v>
      </c>
      <c r="M91" s="10" t="n">
        <v>2</v>
      </c>
      <c r="N91" s="10" t="str">
        <f aca="false">IF(L91&amp;""=M91&amp;"","✓","✗")</f>
        <v>✓</v>
      </c>
      <c r="O91" s="10" t="n">
        <v>2</v>
      </c>
      <c r="P91" s="10" t="n">
        <v>2</v>
      </c>
      <c r="Q91" s="10" t="str">
        <f aca="false">IF(O91&amp;""=P91&amp;"","✓","✗")</f>
        <v>✓</v>
      </c>
      <c r="R91" s="10" t="n">
        <v>12</v>
      </c>
      <c r="S91" s="10" t="n">
        <v>12</v>
      </c>
      <c r="T91" s="10" t="str">
        <f aca="false">IF(R91&amp;""=S91&amp;"","✓","✗")</f>
        <v>✓</v>
      </c>
      <c r="U91" s="10" t="n">
        <v>4</v>
      </c>
      <c r="V91" s="10" t="n">
        <v>2</v>
      </c>
      <c r="W91" s="10" t="str">
        <f aca="false">IF(U91&amp;""=V91&amp;"","✓","✗")</f>
        <v>✗</v>
      </c>
      <c r="X91" s="10" t="n">
        <v>2</v>
      </c>
      <c r="Y91" s="10" t="n">
        <v>2</v>
      </c>
      <c r="Z91" s="10" t="n">
        <v>0</v>
      </c>
      <c r="AA91" s="10" t="n">
        <v>4</v>
      </c>
      <c r="AB91" s="10" t="n">
        <v>2</v>
      </c>
      <c r="AC91" s="12" t="n">
        <f aca="false">IF(AND(X91="",AB91=0),"",N(AB91)-N(X91))</f>
        <v>0</v>
      </c>
      <c r="AD91" s="10" t="n">
        <f aca="false">COUNTIF(H91:W91,"✗")</f>
        <v>1</v>
      </c>
    </row>
    <row r="92" customFormat="false" ht="15" hidden="false" customHeight="false" outlineLevel="0" collapsed="false">
      <c r="A92" s="10" t="s">
        <v>314</v>
      </c>
      <c r="B92" s="10" t="s">
        <v>7</v>
      </c>
      <c r="C92" s="11" t="s">
        <v>315</v>
      </c>
      <c r="D92" s="11" t="s">
        <v>316</v>
      </c>
      <c r="E92" s="10" t="s">
        <v>176</v>
      </c>
      <c r="F92" s="10" t="s">
        <v>51</v>
      </c>
      <c r="G92" s="10" t="s">
        <v>51</v>
      </c>
      <c r="H92" s="10" t="str">
        <f aca="false">IF(F92&amp;""=G92&amp;"","✓","✗")</f>
        <v>✓</v>
      </c>
      <c r="I92" s="10" t="s">
        <v>52</v>
      </c>
      <c r="J92" s="10" t="s">
        <v>52</v>
      </c>
      <c r="K92" s="10" t="str">
        <f aca="false">IF(I92&amp;""=J92&amp;"","✓","✗")</f>
        <v>✓</v>
      </c>
      <c r="L92" s="10" t="n">
        <v>2</v>
      </c>
      <c r="M92" s="10" t="n">
        <v>2</v>
      </c>
      <c r="N92" s="10" t="str">
        <f aca="false">IF(L92&amp;""=M92&amp;"","✓","✗")</f>
        <v>✓</v>
      </c>
      <c r="O92" s="10" t="n">
        <v>2</v>
      </c>
      <c r="P92" s="10" t="n">
        <v>2</v>
      </c>
      <c r="Q92" s="10" t="str">
        <f aca="false">IF(O92&amp;""=P92&amp;"","✓","✗")</f>
        <v>✓</v>
      </c>
      <c r="R92" s="10" t="n">
        <v>12</v>
      </c>
      <c r="S92" s="10" t="n">
        <v>12</v>
      </c>
      <c r="T92" s="10" t="str">
        <f aca="false">IF(R92&amp;""=S92&amp;"","✓","✗")</f>
        <v>✓</v>
      </c>
      <c r="U92" s="10" t="n">
        <v>4</v>
      </c>
      <c r="V92" s="10" t="n">
        <v>2</v>
      </c>
      <c r="W92" s="10" t="str">
        <f aca="false">IF(U92&amp;""=V92&amp;"","✓","✗")</f>
        <v>✗</v>
      </c>
      <c r="X92" s="10" t="n">
        <v>2</v>
      </c>
      <c r="Y92" s="10" t="n">
        <v>2</v>
      </c>
      <c r="Z92" s="10" t="n">
        <v>0</v>
      </c>
      <c r="AA92" s="10" t="n">
        <v>4</v>
      </c>
      <c r="AB92" s="10" t="n">
        <v>2</v>
      </c>
      <c r="AC92" s="12" t="n">
        <f aca="false">IF(AND(X92="",AB92=0),"",N(AB92)-N(X92))</f>
        <v>0</v>
      </c>
      <c r="AD92" s="10" t="n">
        <f aca="false">COUNTIF(H92:W92,"✗")</f>
        <v>1</v>
      </c>
    </row>
    <row r="93" customFormat="false" ht="15" hidden="false" customHeight="false" outlineLevel="0" collapsed="false">
      <c r="A93" s="10" t="s">
        <v>317</v>
      </c>
      <c r="B93" s="10" t="s">
        <v>7</v>
      </c>
      <c r="C93" s="11" t="s">
        <v>318</v>
      </c>
      <c r="D93" s="11" t="s">
        <v>319</v>
      </c>
      <c r="E93" s="10" t="s">
        <v>176</v>
      </c>
      <c r="F93" s="10" t="s">
        <v>51</v>
      </c>
      <c r="G93" s="10" t="s">
        <v>51</v>
      </c>
      <c r="H93" s="10" t="str">
        <f aca="false">IF(F93&amp;""=G93&amp;"","✓","✗")</f>
        <v>✓</v>
      </c>
      <c r="I93" s="10" t="s">
        <v>52</v>
      </c>
      <c r="J93" s="10" t="s">
        <v>52</v>
      </c>
      <c r="K93" s="10" t="str">
        <f aca="false">IF(I93&amp;""=J93&amp;"","✓","✗")</f>
        <v>✓</v>
      </c>
      <c r="L93" s="10" t="n">
        <v>2</v>
      </c>
      <c r="M93" s="10" t="n">
        <v>2</v>
      </c>
      <c r="N93" s="10" t="str">
        <f aca="false">IF(L93&amp;""=M93&amp;"","✓","✗")</f>
        <v>✓</v>
      </c>
      <c r="O93" s="10" t="n">
        <v>2</v>
      </c>
      <c r="P93" s="10" t="n">
        <v>2</v>
      </c>
      <c r="Q93" s="10" t="str">
        <f aca="false">IF(O93&amp;""=P93&amp;"","✓","✗")</f>
        <v>✓</v>
      </c>
      <c r="R93" s="10" t="n">
        <v>12</v>
      </c>
      <c r="S93" s="10" t="n">
        <v>12</v>
      </c>
      <c r="T93" s="10" t="str">
        <f aca="false">IF(R93&amp;""=S93&amp;"","✓","✗")</f>
        <v>✓</v>
      </c>
      <c r="U93" s="10" t="n">
        <v>4</v>
      </c>
      <c r="V93" s="10" t="n">
        <v>2</v>
      </c>
      <c r="W93" s="10" t="str">
        <f aca="false">IF(U93&amp;""=V93&amp;"","✓","✗")</f>
        <v>✗</v>
      </c>
      <c r="X93" s="10" t="n">
        <v>2</v>
      </c>
      <c r="Y93" s="10" t="n">
        <v>2</v>
      </c>
      <c r="Z93" s="10" t="n">
        <v>0</v>
      </c>
      <c r="AA93" s="10" t="n">
        <v>4</v>
      </c>
      <c r="AB93" s="10" t="n">
        <v>2</v>
      </c>
      <c r="AC93" s="12" t="n">
        <f aca="false">IF(AND(X93="",AB93=0),"",N(AB93)-N(X93))</f>
        <v>0</v>
      </c>
      <c r="AD93" s="10" t="n">
        <f aca="false">COUNTIF(H93:W93,"✗")</f>
        <v>1</v>
      </c>
    </row>
    <row r="94" customFormat="false" ht="15" hidden="false" customHeight="false" outlineLevel="0" collapsed="false">
      <c r="A94" s="10" t="s">
        <v>320</v>
      </c>
      <c r="B94" s="10" t="s">
        <v>7</v>
      </c>
      <c r="C94" s="11" t="s">
        <v>321</v>
      </c>
      <c r="D94" s="11" t="s">
        <v>232</v>
      </c>
      <c r="E94" s="10" t="s">
        <v>176</v>
      </c>
      <c r="F94" s="10" t="s">
        <v>62</v>
      </c>
      <c r="G94" s="10" t="s">
        <v>62</v>
      </c>
      <c r="H94" s="10" t="str">
        <f aca="false">IF(F94&amp;""=G94&amp;"","✓","✗")</f>
        <v>✓</v>
      </c>
      <c r="I94" s="10" t="s">
        <v>52</v>
      </c>
      <c r="J94" s="10" t="s">
        <v>52</v>
      </c>
      <c r="K94" s="10" t="str">
        <f aca="false">IF(I94&amp;""=J94&amp;"","✓","✗")</f>
        <v>✓</v>
      </c>
      <c r="L94" s="10"/>
      <c r="M94" s="10" t="n">
        <v>2</v>
      </c>
      <c r="N94" s="10" t="str">
        <f aca="false">IF(L94&amp;""=M94&amp;"","✓","✗")</f>
        <v>✗</v>
      </c>
      <c r="O94" s="10"/>
      <c r="P94" s="10"/>
      <c r="Q94" s="10" t="str">
        <f aca="false">IF(O94&amp;""=P94&amp;"","✓","✗")</f>
        <v>✓</v>
      </c>
      <c r="R94" s="10"/>
      <c r="S94" s="10"/>
      <c r="T94" s="10" t="str">
        <f aca="false">IF(R94&amp;""=S94&amp;"","✓","✗")</f>
        <v>✓</v>
      </c>
      <c r="U94" s="10"/>
      <c r="V94" s="10"/>
      <c r="W94" s="10" t="str">
        <f aca="false">IF(U94&amp;""=V94&amp;"","✓","✗")</f>
        <v>✓</v>
      </c>
      <c r="X94" s="10" t="n">
        <v>2</v>
      </c>
      <c r="Y94" s="10" t="n">
        <v>2</v>
      </c>
      <c r="Z94" s="10" t="n">
        <v>1</v>
      </c>
      <c r="AA94" s="10" t="n">
        <v>5</v>
      </c>
      <c r="AB94" s="10" t="n">
        <v>1</v>
      </c>
      <c r="AC94" s="12" t="n">
        <f aca="false">IF(AND(X94="",AB94=0),"",N(AB94)-N(X94))</f>
        <v>-1</v>
      </c>
      <c r="AD94" s="10" t="n">
        <f aca="false">COUNTIF(H94:W94,"✗")</f>
        <v>1</v>
      </c>
    </row>
  </sheetData>
  <autoFilter ref="A2:AD94"/>
  <mergeCells count="8">
    <mergeCell ref="A1:E1"/>
    <mergeCell ref="F1:H1"/>
    <mergeCell ref="I1:K1"/>
    <mergeCell ref="L1:N1"/>
    <mergeCell ref="O1:Q1"/>
    <mergeCell ref="R1:T1"/>
    <mergeCell ref="U1:W1"/>
    <mergeCell ref="X1:AC1"/>
  </mergeCells>
  <conditionalFormatting sqref="F3:H94">
    <cfRule type="expression" priority="2" aboveAverage="0" equalAverage="0" bottom="0" percent="0" rank="0" text="" dxfId="4">
      <formula>$H3="✗"</formula>
    </cfRule>
  </conditionalFormatting>
  <conditionalFormatting sqref="I3:K94">
    <cfRule type="expression" priority="3" aboveAverage="0" equalAverage="0" bottom="0" percent="0" rank="0" text="" dxfId="4">
      <formula>$K3="✗"</formula>
    </cfRule>
  </conditionalFormatting>
  <conditionalFormatting sqref="L3:N94">
    <cfRule type="expression" priority="4" aboveAverage="0" equalAverage="0" bottom="0" percent="0" rank="0" text="" dxfId="4">
      <formula>$N3="✗"</formula>
    </cfRule>
  </conditionalFormatting>
  <conditionalFormatting sqref="O3:Q94">
    <cfRule type="expression" priority="5" aboveAverage="0" equalAverage="0" bottom="0" percent="0" rank="0" text="" dxfId="4">
      <formula>$Q3="✗"</formula>
    </cfRule>
  </conditionalFormatting>
  <conditionalFormatting sqref="R3:T94">
    <cfRule type="expression" priority="6" aboveAverage="0" equalAverage="0" bottom="0" percent="0" rank="0" text="" dxfId="4">
      <formula>$T3="✗"</formula>
    </cfRule>
  </conditionalFormatting>
  <conditionalFormatting sqref="U3:W94">
    <cfRule type="expression" priority="7" aboveAverage="0" equalAverage="0" bottom="0" percent="0" rank="0" text="" dxfId="4">
      <formula>$W3="✗"</formula>
    </cfRule>
  </conditionalFormatting>
  <conditionalFormatting sqref="AC3:AC94">
    <cfRule type="expression" priority="8" aboveAverage="0" equalAverage="0" bottom="0" percent="0" rank="0" text="" dxfId="4">
      <formula>AND(ISNUMBER(AC3),AC3&lt;&gt;0)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3" t="s">
        <v>24</v>
      </c>
      <c r="B1" s="13" t="s">
        <v>322</v>
      </c>
      <c r="C1" s="13" t="s">
        <v>323</v>
      </c>
      <c r="D1" s="13" t="s">
        <v>39</v>
      </c>
    </row>
    <row r="2" customFormat="false" ht="15" hidden="false" customHeight="false" outlineLevel="0" collapsed="false">
      <c r="A2" s="14" t="s">
        <v>118</v>
      </c>
      <c r="B2" s="14" t="s">
        <v>108</v>
      </c>
      <c r="C2" s="14" t="s">
        <v>108</v>
      </c>
      <c r="D2" s="14" t="str">
        <f aca="false">IF(B2=C2,"✓","✗")</f>
        <v>✓</v>
      </c>
    </row>
    <row r="3" customFormat="false" ht="15" hidden="false" customHeight="false" outlineLevel="0" collapsed="false">
      <c r="A3" s="14" t="s">
        <v>124</v>
      </c>
      <c r="B3" s="14" t="s">
        <v>108</v>
      </c>
      <c r="C3" s="14" t="s">
        <v>108</v>
      </c>
      <c r="D3" s="14" t="str">
        <f aca="false">IF(B3=C3,"✓","✗")</f>
        <v>✓</v>
      </c>
    </row>
    <row r="4" customFormat="false" ht="15" hidden="false" customHeight="false" outlineLevel="0" collapsed="false">
      <c r="A4" s="14" t="s">
        <v>47</v>
      </c>
      <c r="B4" s="14" t="s">
        <v>108</v>
      </c>
      <c r="C4" s="14" t="s">
        <v>108</v>
      </c>
      <c r="D4" s="14" t="str">
        <f aca="false">IF(B4=C4,"✓","✗")</f>
        <v>✓</v>
      </c>
    </row>
    <row r="5" customFormat="false" ht="15" hidden="false" customHeight="false" outlineLevel="0" collapsed="false">
      <c r="A5" s="14" t="s">
        <v>170</v>
      </c>
      <c r="B5" s="14" t="s">
        <v>108</v>
      </c>
      <c r="C5" s="14" t="s">
        <v>108</v>
      </c>
      <c r="D5" s="14" t="str">
        <f aca="false">IF(B5=C5,"✓","✗")</f>
        <v>✓</v>
      </c>
    </row>
    <row r="6" customFormat="false" ht="15" hidden="false" customHeight="false" outlineLevel="0" collapsed="false">
      <c r="A6" s="14" t="s">
        <v>173</v>
      </c>
      <c r="B6" s="14" t="s">
        <v>108</v>
      </c>
      <c r="C6" s="14" t="s">
        <v>108</v>
      </c>
      <c r="D6" s="14" t="str">
        <f aca="false">IF(B6=C6,"✓","✗")</f>
        <v>✓</v>
      </c>
    </row>
    <row r="7" customFormat="false" ht="15" hidden="false" customHeight="false" outlineLevel="0" collapsed="false">
      <c r="A7" s="14" t="s">
        <v>183</v>
      </c>
      <c r="B7" s="14" t="s">
        <v>52</v>
      </c>
      <c r="C7" s="14" t="s">
        <v>108</v>
      </c>
      <c r="D7" s="14" t="str">
        <f aca="false">IF(B7=C7,"✓","✗")</f>
        <v>✗</v>
      </c>
    </row>
    <row r="8" customFormat="false" ht="15" hidden="false" customHeight="false" outlineLevel="0" collapsed="false">
      <c r="A8" s="14" t="s">
        <v>192</v>
      </c>
      <c r="B8" s="14" t="s">
        <v>108</v>
      </c>
      <c r="C8" s="14" t="s">
        <v>108</v>
      </c>
      <c r="D8" s="14" t="str">
        <f aca="false">IF(B8=C8,"✓","✗")</f>
        <v>✓</v>
      </c>
    </row>
    <row r="9" customFormat="false" ht="15" hidden="false" customHeight="false" outlineLevel="0" collapsed="false">
      <c r="A9" s="14" t="s">
        <v>201</v>
      </c>
      <c r="B9" s="14" t="s">
        <v>52</v>
      </c>
      <c r="C9" s="14" t="s">
        <v>108</v>
      </c>
      <c r="D9" s="14" t="str">
        <f aca="false">IF(B9=C9,"✓","✗")</f>
        <v>✗</v>
      </c>
    </row>
    <row r="10" customFormat="false" ht="15" hidden="false" customHeight="false" outlineLevel="0" collapsed="false">
      <c r="A10" s="14" t="s">
        <v>218</v>
      </c>
      <c r="B10" s="14" t="s">
        <v>52</v>
      </c>
      <c r="C10" s="14" t="s">
        <v>108</v>
      </c>
      <c r="D10" s="14" t="str">
        <f aca="false">IF(B10=C10,"✓","✗")</f>
        <v>✗</v>
      </c>
    </row>
    <row r="11" customFormat="false" ht="15" hidden="false" customHeight="false" outlineLevel="0" collapsed="false">
      <c r="A11" s="14" t="s">
        <v>224</v>
      </c>
      <c r="B11" s="14" t="s">
        <v>108</v>
      </c>
      <c r="C11" s="14" t="s">
        <v>108</v>
      </c>
      <c r="D11" s="14" t="str">
        <f aca="false">IF(B11=C11,"✓","✗")</f>
        <v>✓</v>
      </c>
    </row>
    <row r="12" customFormat="false" ht="15" hidden="false" customHeight="false" outlineLevel="0" collapsed="false">
      <c r="A12" s="14" t="s">
        <v>230</v>
      </c>
      <c r="B12" s="14" t="s">
        <v>52</v>
      </c>
      <c r="C12" s="14" t="s">
        <v>108</v>
      </c>
      <c r="D12" s="14" t="str">
        <f aca="false">IF(B12=C12,"✓","✗")</f>
        <v>✗</v>
      </c>
    </row>
    <row r="13" customFormat="false" ht="15" hidden="false" customHeight="false" outlineLevel="0" collapsed="false">
      <c r="A13" s="14" t="s">
        <v>236</v>
      </c>
      <c r="B13" s="14" t="s">
        <v>108</v>
      </c>
      <c r="C13" s="14" t="s">
        <v>108</v>
      </c>
      <c r="D13" s="14" t="str">
        <f aca="false">IF(B13=C13,"✓","✗")</f>
        <v>✓</v>
      </c>
    </row>
    <row r="14" customFormat="false" ht="15" hidden="false" customHeight="false" outlineLevel="0" collapsed="false">
      <c r="A14" s="14" t="s">
        <v>241</v>
      </c>
      <c r="B14" s="14" t="s">
        <v>52</v>
      </c>
      <c r="C14" s="14" t="s">
        <v>108</v>
      </c>
      <c r="D14" s="14" t="str">
        <f aca="false">IF(B14=C14,"✓","✗")</f>
        <v>✗</v>
      </c>
    </row>
    <row r="15" customFormat="false" ht="15" hidden="false" customHeight="false" outlineLevel="0" collapsed="false">
      <c r="A15" s="14" t="s">
        <v>253</v>
      </c>
      <c r="B15" s="14" t="s">
        <v>108</v>
      </c>
      <c r="C15" s="14" t="s">
        <v>108</v>
      </c>
      <c r="D15" s="14" t="str">
        <f aca="false">IF(B15=C15,"✓","✗")</f>
        <v>✓</v>
      </c>
    </row>
    <row r="16" customFormat="false" ht="15" hidden="false" customHeight="false" outlineLevel="0" collapsed="false">
      <c r="A16" s="14" t="s">
        <v>309</v>
      </c>
      <c r="B16" s="14" t="s">
        <v>108</v>
      </c>
      <c r="C16" s="14" t="s">
        <v>108</v>
      </c>
      <c r="D16" s="14" t="str">
        <f aca="false">IF(B16=C16,"✓","✗")</f>
        <v>✓</v>
      </c>
    </row>
    <row r="18" customFormat="false" ht="15" hidden="false" customHeight="false" outlineLevel="0" collapsed="false">
      <c r="A18" s="15" t="s">
        <v>324</v>
      </c>
    </row>
  </sheetData>
  <conditionalFormatting sqref="A2:D16">
    <cfRule type="expression" priority="2" aboveAverage="0" equalAverage="0" bottom="0" percent="0" rank="0" text="" dxfId="4">
      <formula>$D2="✗"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6" t="s">
        <v>325</v>
      </c>
      <c r="B1" s="16" t="s">
        <v>326</v>
      </c>
      <c r="C1" s="16" t="s">
        <v>327</v>
      </c>
    </row>
    <row r="2" customFormat="false" ht="15" hidden="false" customHeight="false" outlineLevel="0" collapsed="false">
      <c r="A2" s="17" t="s">
        <v>328</v>
      </c>
      <c r="B2" s="17" t="s">
        <v>329</v>
      </c>
      <c r="C2" s="17" t="s">
        <v>330</v>
      </c>
    </row>
    <row r="3" customFormat="false" ht="15" hidden="false" customHeight="false" outlineLevel="0" collapsed="false">
      <c r="A3" s="17" t="s">
        <v>328</v>
      </c>
      <c r="B3" s="17" t="s">
        <v>331</v>
      </c>
      <c r="C3" s="17" t="s">
        <v>332</v>
      </c>
    </row>
    <row r="4" customFormat="false" ht="15" hidden="false" customHeight="false" outlineLevel="0" collapsed="false">
      <c r="A4" s="17" t="s">
        <v>333</v>
      </c>
      <c r="B4" s="17" t="s">
        <v>291</v>
      </c>
      <c r="C4" s="17" t="s">
        <v>334</v>
      </c>
    </row>
    <row r="5" customFormat="false" ht="15" hidden="false" customHeight="false" outlineLevel="0" collapsed="false">
      <c r="A5" s="17" t="s">
        <v>335</v>
      </c>
      <c r="B5" s="17" t="s">
        <v>336</v>
      </c>
      <c r="C5" s="17" t="s">
        <v>337</v>
      </c>
    </row>
    <row r="6" customFormat="false" ht="15" hidden="false" customHeight="false" outlineLevel="0" collapsed="false">
      <c r="A6" s="17" t="s">
        <v>335</v>
      </c>
      <c r="B6" s="17" t="s">
        <v>338</v>
      </c>
      <c r="C6" s="17" t="s">
        <v>339</v>
      </c>
    </row>
    <row r="7" customFormat="false" ht="15" hidden="false" customHeight="false" outlineLevel="0" collapsed="false">
      <c r="A7" s="17" t="s">
        <v>335</v>
      </c>
      <c r="B7" s="17" t="s">
        <v>340</v>
      </c>
      <c r="C7" s="17" t="s">
        <v>341</v>
      </c>
    </row>
    <row r="8" customFormat="false" ht="15" hidden="false" customHeight="false" outlineLevel="0" collapsed="false">
      <c r="A8" s="17" t="s">
        <v>333</v>
      </c>
      <c r="B8" s="17" t="s">
        <v>342</v>
      </c>
      <c r="C8" s="17" t="s">
        <v>343</v>
      </c>
    </row>
    <row r="9" customFormat="false" ht="15" hidden="false" customHeight="false" outlineLevel="0" collapsed="false">
      <c r="A9" s="17" t="s">
        <v>333</v>
      </c>
      <c r="B9" s="17" t="s">
        <v>344</v>
      </c>
      <c r="C9" s="17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2026-10-20T19:34:17Z</dcterms:created>
  <dc:creator>openpyxl</dc:creator>
  <dc:description/>
  <dc:language>en-US</dc:language>
  <cp:lastModifiedBy/>
  <dcterms:modified xsi:type="dcterms:W3CDTF">2026-10-20T19:34:17Z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